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Common Fields" sheetId="2" state="visible" r:id="rId4"/>
    <sheet name="Field Types" sheetId="3" state="visible" r:id="rId5"/>
    <sheet name="Categories" sheetId="4" state="visible" r:id="rId6"/>
    <sheet name="Related Objects" sheetId="5" state="visible" r:id="rId7"/>
    <sheet name="All Worker Fields" sheetId="6" state="visible" r:id="rId8"/>
  </sheets>
  <definedNames>
    <definedName function="false" hidden="true" localSheetId="5" name="_xlnm._FilterDatabase" vbProcedure="false">'All Worker Fields'!$A$1:$I$3255</definedName>
    <definedName function="false" hidden="true" localSheetId="3" name="_xlnm._FilterDatabase" vbProcedure="false">Categories!$A$4:$C$137</definedName>
    <definedName function="false" hidden="false" localSheetId="1" name="_xlnm.Print_Titles" vbProcedure="false">'Common Fields'!$4:$4</definedName>
    <definedName function="false" hidden="true" localSheetId="1" name="_xlnm._FilterDatabase" vbProcedure="false">'Common Fields'!$A$4:$K$182</definedName>
    <definedName function="false" hidden="true" localSheetId="4" name="_xlnm._FilterDatabase" vbProcedure="false">'Related Objects'!$A$4:$E$639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<sst xmlns="http://schemas.openxmlformats.org/spreadsheetml/2006/main" count="24295" uniqueCount="7221">
  <si>
    <t xml:space="preserve">Workday Worker Fields Handbook</t>
  </si>
  <si>
    <t xml:space="preserve">Built from Worker_PBO.xlsx (primary business object fields) and Worker_RBO.xlsx (related business objects).</t>
  </si>
  <si>
    <t xml:space="preserve">At a glance</t>
  </si>
  <si>
    <t xml:space="preserve">Total Worker fields (PBO)</t>
  </si>
  <si>
    <t xml:space="preserve">Workday Delivered fields</t>
  </si>
  <si>
    <t xml:space="preserve">Calculated fields</t>
  </si>
  <si>
    <t xml:space="preserve">Custom fields</t>
  </si>
  <si>
    <t xml:space="preserve">Related business objects (RBO)</t>
  </si>
  <si>
    <t xml:space="preserve">Curated common fields in this handbook</t>
  </si>
  <si>
    <t xml:space="preserve">Tabs</t>
  </si>
  <si>
    <t xml:space="preserve">Common Fields</t>
  </si>
  <si>
    <t xml:space="preserve">The handbook: 178 commonly used Worker fields in 11 sections, each with type, related object, description, prompts, usage area and a practical tip. Start here.</t>
  </si>
  <si>
    <t xml:space="preserve">Field Types</t>
  </si>
  <si>
    <t xml:space="preserve">What each field type means and how to use it in reports and calculated fields, with live counts from the full catalog.</t>
  </si>
  <si>
    <t xml:space="preserve">Categories</t>
  </si>
  <si>
    <t xml:space="preserve">Every PBO category with its field count, to help you browse the full catalog.</t>
  </si>
  <si>
    <t xml:space="preserve">Related Objects</t>
  </si>
  <si>
    <t xml:space="preserve">All 635 related business objects from the RBO file, with the number of Worker fields that link to each and example linking fields.</t>
  </si>
  <si>
    <t xml:space="preserve">All Worker Fields</t>
  </si>
  <si>
    <t xml:space="preserve">The complete PBO catalog (3,254 fields), filterable. Rows marked "Yes" in the Common column are in the handbook.</t>
  </si>
  <si>
    <t xml:space="preserve">Column guide</t>
  </si>
  <si>
    <t xml:space="preserve">Field Name</t>
  </si>
  <si>
    <t xml:space="preserve">Field name exactly as it appears in Workday report writer and calculated fields.</t>
  </si>
  <si>
    <t xml:space="preserve">Field Type</t>
  </si>
  <si>
    <t xml:space="preserve">Data type returned (see the Field Types tab). Instance types return objects you can drill into.</t>
  </si>
  <si>
    <t xml:space="preserve">Related Business Object</t>
  </si>
  <si>
    <t xml:space="preserve">The object an instance field returns. Blank for simple types (Text, Date, Numeric, etc.).</t>
  </si>
  <si>
    <t xml:space="preserve">Field Source</t>
  </si>
  <si>
    <t xml:space="preserve">Workday Delivered, Calculated (tenant calculated field) or Custom Field.</t>
  </si>
  <si>
    <t xml:space="preserve">Built-in Prompts</t>
  </si>
  <si>
    <t xml:space="preserve">Parameters the field needs (for example As Of, End Date). Fields with prompts behave differently in reports.</t>
  </si>
  <si>
    <t xml:space="preserve">Category</t>
  </si>
  <si>
    <t xml:space="preserve">Workday field category; useful in the report-writer field picker.</t>
  </si>
  <si>
    <t xml:space="preserve">Authorized Usage</t>
  </si>
  <si>
    <t xml:space="preserve">Where the field may be used (Default Areas = general reporting; others such as Benefits Eligibility or Security Attribute are restricted contexts).</t>
  </si>
  <si>
    <t xml:space="preserve">Handbook Tip</t>
  </si>
  <si>
    <t xml:space="preserve">Practical guidance written for this handbook (not from the source files).</t>
  </si>
  <si>
    <t xml:space="preserve">Note</t>
  </si>
  <si>
    <t xml:space="preserve">Field names, types, descriptions, prompts, categories and usage come from your PBO/RBO exports. Section groupings and tips are editorial guidance; check field behavior in your tenant before using it in production reports. Sensitive fields (personal, demographic, national IDs, compensation) are subject to domain security.</t>
  </si>
  <si>
    <t xml:space="preserve">Commonly Used Worker Fields</t>
  </si>
  <si>
    <t xml:space="preserve">Curated from the Worker PBO. Filter by Section or Field Type; the Handbook Tip column is practical guidance.</t>
  </si>
  <si>
    <t xml:space="preserve">#</t>
  </si>
  <si>
    <t xml:space="preserve">Section</t>
  </si>
  <si>
    <t xml:space="preserve">Description</t>
  </si>
  <si>
    <t xml:space="preserve">1. Identity &amp; Name</t>
  </si>
  <si>
    <t xml:space="preserve">Worker</t>
  </si>
  <si>
    <t xml:space="preserve">Self referencing instance</t>
  </si>
  <si>
    <t xml:space="preserve">Identifies the worker and enables you to view and access related details and actions on the worker.</t>
  </si>
  <si>
    <t xml:space="preserve">Workday Delivered</t>
  </si>
  <si>
    <t xml:space="preserve">Benefits Eligibility</t>
  </si>
  <si>
    <t xml:space="preserve">Security Attribute - System User</t>
  </si>
  <si>
    <t xml:space="preserve">The worker instance itself. Use as the first column in most reports; drill into it for any related data.</t>
  </si>
  <si>
    <t xml:space="preserve">Employee ID</t>
  </si>
  <si>
    <t xml:space="preserve">Text</t>
  </si>
  <si>
    <t xml:space="preserve">The Employee ID or Contingent Worker ID for the worker.</t>
  </si>
  <si>
    <t xml:space="preserve">Primary key for integrations and matching across systems. Text, so keep leading zeros.</t>
  </si>
  <si>
    <t xml:space="preserve">Legal Name</t>
  </si>
  <si>
    <t xml:space="preserve">Single instance</t>
  </si>
  <si>
    <t xml:space="preserve">Global Name Interface</t>
  </si>
  <si>
    <t xml:space="preserve">The current legal name of a worker, without an effective date. It displays in the General Name Display Format set in Edit Tenant Setup - System task. Use the Legal Name (Effective Dated) report field if you need the effective date of the ~worker’s~ legal name.</t>
  </si>
  <si>
    <t xml:space="preserve">Name</t>
  </si>
  <si>
    <t xml:space="preserve">Default Areas</t>
  </si>
  <si>
    <t xml:space="preserve">Official name, used on payroll, tax and legal documents.</t>
  </si>
  <si>
    <t xml:space="preserve">Legal Name - First Name</t>
  </si>
  <si>
    <t xml:space="preserve">The worker's legal first or given name.</t>
  </si>
  <si>
    <t xml:space="preserve">Use the split name parts for mail-merge and file layouts.</t>
  </si>
  <si>
    <t xml:space="preserve">Legal Name - Middle Name</t>
  </si>
  <si>
    <t xml:space="preserve">The worker's legal middle name.</t>
  </si>
  <si>
    <t xml:space="preserve">Legal Name - Last Name</t>
  </si>
  <si>
    <t xml:space="preserve">The worker's legal family name.</t>
  </si>
  <si>
    <t xml:space="preserve">Sort or group directories by this field.</t>
  </si>
  <si>
    <t xml:space="preserve">Full Legal Name</t>
  </si>
  <si>
    <t xml:space="preserve">Returns Full Legal Name in Long Name Format.  For Malaysia and Singapore returns Full Name (Full Person Name attribute of Global Person Name class) if defined.</t>
  </si>
  <si>
    <t xml:space="preserve">Single text string of the full legal name; handy for exports.</t>
  </si>
  <si>
    <t xml:space="preserve">Preferred Name</t>
  </si>
  <si>
    <t xml:space="preserve">Returns the worker's preferred name.</t>
  </si>
  <si>
    <t xml:space="preserve">Name the worker chooses to be called; use for directories, org charts and emails.</t>
  </si>
  <si>
    <t xml:space="preserve">Preferred Name - First Name</t>
  </si>
  <si>
    <t xml:space="preserve">The worker's preferred first or given name.</t>
  </si>
  <si>
    <t xml:space="preserve">Preferred Name - Last Name</t>
  </si>
  <si>
    <t xml:space="preserve">The worker's preferred family name.</t>
  </si>
  <si>
    <t xml:space="preserve">User Name</t>
  </si>
  <si>
    <t xml:space="preserve">Contains the User Name associated with the Workday Account</t>
  </si>
  <si>
    <t xml:space="preserve">Workday Account</t>
  </si>
  <si>
    <t xml:space="preserve">Workday account sign-in name; useful for SSO and provisioning checks.</t>
  </si>
  <si>
    <t xml:space="preserve">Universal Id</t>
  </si>
  <si>
    <t xml:space="preserve">Universal Id for the Worker</t>
  </si>
  <si>
    <t xml:space="preserve">Basic Bio</t>
  </si>
  <si>
    <t xml:space="preserve">Cross-system person identifier, when your tenant uses Universal ID.</t>
  </si>
  <si>
    <t xml:space="preserve">Person</t>
  </si>
  <si>
    <t xml:space="preserve">The person who has this role.</t>
  </si>
  <si>
    <t xml:space="preserve">Roles</t>
  </si>
  <si>
    <t xml:space="preserve">Links to the underlying Person; same person can hold multiple worker records.</t>
  </si>
  <si>
    <t xml:space="preserve">Photo</t>
  </si>
  <si>
    <t xml:space="preserve">Image</t>
  </si>
  <si>
    <t xml:space="preserve">Returns the photo for the worker.</t>
  </si>
  <si>
    <t xml:space="preserve">Worker photo image; used in org charts and directories.</t>
  </si>
  <si>
    <t xml:space="preserve">Previous Worker ID</t>
  </si>
  <si>
    <t xml:space="preserve">Answer for the previous worker ID question on the job application.</t>
  </si>
  <si>
    <t xml:space="preserve">Recruiting</t>
  </si>
  <si>
    <t xml:space="preserve">ID from a previous record (for example a rehire or conversion); helps reconcile history.</t>
  </si>
  <si>
    <t xml:space="preserve">2. Worker Status &amp; Classification</t>
  </si>
  <si>
    <t xml:space="preserve">Worker Type</t>
  </si>
  <si>
    <t xml:space="preserve">The worker type (employee or contingent worker) for a worker.</t>
  </si>
  <si>
    <t xml:space="preserve">Employment</t>
  </si>
  <si>
    <t xml:space="preserve">Employee vs. Contingent Worker. The most common top-level report filter.</t>
  </si>
  <si>
    <t xml:space="preserve">Employee Type</t>
  </si>
  <si>
    <t xml:space="preserve">Multi-instance</t>
  </si>
  <si>
    <t xml:space="preserve">The employee type for the employee's primary position.</t>
  </si>
  <si>
    <t xml:space="preserve">Regular, Temporary, Fixed Term and so on (tenant-configured). Multi-instance: one value per position.</t>
  </si>
  <si>
    <t xml:space="preserve">Contingent Worker Type</t>
  </si>
  <si>
    <t xml:space="preserve">Contains the type of contingent worker.</t>
  </si>
  <si>
    <t xml:space="preserve">Contractor, Consultant, Vendor and so on, for contingent workers.</t>
  </si>
  <si>
    <t xml:space="preserve">Worker is Contingent Worker</t>
  </si>
  <si>
    <t xml:space="preserve">Boolean</t>
  </si>
  <si>
    <t xml:space="preserve">Returns true if this Worker is a Contingent Worker.</t>
  </si>
  <si>
    <t xml:space="preserve">Boolean shortcut for filters and calculated fields.</t>
  </si>
  <si>
    <t xml:space="preserve">Active Status (Date As Of)</t>
  </si>
  <si>
    <t xml:space="preserve">Returns 'Yes' if the worker is active as of the Date As Of calculated field. Excludes workers who are on certain types of leave or who are terminated.</t>
  </si>
  <si>
    <t xml:space="preserve">Job &amp; Position</t>
  </si>
  <si>
    <t xml:space="preserve">True when the worker is active as of the report's effective date.</t>
  </si>
  <si>
    <t xml:space="preserve">Terminated</t>
  </si>
  <si>
    <t xml:space="preserve">True if worker's primary position is terminated or if the contract has ended. Use for business process condition rules but not for custom reports. Use Terminated (based on report date) for custom reports.</t>
  </si>
  <si>
    <t xml:space="preserve">Boolean; combine with Termination Date for leaver reporting.</t>
  </si>
  <si>
    <t xml:space="preserve">On Leave</t>
  </si>
  <si>
    <t xml:space="preserve">Identifies if an employee is on leave.</t>
  </si>
  <si>
    <t xml:space="preserve">True while the worker is on an approved leave of absence.</t>
  </si>
  <si>
    <t xml:space="preserve">Is Manager</t>
  </si>
  <si>
    <t xml:space="preserve">Identifies if the worker has a manager role.</t>
  </si>
  <si>
    <t xml:space="preserve">True when the worker manages a supervisory organization.</t>
  </si>
  <si>
    <t xml:space="preserve">Is Rehire</t>
  </si>
  <si>
    <t xml:space="preserve">Returns "Yes" if the processing worker is a rehire at the processing moment. A worker is considered to be a rehire if they have been hired more than once in the past and they are not terminated.</t>
  </si>
  <si>
    <t xml:space="preserve">Flags workers who were previously employed.</t>
  </si>
  <si>
    <t xml:space="preserve">Is Retiree</t>
  </si>
  <si>
    <t xml:space="preserve">Indicates whether a worker is a retiree.</t>
  </si>
  <si>
    <t xml:space="preserve">Flags workers in a retiree status.</t>
  </si>
  <si>
    <t xml:space="preserve">Time Type</t>
  </si>
  <si>
    <t xml:space="preserve">The position time type for the worker's primary position.</t>
  </si>
  <si>
    <t xml:space="preserve">Full time or Part time.</t>
  </si>
  <si>
    <t xml:space="preserve">Pay Rate Type</t>
  </si>
  <si>
    <t xml:space="preserve">The pay rate type for an employee's position and is used by payroll.</t>
  </si>
  <si>
    <t xml:space="preserve">Salary vs. Hourly.</t>
  </si>
  <si>
    <t xml:space="preserve">Exempt</t>
  </si>
  <si>
    <t xml:space="preserve">Returns "Yes" if the worker's primary position is exempt from overtime.</t>
  </si>
  <si>
    <t xml:space="preserve">FLSA exempt flag (US). Use for overtime eligibility reporting.</t>
  </si>
  <si>
    <t xml:space="preserve">FTE</t>
  </si>
  <si>
    <t xml:space="preserve">Numeric</t>
  </si>
  <si>
    <t xml:space="preserve">The full time equivalent for the worker's primary position.</t>
  </si>
  <si>
    <t xml:space="preserve">Full-time-equivalent value of the primary position (for example 1.0 or 0.5).</t>
  </si>
  <si>
    <t xml:space="preserve">Scheduled Weekly Hours</t>
  </si>
  <si>
    <t xml:space="preserve">The weekly hours for the worker's primary position.  This is used in the Full Time Equivalent calculation: Scheduled Weekly Hours / Standard Weekly Hours.</t>
  </si>
  <si>
    <t xml:space="preserve">Hours the worker is scheduled to work each week.</t>
  </si>
  <si>
    <t xml:space="preserve">Default Weekly Hours</t>
  </si>
  <si>
    <t xml:space="preserve">The standard hours for the worker's primary position.  Usually this is equal to the location standard hours but can be overridden at the position level.  This is used in the calculation for Full Time Equivalent: Scheduled Weekly Hours / Standard Weekly Hours.</t>
  </si>
  <si>
    <t xml:space="preserve">Standard full-time hours for the location or position; compare with scheduled hours.</t>
  </si>
  <si>
    <t xml:space="preserve">3. Key Dates &amp; Service</t>
  </si>
  <si>
    <t xml:space="preserve">Hire Date</t>
  </si>
  <si>
    <t xml:space="preserve">Date</t>
  </si>
  <si>
    <t xml:space="preserve">The worker's most recent hire date. This report field cannot be effective dated.</t>
  </si>
  <si>
    <t xml:space="preserve">Most recent hire date. Basis for most service calculations.</t>
  </si>
  <si>
    <t xml:space="preserve">Original Hire Date</t>
  </si>
  <si>
    <t xml:space="preserve">The date when the employee was first hired.</t>
  </si>
  <si>
    <t xml:space="preserve">First-ever hire date; differs from Hire Date for rehires.</t>
  </si>
  <si>
    <t xml:space="preserve">Continuous Service Date</t>
  </si>
  <si>
    <t xml:space="preserve">Employee service date taking into account breaks in service.</t>
  </si>
  <si>
    <t xml:space="preserve">Date used for continuous service and benefits eligibility.</t>
  </si>
  <si>
    <t xml:space="preserve">Seniority Date</t>
  </si>
  <si>
    <t xml:space="preserve">The seniority date for the worker.</t>
  </si>
  <si>
    <t xml:space="preserve">Used for seniority-based rules (for example unions and layoffs).</t>
  </si>
  <si>
    <t xml:space="preserve">Company Service Date</t>
  </si>
  <si>
    <t xml:space="preserve">Company Service Date for the Worker.</t>
  </si>
  <si>
    <t xml:space="preserve">Service date at the current company.</t>
  </si>
  <si>
    <t xml:space="preserve">Probation End Date</t>
  </si>
  <si>
    <t xml:space="preserve">The probation period end date for the worker's primary position.</t>
  </si>
  <si>
    <t xml:space="preserve">Effective Date</t>
  </si>
  <si>
    <t xml:space="preserve">Probation Period</t>
  </si>
  <si>
    <t xml:space="preserve">End of the probation period.</t>
  </si>
  <si>
    <t xml:space="preserve">Last Promotion Date</t>
  </si>
  <si>
    <t xml:space="preserve">Returns most recent promotion event for worker's primary job.</t>
  </si>
  <si>
    <t xml:space="preserve">Date of the most recent promotion.</t>
  </si>
  <si>
    <t xml:space="preserve">Effective Date for Current Position</t>
  </si>
  <si>
    <t xml:space="preserve">The effective date of the last completed staffing business process or reorganization for the current primary position held by the worker.</t>
  </si>
  <si>
    <t xml:space="preserve">When the worker started the current position.</t>
  </si>
  <si>
    <t xml:space="preserve">Termination Date</t>
  </si>
  <si>
    <t xml:space="preserve">The Effective Date of the worker's last termination. Doesn't include future-dated terminations or terminations with a rehire on the next day. To include terminations with a next-day rehire, use the Termination Date - All report field.</t>
  </si>
  <si>
    <t xml:space="preserve">Effective termination date (blank for active workers).</t>
  </si>
  <si>
    <t xml:space="preserve">Last Day of Work</t>
  </si>
  <si>
    <t xml:space="preserve">The last day of work for the worker's latest termination. Includes future-dated terminations.</t>
  </si>
  <si>
    <t xml:space="preserve">Staffing History</t>
  </si>
  <si>
    <t xml:space="preserve">Last day physically worked; can be before the Termination Date.</t>
  </si>
  <si>
    <t xml:space="preserve">Retirement Date</t>
  </si>
  <si>
    <t xml:space="preserve">The effective date of worker's retirement.</t>
  </si>
  <si>
    <t xml:space="preserve">Recorded retirement date.</t>
  </si>
  <si>
    <t xml:space="preserve">Length of Service - Worker</t>
  </si>
  <si>
    <t xml:space="preserve">The length of service in years, months, and days for the worker. Values for this report field will be displayed if you have access to the worker.</t>
  </si>
  <si>
    <t xml:space="preserve">Text, for example '5 year(s), 3 month(s)'. Good for display, not for maths.</t>
  </si>
  <si>
    <t xml:space="preserve">Length of Service in Months</t>
  </si>
  <si>
    <t xml:space="preserve">The number of months of service starting on the most recent hire date for the worker. If there's a continuous service date for the worker, then the number of months is based on the continuous service date.</t>
  </si>
  <si>
    <t xml:space="preserve">Numeric; use for bands, averages and calculations.</t>
  </si>
  <si>
    <t xml:space="preserve">Years of Service</t>
  </si>
  <si>
    <t xml:space="preserve">The years of service for the worker.</t>
  </si>
  <si>
    <t xml:space="preserve">Numeric years of service; use for anniversary and service-award reports.</t>
  </si>
  <si>
    <t xml:space="preserve">Years in Current Job</t>
  </si>
  <si>
    <t xml:space="preserve">Years the candidate has been in their current job based on their most recent job application or Prospect.</t>
  </si>
  <si>
    <t xml:space="preserve">Resume</t>
  </si>
  <si>
    <t xml:space="preserve">Time in the current job profile, in years.</t>
  </si>
  <si>
    <t xml:space="preserve">Years in Current Position</t>
  </si>
  <si>
    <t xml:space="preserve">Returns the amount of years (to 2 decimals positions) that a worker was in their current primary position.  If the worker is terminated, the current position was the last primary position the worker was in.</t>
  </si>
  <si>
    <t xml:space="preserve">Drill Down</t>
  </si>
  <si>
    <t xml:space="preserve">Time in the current position, in years.</t>
  </si>
  <si>
    <t xml:space="preserve">Next Anniversary in Years</t>
  </si>
  <si>
    <t xml:space="preserve">The amount of years that the worker is celebrating as their next anniversary based on their most recent hire date.</t>
  </si>
  <si>
    <t xml:space="preserve">Upcoming service anniversary number; used for recognition reports.</t>
  </si>
  <si>
    <t xml:space="preserve">4. Job &amp; Position</t>
  </si>
  <si>
    <t xml:space="preserve">Business Title</t>
  </si>
  <si>
    <t xml:space="preserve">The business title for the worker's primary position. If no business title is defined for a position, the position title is returned back.</t>
  </si>
  <si>
    <t xml:space="preserve">Title shown on the profile; can differ from the job profile name.</t>
  </si>
  <si>
    <t xml:space="preserve">Job Title</t>
  </si>
  <si>
    <t xml:space="preserve">The position title for the worker's primary position.  If blank, returns the job profile title.</t>
  </si>
  <si>
    <t xml:space="preserve">Job title from the position or job.</t>
  </si>
  <si>
    <t xml:space="preserve">Job Profile</t>
  </si>
  <si>
    <t xml:space="preserve">The worker job profile.</t>
  </si>
  <si>
    <t xml:space="preserve">Generic job definition. Key for job architecture, compensation and EEO reporting.</t>
  </si>
  <si>
    <t xml:space="preserve">Job Code</t>
  </si>
  <si>
    <t xml:space="preserve">The job code for the worker's primary position.</t>
  </si>
  <si>
    <t xml:space="preserve">Code of the job profile; used in integrations.</t>
  </si>
  <si>
    <t xml:space="preserve">Job Family</t>
  </si>
  <si>
    <t xml:space="preserve">The job family for the worker's primary position.</t>
  </si>
  <si>
    <t xml:space="preserve">Groups related job profiles (for example Software Engineering).</t>
  </si>
  <si>
    <t xml:space="preserve">Job Family Group</t>
  </si>
  <si>
    <t xml:space="preserve">The job family group for the worker's primary position.</t>
  </si>
  <si>
    <t xml:space="preserve">Higher-level grouping of job families.</t>
  </si>
  <si>
    <t xml:space="preserve">Job Category</t>
  </si>
  <si>
    <t xml:space="preserve">The job category for the worker's primary position.</t>
  </si>
  <si>
    <t xml:space="preserve">Job category (tenant-configured).</t>
  </si>
  <si>
    <t xml:space="preserve">Job Level - Primary Position</t>
  </si>
  <si>
    <t xml:space="preserve">Job Level</t>
  </si>
  <si>
    <t xml:space="preserve">Job level for the worker from the job profile associated with the worker's primary position. It is retrieved from the job profile associated with the worker's primary position.</t>
  </si>
  <si>
    <t xml:space="preserve">Level of the job on the primary position.</t>
  </si>
  <si>
    <t xml:space="preserve">Management Level</t>
  </si>
  <si>
    <t xml:space="preserve">The Management Level from the Job Profile for the worker's primary position.</t>
  </si>
  <si>
    <t xml:space="preserve">For example Individual Contributor, Manager, Director, Executive.</t>
  </si>
  <si>
    <t xml:space="preserve">Job Classifications - Primary Position</t>
  </si>
  <si>
    <t xml:space="preserve">Job Classification</t>
  </si>
  <si>
    <t xml:space="preserve">Contains the job classifications from the job profile and additional job classifications from the worker's primary position.  Does not return a value if the worker has more than one position (multiple jobs).  Search only.</t>
  </si>
  <si>
    <t xml:space="preserve">Indexed Reporting</t>
  </si>
  <si>
    <t xml:space="preserve">EEO-1, ISCO and other job classifications.</t>
  </si>
  <si>
    <t xml:space="preserve">Position</t>
  </si>
  <si>
    <t xml:space="preserve">The worker's primary position.</t>
  </si>
  <si>
    <t xml:space="preserve">The position (or job, in job management) the worker fills.</t>
  </si>
  <si>
    <t xml:space="preserve">Position ID</t>
  </si>
  <si>
    <t xml:space="preserve">The unique identifier for the worker's primary position.</t>
  </si>
  <si>
    <t xml:space="preserve">Position identifier; key for headcount and position control.</t>
  </si>
  <si>
    <t xml:space="preserve">All Positions</t>
  </si>
  <si>
    <t xml:space="preserve">Contains all the positions a worker has held over time.  This includes primary and additional jobs.</t>
  </si>
  <si>
    <t xml:space="preserve">Every position the worker holds, including additional jobs.</t>
  </si>
  <si>
    <t xml:space="preserve">Critical Job - Primary Position</t>
  </si>
  <si>
    <t xml:space="preserve">Returns true if the worker's primary position job is considered critical.</t>
  </si>
  <si>
    <t xml:space="preserve">Report Writer</t>
  </si>
  <si>
    <t xml:space="preserve">Flags critical jobs for succession planning.</t>
  </si>
  <si>
    <t xml:space="preserve">5. Organization &amp; Management</t>
  </si>
  <si>
    <t xml:space="preserve">Supervisory Organization</t>
  </si>
  <si>
    <t xml:space="preserve">Organization</t>
  </si>
  <si>
    <t xml:space="preserve">The supervisory organization for the worker's primary position.</t>
  </si>
  <si>
    <t xml:space="preserve">Main reporting structure; drives security, approvals and the org chart.</t>
  </si>
  <si>
    <t xml:space="preserve">Supervisory Organization - Primary Position</t>
  </si>
  <si>
    <t xml:space="preserve">The supervisory organization for the worker's primary position, if the supervisory organization is viewable by everyone.</t>
  </si>
  <si>
    <t xml:space="preserve">Securing Entity</t>
  </si>
  <si>
    <t xml:space="preserve">Supervisory org of the primary position only.</t>
  </si>
  <si>
    <t xml:space="preserve">Worker's Manager</t>
  </si>
  <si>
    <t xml:space="preserve">The supervisory manager for the worker's primary position.</t>
  </si>
  <si>
    <t xml:space="preserve">Manager(s) of the worker. Multi-instance, so a worker can have more than one.</t>
  </si>
  <si>
    <t xml:space="preserve">Manager - Level 01</t>
  </si>
  <si>
    <t xml:space="preserve">The immediate manager for the worker's primary position.  This is the manager for the worker's supervisory organization.  Example: Worker A is in Organization 1 which is managed by Worker B.  This will return Worker B.</t>
  </si>
  <si>
    <t xml:space="preserve">Top of the management chain. Use Level 01 to Level 10 to build hierarchy columns.</t>
  </si>
  <si>
    <t xml:space="preserve">Manager - Level 02</t>
  </si>
  <si>
    <t xml:space="preserve">The manager of the superior organization for the worker's primary position's supervisory organization.  Example: Worker A is in Organization 1 which has a superior Organization 2.  Organization 2 is managed by Worker C.  This will return Worker C.</t>
  </si>
  <si>
    <t xml:space="preserve">All Managers in Management Chain</t>
  </si>
  <si>
    <t xml:space="preserve">The supervisory managers in the management chain for the worker's primary position. The user will need access to view the managers as a worker.</t>
  </si>
  <si>
    <t xml:space="preserve">Every manager above the worker; good for 'roll-up to VP' filters.</t>
  </si>
  <si>
    <t xml:space="preserve">Direct Reports (Employees)</t>
  </si>
  <si>
    <t xml:space="preserve">Returns all employees who are direct reports to the worker.</t>
  </si>
  <si>
    <t xml:space="preserve">Employees who report directly to this worker.</t>
  </si>
  <si>
    <t xml:space="preserve">Number of Direct Reports</t>
  </si>
  <si>
    <t xml:space="preserve">The number of direct reports as of the current moment. Includes active workers, contingent workers, inactive workers, and inherited positions.</t>
  </si>
  <si>
    <t xml:space="preserve">Numeric span of control.</t>
  </si>
  <si>
    <t xml:space="preserve">Organizations Managed</t>
  </si>
  <si>
    <t xml:space="preserve">Organizations where the Workerhas been assigned to the manager role. The user must have permissions to view these organizations. Includes organizations with inherited manager roles.</t>
  </si>
  <si>
    <t xml:space="preserve">Organizations where the worker is the manager.</t>
  </si>
  <si>
    <t xml:space="preserve">Cost Center</t>
  </si>
  <si>
    <t xml:space="preserve">The cost center for the worker's primary position. This report field only displays 1 cost center. If the worker has more than 1 cost center, this field displays the first cost center it finds for the worker.</t>
  </si>
  <si>
    <t xml:space="preserve">Financial cost center; key for finance reporting and payroll costing.</t>
  </si>
  <si>
    <t xml:space="preserve">Cost Center - ID</t>
  </si>
  <si>
    <t xml:space="preserve">The cost center id for the worker's primary position.</t>
  </si>
  <si>
    <t xml:space="preserve">Text ID of the cost center for integrations.</t>
  </si>
  <si>
    <t xml:space="preserve">Cost Center - Name</t>
  </si>
  <si>
    <t xml:space="preserve">The name of the cost center for the worker's primary position.</t>
  </si>
  <si>
    <t xml:space="preserve">Company</t>
  </si>
  <si>
    <t xml:space="preserve">The company for the worker.</t>
  </si>
  <si>
    <t xml:space="preserve">Legal entity that employs the worker.</t>
  </si>
  <si>
    <t xml:space="preserve">Company - Name</t>
  </si>
  <si>
    <t xml:space="preserve">The name of the company for the worker's primary position.</t>
  </si>
  <si>
    <t xml:space="preserve">Region</t>
  </si>
  <si>
    <t xml:space="preserve">The region for the worker's primary position.  Only use this report field if the worker only has 1 region, otherwise it will pick the worker's first region it finds for them.</t>
  </si>
  <si>
    <t xml:space="preserve">Region organization assignment.</t>
  </si>
  <si>
    <t xml:space="preserve">Matrix Organizations</t>
  </si>
  <si>
    <t xml:space="preserve">Matrix Organization</t>
  </si>
  <si>
    <t xml:space="preserve">The matrix organizations for the worker's primary position.</t>
  </si>
  <si>
    <t xml:space="preserve">Dotted-line or matrix organizations.</t>
  </si>
  <si>
    <t xml:space="preserve">Business Units</t>
  </si>
  <si>
    <t xml:space="preserve">Business Unit</t>
  </si>
  <si>
    <t xml:space="preserve">The business units for the worker's primary job.</t>
  </si>
  <si>
    <t xml:space="preserve">Business unit assignments.</t>
  </si>
  <si>
    <t xml:space="preserve">Location</t>
  </si>
  <si>
    <t xml:space="preserve">Contains the location for the worker.</t>
  </si>
  <si>
    <t xml:space="preserve">Work location; drives tax, holiday calendar and time zone.</t>
  </si>
  <si>
    <t xml:space="preserve">Location - Name</t>
  </si>
  <si>
    <t xml:space="preserve">The name of the location for the worker's primary position.</t>
  </si>
  <si>
    <t xml:space="preserve">Location Address - City</t>
  </si>
  <si>
    <t xml:space="preserve">Location Address - Country</t>
  </si>
  <si>
    <t xml:space="preserve">Country</t>
  </si>
  <si>
    <t xml:space="preserve">The country of the worker's location address.</t>
  </si>
  <si>
    <t xml:space="preserve">Country of the work location. Common for global headcount.</t>
  </si>
  <si>
    <t xml:space="preserve">Location Hierarchy</t>
  </si>
  <si>
    <t xml:space="preserve">The location hierarchy for the location of the worker's primary position.</t>
  </si>
  <si>
    <t xml:space="preserve">Location hierarchies the location belongs to.</t>
  </si>
  <si>
    <t xml:space="preserve">Pay Group</t>
  </si>
  <si>
    <t xml:space="preserve">The Pay Group for the worker.</t>
  </si>
  <si>
    <t xml:space="preserve">Payroll</t>
  </si>
  <si>
    <t xml:space="preserve">Payroll pay group; determines pay schedule and run.</t>
  </si>
  <si>
    <t xml:space="preserve">Unions Active</t>
  </si>
  <si>
    <t xml:space="preserve">Union</t>
  </si>
  <si>
    <t xml:space="preserve">Contains the Unions that the Worker is currently Active in.</t>
  </si>
  <si>
    <t xml:space="preserve">Unions where the worker has an active membership.</t>
  </si>
  <si>
    <t xml:space="preserve">6. Contact Information</t>
  </si>
  <si>
    <t xml:space="preserve">Email - Primary Work</t>
  </si>
  <si>
    <t xml:space="preserve">The primary work email address for the worker.</t>
  </si>
  <si>
    <t xml:space="preserve">Address &amp; Phone</t>
  </si>
  <si>
    <t xml:space="preserve">Primary work email. Text; ideal for exports and provisioning.</t>
  </si>
  <si>
    <t xml:space="preserve">Email - Primary Home</t>
  </si>
  <si>
    <t xml:space="preserve">The primary home email address for the worker.</t>
  </si>
  <si>
    <t xml:space="preserve">Personal email; often used for leaver and alumni communications.</t>
  </si>
  <si>
    <t xml:space="preserve">Phone - Primary Work</t>
  </si>
  <si>
    <t xml:space="preserve">The primary work phone number for the worker including the area code and country code.</t>
  </si>
  <si>
    <t xml:space="preserve">Phone - Primary Home</t>
  </si>
  <si>
    <t xml:space="preserve">The primary home phone number for the worker including the area code and country code.</t>
  </si>
  <si>
    <t xml:space="preserve">Phone Numbers</t>
  </si>
  <si>
    <t xml:space="preserve">Phone Data</t>
  </si>
  <si>
    <t xml:space="preserve">Contains all the phone information defined for the worker.</t>
  </si>
  <si>
    <t xml:space="preserve">All phone numbers (Phone Data objects): drill in for type, device and country code.</t>
  </si>
  <si>
    <t xml:space="preserve">Primary Home Address</t>
  </si>
  <si>
    <t xml:space="preserve">Address</t>
  </si>
  <si>
    <t xml:space="preserve">Returns the primary Home Address instance for the worker.</t>
  </si>
  <si>
    <t xml:space="preserve">Primary home address object; drill in for address components.</t>
  </si>
  <si>
    <t xml:space="preserve">Primary Home Address - City</t>
  </si>
  <si>
    <t xml:space="preserve">The city from the primary home address of the worker</t>
  </si>
  <si>
    <t xml:space="preserve">Primary Home Address - State</t>
  </si>
  <si>
    <t xml:space="preserve">Country Region</t>
  </si>
  <si>
    <t xml:space="preserve">Returns the State of this Worker's Primary Home Address.</t>
  </si>
  <si>
    <t xml:space="preserve">US state of the home address; key for tax and remote-work reporting.</t>
  </si>
  <si>
    <t xml:space="preserve">Primary Home Address - Postal Code</t>
  </si>
  <si>
    <t xml:space="preserve">Returns the Postal Code of this Worker's Primary Home Address.</t>
  </si>
  <si>
    <t xml:space="preserve">Primary Home Address - Country</t>
  </si>
  <si>
    <t xml:space="preserve">The country from the worker's primary home address.</t>
  </si>
  <si>
    <t xml:space="preserve">Primary Work Address</t>
  </si>
  <si>
    <t xml:space="preserve">Returns the Primary Work Address for a Worker either defaulted from their primary job location, or from their alternate primary work address.</t>
  </si>
  <si>
    <t xml:space="preserve">Primary work address object.</t>
  </si>
  <si>
    <t xml:space="preserve">Primary Work Address - City</t>
  </si>
  <si>
    <t xml:space="preserve">Retrieve work address city for worker base on effective date. If no effective date given, work address will be evaluated as of current date.</t>
  </si>
  <si>
    <t xml:space="preserve">Calculation Engine (Payroll/Absence)</t>
  </si>
  <si>
    <t xml:space="preserve">Primary Work Address - Country</t>
  </si>
  <si>
    <t xml:space="preserve">Emergency Contacts</t>
  </si>
  <si>
    <t xml:space="preserve">Emergency Contact</t>
  </si>
  <si>
    <t xml:space="preserve">Contains the emergency contacts for the worker.</t>
  </si>
  <si>
    <t xml:space="preserve">Emergency contacts for the worker; personal data, so limit who can see it.</t>
  </si>
  <si>
    <t xml:space="preserve">7. Personal &amp; Demographic (Sensitive)</t>
  </si>
  <si>
    <t xml:space="preserve">Date of Birth</t>
  </si>
  <si>
    <t xml:space="preserve">The birth date of the worker.</t>
  </si>
  <si>
    <t xml:space="preserve">Sensitive personal data. Limit access and prefer Age or Age Group in reports.</t>
  </si>
  <si>
    <t xml:space="preserve">Age</t>
  </si>
  <si>
    <t xml:space="preserve">The worker's age.</t>
  </si>
  <si>
    <t xml:space="preserve">Numeric current age.</t>
  </si>
  <si>
    <t xml:space="preserve">Age Group</t>
  </si>
  <si>
    <t xml:space="preserve">Age Band Definition</t>
  </si>
  <si>
    <t xml:space="preserve">Returns the age group for the worker.</t>
  </si>
  <si>
    <t xml:space="preserve">Configured age band; safer for analytics.</t>
  </si>
  <si>
    <t xml:space="preserve">Gender</t>
  </si>
  <si>
    <t xml:space="preserve">The gender of the worker.</t>
  </si>
  <si>
    <t xml:space="preserve">Gender value.</t>
  </si>
  <si>
    <t xml:space="preserve">Reporting Gender</t>
  </si>
  <si>
    <t xml:space="preserve">The reporting gender of the worker.</t>
  </si>
  <si>
    <t xml:space="preserve">Gender used for statutory and diversity reporting.</t>
  </si>
  <si>
    <t xml:space="preserve">Gender Identity (Locale Sensitive)</t>
  </si>
  <si>
    <t xml:space="preserve">Gender Identity</t>
  </si>
  <si>
    <t xml:space="preserve">Indicates the Gender Identity for the person. Returns value based on the localization setting for Worker</t>
  </si>
  <si>
    <t xml:space="preserve">Self-identified gender identity.</t>
  </si>
  <si>
    <t xml:space="preserve">Pronoun (Locale Sensitive)</t>
  </si>
  <si>
    <t xml:space="preserve">Pronoun</t>
  </si>
  <si>
    <t xml:space="preserve">Returns the pronoun for the person. Returns value based on the localization setting for Worker</t>
  </si>
  <si>
    <t xml:space="preserve">Preferred pronoun.</t>
  </si>
  <si>
    <t xml:space="preserve">Marital Status</t>
  </si>
  <si>
    <t xml:space="preserve">The marital status of a worker that returns a single instance.  Use this report field instead of Marital Status, 146$18910 or Marital Statuses, 146$1734 which will be deprecated in a future release. This report field cannot be secured by country.</t>
  </si>
  <si>
    <t xml:space="preserve">Race/Ethnicity</t>
  </si>
  <si>
    <t xml:space="preserve">Ethnicity</t>
  </si>
  <si>
    <t xml:space="preserve">The Race/Ethnicity of the worker.</t>
  </si>
  <si>
    <t xml:space="preserve">Used in EEO and diversity reporting; country-specific.</t>
  </si>
  <si>
    <t xml:space="preserve">Hispanic or Latino</t>
  </si>
  <si>
    <t xml:space="preserve">'Yes' if the worker indicates they are Hispanic or Latino. This report field cannot be secured by country.</t>
  </si>
  <si>
    <t xml:space="preserve">US EEO-1 Hispanic or Latino indicator.</t>
  </si>
  <si>
    <t xml:space="preserve">Citizenship Status (Locale Sensitive)</t>
  </si>
  <si>
    <t xml:space="preserve">Citizenship Status</t>
  </si>
  <si>
    <t xml:space="preserve">Indicates the citizenship status for the person. Returns value based on the localization setting for Worker</t>
  </si>
  <si>
    <t xml:space="preserve">Primary Nationality (Worker) - Locale Sensitive</t>
  </si>
  <si>
    <t xml:space="preserve">Country and Nationality</t>
  </si>
  <si>
    <t xml:space="preserve">Indicates the primary nationality for the person. Returns value based on the localization setting for Worker .</t>
  </si>
  <si>
    <t xml:space="preserve">Military Service</t>
  </si>
  <si>
    <t xml:space="preserve">Military Service for the worker.</t>
  </si>
  <si>
    <t xml:space="preserve">Skills and Experience</t>
  </si>
  <si>
    <t xml:space="preserve">Military service records.</t>
  </si>
  <si>
    <t xml:space="preserve">Protected Veteran</t>
  </si>
  <si>
    <t xml:space="preserve">Whether the worker is a protected veteran.</t>
  </si>
  <si>
    <t xml:space="preserve">Uncategorized</t>
  </si>
  <si>
    <t xml:space="preserve">US VETS-4212 reporting flag.</t>
  </si>
  <si>
    <t xml:space="preserve">Disability Statuses</t>
  </si>
  <si>
    <t xml:space="preserve">Disability Status</t>
  </si>
  <si>
    <t xml:space="preserve">The disability status for the worker. This report field cannot be secured by country.</t>
  </si>
  <si>
    <t xml:space="preserve">Self-identified disability statuses.</t>
  </si>
  <si>
    <t xml:space="preserve">National ID</t>
  </si>
  <si>
    <t xml:space="preserve">National Identifier Interface</t>
  </si>
  <si>
    <t xml:space="preserve">The national IDs for the external candidate.</t>
  </si>
  <si>
    <t xml:space="preserve">All national identifiers (for example SSN or NI Number). Highly sensitive.</t>
  </si>
  <si>
    <t xml:space="preserve">Social Security Number</t>
  </si>
  <si>
    <t xml:space="preserve">The United States Social Security Number of the worker.</t>
  </si>
  <si>
    <t xml:space="preserve">IDs</t>
  </si>
  <si>
    <t xml:space="preserve">US SSN. Highly sensitive; limit through security groups.</t>
  </si>
  <si>
    <t xml:space="preserve">8. Compensation &amp; Pay</t>
  </si>
  <si>
    <t xml:space="preserve">Compensation Grade</t>
  </si>
  <si>
    <t xml:space="preserve">The employee's compensation grade.</t>
  </si>
  <si>
    <t xml:space="preserve">Pay grade.</t>
  </si>
  <si>
    <t xml:space="preserve">Compensation Grade Profile</t>
  </si>
  <si>
    <t xml:space="preserve">The compensation grade profile for an employee.</t>
  </si>
  <si>
    <t xml:space="preserve">Grade profile that sets the pay range by geography or segment.</t>
  </si>
  <si>
    <t xml:space="preserve">Compensation Package</t>
  </si>
  <si>
    <t xml:space="preserve">The compensation package for an employee.</t>
  </si>
  <si>
    <t xml:space="preserve">Compensation</t>
  </si>
  <si>
    <t xml:space="preserve">Compensation package assigned to the worker.</t>
  </si>
  <si>
    <t xml:space="preserve">Total Base Pay - Amount</t>
  </si>
  <si>
    <t xml:space="preserve">Currency</t>
  </si>
  <si>
    <t xml:space="preserve">The base pay for an employee's primary job.  This is the sum of an employee's compensation element amounts that are considered base pay.  The number is represented in the currency and frequency of the employee's compensation grade profile, or compensation grade if no compensation grade profile exists.</t>
  </si>
  <si>
    <t xml:space="preserve">Total base pay in the worker's own currency and frequency.</t>
  </si>
  <si>
    <t xml:space="preserve">Total Base Pay - Currency</t>
  </si>
  <si>
    <t xml:space="preserve">The currency associated with the employee's primary job base pay.</t>
  </si>
  <si>
    <t xml:space="preserve">Always report the currency alongside the amount.</t>
  </si>
  <si>
    <t xml:space="preserve">Total Base Pay - Frequency</t>
  </si>
  <si>
    <t xml:space="preserve">Frequency</t>
  </si>
  <si>
    <t xml:space="preserve">The frequency associated with the employee's primary job base pay.</t>
  </si>
  <si>
    <t xml:space="preserve">Annual, Monthly, Hourly and so on.</t>
  </si>
  <si>
    <t xml:space="preserve">Total Base Pay Annualized - Amount</t>
  </si>
  <si>
    <t xml:space="preserve">The annualized base pay for an employee's primary job.  This is the sum of an employee's compensation elements that are considered base pay.  The number is annualized and represented in the currency of the employee's compensation grade profile, or compensation grade if no compensation grade profile exists.</t>
  </si>
  <si>
    <t xml:space="preserve">Annualized base pay; use to compare salaries.</t>
  </si>
  <si>
    <t xml:space="preserve">Total Base Pay - Annualized in USD</t>
  </si>
  <si>
    <t xml:space="preserve">The annualized base pay for an employee's primary job.  This is calculated by taking the sum of an employee's compensation elements that are considered base pay.  The number is annualized and represented in USD.</t>
  </si>
  <si>
    <t xml:space="preserve">Converted to USD; use for global roll-ups.</t>
  </si>
  <si>
    <t xml:space="preserve">Primary Compensation Basis - Amount</t>
  </si>
  <si>
    <t xml:space="preserve">The primary compensation basis amount for an employee.  This is the sum of an employee's compensation amounts that are considered part of their primary compensation basis amount.  The number is represented in the currency and frequency of the employee's compensation grade profile, or compensation grade if no compensation grade profile exists.</t>
  </si>
  <si>
    <t xml:space="preserve">Amount of the primary compensation basis (often base plus fixed allowances).</t>
  </si>
  <si>
    <t xml:space="preserve">Primary Compensation Basis - Frequency</t>
  </si>
  <si>
    <t xml:space="preserve">The frequency associated with the employee's primary compensation basis.</t>
  </si>
  <si>
    <t xml:space="preserve">Total Salary &amp; Allowances - Annualized in USD</t>
  </si>
  <si>
    <t xml:space="preserve">The annualized total salary and allowances for an employee's primary position. This is calculated by taking the sum of all the salary and allowance plans assigned to the worker's primary position. The number is annualized and represented in USD.</t>
  </si>
  <si>
    <t xml:space="preserve">Compa-Ratio</t>
  </si>
  <si>
    <t xml:space="preserve">The compa-ratio for the employee.  To calculate this value, the following formula is used: Base Pay or Primary Compensation / Compensation Range 50th percentile or Range Midpoint Value; Compensation Range 50th percentile or Range Midpoint Value is determined by system setup.</t>
  </si>
  <si>
    <t xml:space="preserve">Pay divided by the range midpoint; 1.0 means at the midpoint.</t>
  </si>
  <si>
    <t xml:space="preserve">Pay Range Penetration</t>
  </si>
  <si>
    <t xml:space="preserve">The pay range penetration for the employee.  To calculate this value, the following formula is used:  (Sum of Base Pay Compensation Elements - Compensation Range Minimum) / (Compensation Range Maximum - Compensation Range Minimum).</t>
  </si>
  <si>
    <t xml:space="preserve">Position within the pay range (0 is the minimum, 1 the maximum).</t>
  </si>
  <si>
    <t xml:space="preserve">Total Base Pay Range</t>
  </si>
  <si>
    <t xml:space="preserve">Compensation Pay Range</t>
  </si>
  <si>
    <t xml:space="preserve">This returns the Total Base Pay Compensation Pay Range for the worker.</t>
  </si>
  <si>
    <t xml:space="preserve">Pay range object (min / midpoint / max).</t>
  </si>
  <si>
    <t xml:space="preserve">Hourly Rate - Amount</t>
  </si>
  <si>
    <t xml:space="preserve">Returns the hourly rate for an hourly employee.  If the employee is not paid hourly then the field displays 0.</t>
  </si>
  <si>
    <t xml:space="preserve">Hourly rate for hourly workers.</t>
  </si>
  <si>
    <t xml:space="preserve">Salary Plan Assignments</t>
  </si>
  <si>
    <t xml:space="preserve">Compensation Plan Assignment</t>
  </si>
  <si>
    <t xml:space="preserve">Provides the context link between the worker and compensation plan assignment business objects. This field specifically provides a link to the salary plans assigned to an employee. Linked fields cannot be used in reports as fields, and should only be used as related business objects in reports.</t>
  </si>
  <si>
    <t xml:space="preserve">Salary plan assignments; drill in for the amount and plan.</t>
  </si>
  <si>
    <t xml:space="preserve">Bonus Plan Assignments</t>
  </si>
  <si>
    <t xml:space="preserve">Provides the context link between the worker and compensation plan assignment business objects. This field specifically provides a link to the bonus plans assigned to an employee. Linked fields cannot be used in reports as fields, and should only be used as related business objects in reports.</t>
  </si>
  <si>
    <t xml:space="preserve">Allowance Plan Assignments</t>
  </si>
  <si>
    <t xml:space="preserve">Provides the context link between the worker and compensation plan assignment business objects. This field specifically provides a link to the allowance plans assigned to an employee. Linked fields cannot be used in reports as fields, and should only be used as related business objects in reports.</t>
  </si>
  <si>
    <t xml:space="preserve">Stock Plan Assignments</t>
  </si>
  <si>
    <t xml:space="preserve">Provides the context link between the worker and compensation plan assignment business objects. This field specifically provides a link to the stock plans assigned to an employee. Linked fields cannot be used in reports as fields, and should only be used as related business objects in reports.</t>
  </si>
  <si>
    <t xml:space="preserve">Last Base Pay Increase - Amount</t>
  </si>
  <si>
    <t xml:space="preserve">The amount of the last change to the employee's  base pay, which may be future-dated. The number is represented in the currency and frequency of the employee's compensation grade profile, or compensation grade if no compensation grade profile exists.</t>
  </si>
  <si>
    <t xml:space="preserve">Use these together for merit and increase analysis.</t>
  </si>
  <si>
    <t xml:space="preserve">Last Base Pay Increase - Percent</t>
  </si>
  <si>
    <t xml:space="preserve">The percent of the last change to the  employee's base pay, which may be future-dated.</t>
  </si>
  <si>
    <t xml:space="preserve">Last Base Pay Increase - Date</t>
  </si>
  <si>
    <t xml:space="preserve">The effective date of the last change to the employee's base pay, which may be future-dated.</t>
  </si>
  <si>
    <t xml:space="preserve">Compensation History - Base Pay Changes Only</t>
  </si>
  <si>
    <t xml:space="preserve">Employee Compensation Event</t>
  </si>
  <si>
    <t xml:space="preserve">Contains the history of base pay changes for an employee.</t>
  </si>
  <si>
    <t xml:space="preserve">History of base pay change events.</t>
  </si>
  <si>
    <t xml:space="preserve">9. Separation, Leave &amp; Time Off</t>
  </si>
  <si>
    <t xml:space="preserve">Primary Termination Reason</t>
  </si>
  <si>
    <t xml:space="preserve">Termination Subcategory</t>
  </si>
  <si>
    <t xml:space="preserve">Returns the primary termination reason for the worker as an instance</t>
  </si>
  <si>
    <t xml:space="preserve">Main termination reason (subcategory).</t>
  </si>
  <si>
    <t xml:space="preserve">Secondary Termination Reasons</t>
  </si>
  <si>
    <t xml:space="preserve">The secondary termination reasons for the worker's last termination. Doesn't include future-dated terminations.</t>
  </si>
  <si>
    <t xml:space="preserve">Termination Category</t>
  </si>
  <si>
    <t xml:space="preserve">Event Classification Category</t>
  </si>
  <si>
    <t xml:space="preserve">The termination category for the primary termination reason.</t>
  </si>
  <si>
    <t xml:space="preserve">Voluntary vs. Involuntary; key for attrition analysis.</t>
  </si>
  <si>
    <t xml:space="preserve">Regrettable Termination</t>
  </si>
  <si>
    <t xml:space="preserve">Returns "True" if the employee's termination was regrettable. This typically is the case for high performers leaving a company voluntarily.</t>
  </si>
  <si>
    <t xml:space="preserve">Boolean; flags regretted loss.</t>
  </si>
  <si>
    <t xml:space="preserve">Eligible for Rehire</t>
  </si>
  <si>
    <t xml:space="preserve">Common Yes No</t>
  </si>
  <si>
    <t xml:space="preserve">Yes if the pre-hire is marked as Eligible for Rehire during their exit interview or termination. If no value is selected, or if the Eligible for Rehire field is updated on the pre-hire record after the most recent termination, this report field displays the value on the pre-hire record.</t>
  </si>
  <si>
    <t xml:space="preserve">Yes/No.</t>
  </si>
  <si>
    <t xml:space="preserve">Pay Through Date</t>
  </si>
  <si>
    <t xml:space="preserve">The pay through date for the terminated worker. Workday obtains the value from a severance worksheet with Send to Payroll selected, if one exists. If not, Workday obtains the value from the termination.</t>
  </si>
  <si>
    <t xml:space="preserve">Payroll Interface</t>
  </si>
  <si>
    <t xml:space="preserve">Last date the worker is paid through.</t>
  </si>
  <si>
    <t xml:space="preserve">Termination History - Approved</t>
  </si>
  <si>
    <t xml:space="preserve">Termination Event</t>
  </si>
  <si>
    <t xml:space="preserve">Contains approved termination transactions for the worker.</t>
  </si>
  <si>
    <t xml:space="preserve">All approved termination events.</t>
  </si>
  <si>
    <t xml:space="preserve">Leave Type</t>
  </si>
  <si>
    <t xml:space="preserve">The type of leave that the worker is currently on as of Date parm.  If the processing effective moment is not passed in, the type of leave as of current date.</t>
  </si>
  <si>
    <t xml:space="preserve">Current leave type(s).</t>
  </si>
  <si>
    <t xml:space="preserve">First Day of Leave</t>
  </si>
  <si>
    <t xml:space="preserve">Returns the first day an employee is on leave.  Only returns a date if the employee is currently on a leave and has not been returned from leave yet.</t>
  </si>
  <si>
    <t xml:space="preserve">Leave of Absence</t>
  </si>
  <si>
    <t xml:space="preserve">Estimated Last Day of Leave</t>
  </si>
  <si>
    <t xml:space="preserve">Returns the estimated last day that a worker is on leave. Only returns a date if the worker is currently on a leave and has not been returned from leave yet.   This field can be used in custom reports to report on worker leave events.</t>
  </si>
  <si>
    <t xml:space="preserve">Leave of Absence Requests</t>
  </si>
  <si>
    <t xml:space="preserve">Leave Request Event</t>
  </si>
  <si>
    <t xml:space="preserve">Contains the leave requests that are approved for an employee.</t>
  </si>
  <si>
    <t xml:space="preserve">Leave request business processes.</t>
  </si>
  <si>
    <t xml:space="preserve">Time Off Requests</t>
  </si>
  <si>
    <t xml:space="preserve">Time Off Event</t>
  </si>
  <si>
    <t xml:space="preserve">Contains time off requests approved for an employee.</t>
  </si>
  <si>
    <t xml:space="preserve">Time Off</t>
  </si>
  <si>
    <t xml:space="preserve">Time off request events.</t>
  </si>
  <si>
    <t xml:space="preserve">All Time Off Plans for Worker</t>
  </si>
  <si>
    <t xml:space="preserve">Time Off Plan</t>
  </si>
  <si>
    <t xml:space="preserve">All time off plans assigned to a worker. For improved performance, use this report field in calculated fields in combination with the Worker is Eligible for Time Off Plan report field.   Example: A Sum Related Instances calculated field containing an All Time Off Plans for Worker related field and a True/False Condition calculated field with the Worker is Eligible for Time Off Plan report field.</t>
  </si>
  <si>
    <t xml:space="preserve">Time off plans that apply to the worker.</t>
  </si>
  <si>
    <t xml:space="preserve">10. Talent, Performance &amp; Skills</t>
  </si>
  <si>
    <t xml:space="preserve">Last Review - Overall Rating</t>
  </si>
  <si>
    <t xml:space="preserve">Abstract Review Rating</t>
  </si>
  <si>
    <t xml:space="preserve">The overall rating for the last completed employee review with a review period end date on or before today. The overall rating comes from the Overall section in the manager's evaluation (reviews with no Overall section and without ratings enabled are excluded). When 2 or more reviews have the same end date, we reference the review with the most recent completion timestamp.</t>
  </si>
  <si>
    <t xml:space="preserve">Goals and Reviews</t>
  </si>
  <si>
    <t xml:space="preserve">Overall rating from the most recent completed review.</t>
  </si>
  <si>
    <t xml:space="preserve">Last Review - Period End Date</t>
  </si>
  <si>
    <t xml:space="preserve">The period end date for the last completed employee review.</t>
  </si>
  <si>
    <t xml:space="preserve">All Reviews for Worker</t>
  </si>
  <si>
    <t xml:space="preserve">Employee Review</t>
  </si>
  <si>
    <t xml:space="preserve">Returns all employee reviews for workers regardless of status.</t>
  </si>
  <si>
    <t xml:space="preserve">Business Rules</t>
  </si>
  <si>
    <t xml:space="preserve">Every review (performance, development and so on).</t>
  </si>
  <si>
    <t xml:space="preserve">Goals</t>
  </si>
  <si>
    <t xml:space="preserve">Goal</t>
  </si>
  <si>
    <t xml:space="preserve">Includes the worker's In Progress or Completed goals created through Manage Goals. This does not include any goals created as part of an In Progress employee review.</t>
  </si>
  <si>
    <t xml:space="preserve">Current goals for the worker.</t>
  </si>
  <si>
    <t xml:space="preserve">Potential - Completed Rating</t>
  </si>
  <si>
    <t xml:space="preserve">Potential</t>
  </si>
  <si>
    <t xml:space="preserve">The potential for an employee.  Only returns a value for employees, as contingent workers do not have potential tracked.</t>
  </si>
  <si>
    <t xml:space="preserve">Talent</t>
  </si>
  <si>
    <t xml:space="preserve">Potential assessment rating.</t>
  </si>
  <si>
    <t xml:space="preserve">Is High Potential</t>
  </si>
  <si>
    <t xml:space="preserve">Returns true if the employee is high potential. Only returns a value for employees, as contingent workers do not have potential tracked.</t>
  </si>
  <si>
    <t xml:space="preserve">Retention</t>
  </si>
  <si>
    <t xml:space="preserve">The retention status for an employee.  Only returns a value for employees as contingent workers do not have retention status tracked.</t>
  </si>
  <si>
    <t xml:space="preserve">Retention risk rating.</t>
  </si>
  <si>
    <t xml:space="preserve">Is High Retention Risk</t>
  </si>
  <si>
    <t xml:space="preserve">Returns true if the employee is high retention risk. Only returns a value for employees as contingent workers do not have retention risk tracked.</t>
  </si>
  <si>
    <t xml:space="preserve">Loss Impact</t>
  </si>
  <si>
    <t xml:space="preserve">The loss impact status for an employee.  Only returns a value for employees as contingent workers do not have retention status tracked.</t>
  </si>
  <si>
    <t xml:space="preserve">Impact if the worker leaves.</t>
  </si>
  <si>
    <t xml:space="preserve">Talent Matrix Placement</t>
  </si>
  <si>
    <t xml:space="preserve">Returns the Talent Matrix Placement for the worker.</t>
  </si>
  <si>
    <t xml:space="preserve">9-box placement.</t>
  </si>
  <si>
    <t xml:space="preserve">All Talent Pools</t>
  </si>
  <si>
    <t xml:space="preserve">Talent Pool</t>
  </si>
  <si>
    <t xml:space="preserve">The active talent pools workers are members of and who you have access to view. This report field only returns data for private pools you own, or restricted talent pools associated with the workers who you can view using the View Talent Pool report. To view membership for all active talent pools, use the Talent Pool - Any report field.</t>
  </si>
  <si>
    <t xml:space="preserve">Talent pools the worker belongs to.</t>
  </si>
  <si>
    <t xml:space="preserve">Skills</t>
  </si>
  <si>
    <t xml:space="preserve">Local Skill Item</t>
  </si>
  <si>
    <t xml:space="preserve">The active and inactive skills for a worker. This report field returns Skill Cloud skills, maintained skills, and crowdsourced skills. You can use this report field as a prompt in a custom report for Skills Cloud skills or maintained skills.</t>
  </si>
  <si>
    <t xml:space="preserve">Skills on the worker profile.</t>
  </si>
  <si>
    <t xml:space="preserve">Skills as Text</t>
  </si>
  <si>
    <t xml:space="preserve">The skills from the candidate's latest job application as a text string.</t>
  </si>
  <si>
    <t xml:space="preserve">Text version; handy for exports.</t>
  </si>
  <si>
    <t xml:space="preserve">Certifications</t>
  </si>
  <si>
    <t xml:space="preserve">Certification</t>
  </si>
  <si>
    <t xml:space="preserve">The certification achievement issued to a worker. Allows you to drill into the issued certification, its details, and the related actions.</t>
  </si>
  <si>
    <t xml:space="preserve">Education</t>
  </si>
  <si>
    <t xml:space="preserve">Contains a worker's educational experience, one record for each school attended..</t>
  </si>
  <si>
    <t xml:space="preserve">Degrees</t>
  </si>
  <si>
    <t xml:space="preserve">Degree</t>
  </si>
  <si>
    <t xml:space="preserve">Contains the degrees that a worker has attained.</t>
  </si>
  <si>
    <t xml:space="preserve">Language Skills</t>
  </si>
  <si>
    <t xml:space="preserve">Language Skill</t>
  </si>
  <si>
    <t xml:space="preserve">Contains the Languages for which the worker has a skill.  Contains the language only, not the skill level.</t>
  </si>
  <si>
    <t xml:space="preserve">Total Years Experience</t>
  </si>
  <si>
    <t xml:space="preserve">Total years experience for the candidate based on their most recent job application or Prospect.</t>
  </si>
  <si>
    <t xml:space="preserve">11. History &amp; Audit</t>
  </si>
  <si>
    <t xml:space="preserve">Job History</t>
  </si>
  <si>
    <t xml:space="preserve">Position Related Snapshot Interface</t>
  </si>
  <si>
    <t xml:space="preserve">Contains the position changes over time.  This includes changes to the position, organization assignments, and pay group for all positions accessible by the processing user.</t>
  </si>
  <si>
    <t xml:space="preserve">Snapshot history of the worker's positions and jobs.</t>
  </si>
  <si>
    <t xml:space="preserve">Worker History</t>
  </si>
  <si>
    <t xml:space="preserve">Action Event</t>
  </si>
  <si>
    <t xml:space="preserve">Events related to instance. When you want to return a subset of worker history events in custom reports, use the Worker History - Filterable field.</t>
  </si>
  <si>
    <t xml:space="preserve">Business process history for the worker.</t>
  </si>
  <si>
    <t xml:space="preserve">Hire History - Approved</t>
  </si>
  <si>
    <t xml:space="preserve">Hire Event</t>
  </si>
  <si>
    <t xml:space="preserve">Contains approved hire transactions for the worker.</t>
  </si>
  <si>
    <t xml:space="preserve">Job Profile History</t>
  </si>
  <si>
    <t xml:space="preserve">Job Profile Snapshot Interface</t>
  </si>
  <si>
    <t xml:space="preserve">Contains the job profile changes for all the worker's positions accessible by the processing user.</t>
  </si>
  <si>
    <t xml:space="preserve">Edit Position History - Approved</t>
  </si>
  <si>
    <t xml:space="preserve">Position Edit Event</t>
  </si>
  <si>
    <t xml:space="preserve">Contains approved edit position transactions for the worker's primary position.</t>
  </si>
  <si>
    <t xml:space="preserve">Compensation History - All Statuses</t>
  </si>
  <si>
    <t xml:space="preserve">Contains the compensation business processes of all statuses including approved, denied, in progress, etc.</t>
  </si>
  <si>
    <t xml:space="preserve">Last Termination Date</t>
  </si>
  <si>
    <t xml:space="preserve">(no description supplied in source)</t>
  </si>
  <si>
    <t xml:space="preserve">Calculated</t>
  </si>
  <si>
    <t xml:space="preserve">Termination date of the most recent termination (useful for rehires).</t>
  </si>
  <si>
    <t xml:space="preserve">Field Types Explained</t>
  </si>
  <si>
    <t xml:space="preserve">Counts are live formulas over the All Worker Fields tab.</t>
  </si>
  <si>
    <t xml:space="preserve">Fields</t>
  </si>
  <si>
    <t xml:space="preserve">% of Total</t>
  </si>
  <si>
    <t xml:space="preserve">What it returns</t>
  </si>
  <si>
    <t xml:space="preserve">How to use it in reports</t>
  </si>
  <si>
    <t xml:space="preserve">Common examples</t>
  </si>
  <si>
    <t xml:space="preserve">A plain string value.</t>
  </si>
  <si>
    <t xml:space="preserve">Filter with "contains" / "equal to". Best for exports and integrations. Cannot be drilled into.</t>
  </si>
  <si>
    <t xml:space="preserve">Employee ID, Email - Primary Work, Business Title, Cost Center - ID</t>
  </si>
  <si>
    <t xml:space="preserve">A number (integer or decimal).</t>
  </si>
  <si>
    <t xml:space="preserve">Sort, sum, average and band. Use for maths in calculated fields.</t>
  </si>
  <si>
    <t xml:space="preserve">FTE, Age, Years of Service, Compa-Ratio</t>
  </si>
  <si>
    <t xml:space="preserve">A monetary amount; the currency is held separately.</t>
  </si>
  <si>
    <t xml:space="preserve">Always show the matching Currency (and Frequency) field, or use the "Annualized in USD / Reporting Currency" variants to compare across countries.</t>
  </si>
  <si>
    <t xml:space="preserve">Total Base Pay - Amount, Hourly Rate - Amount</t>
  </si>
  <si>
    <t xml:space="preserve">A calendar date.</t>
  </si>
  <si>
    <t xml:space="preserve">Filter with relative dates (for example "in the last 30 days"); use Date Difference calculated fields for tenure.</t>
  </si>
  <si>
    <t xml:space="preserve">Hire Date, Termination Date, Date of Birth</t>
  </si>
  <si>
    <t xml:space="preserve">True / False.</t>
  </si>
  <si>
    <t xml:space="preserve">Ideal for report filters and condition logic in calculated fields and business process conditions.</t>
  </si>
  <si>
    <t xml:space="preserve">Is Manager, On Leave, Terminated, Exempt</t>
  </si>
  <si>
    <t xml:space="preserve">Exactly one related business object.</t>
  </si>
  <si>
    <t xml:space="preserve">Shows the object's display name; drill in (or use "Lookup Related Value") to reach the object's own fields. Use as a group-by in matrix reports.</t>
  </si>
  <si>
    <t xml:space="preserve">Supervisory Organization, Location, Job Profile, Company</t>
  </si>
  <si>
    <t xml:space="preserve">Zero or more related business objects.</t>
  </si>
  <si>
    <t xml:space="preserve">Use subfilters, "Extract Multi-Instance", "Count Related Instances" or a secondary business object in advanced reports. Watch for row multiplication.</t>
  </si>
  <si>
    <t xml:space="preserve">Worker's Manager, Employee Type, Phone Numbers, Skills</t>
  </si>
  <si>
    <t xml:space="preserve">The instance itself (or the same object type, used as a reference).</t>
  </si>
  <si>
    <t xml:space="preserve">Used to identify the row's own instance, for example the Worker field on the Worker object, or plan dimensions.</t>
  </si>
  <si>
    <t xml:space="preserve">Worker, Plan Dimension as Job Level</t>
  </si>
  <si>
    <t xml:space="preserve">Rich Text</t>
  </si>
  <si>
    <t xml:space="preserve">Formatted text (HTML).</t>
  </si>
  <si>
    <t xml:space="preserve">Display only; formatting may not export cleanly to Excel or integrations.</t>
  </si>
  <si>
    <t xml:space="preserve">Potential Assessment Value 1</t>
  </si>
  <si>
    <t xml:space="preserve">Total</t>
  </si>
  <si>
    <t xml:space="preserve">Meaning</t>
  </si>
  <si>
    <t xml:space="preserve">Delivered and maintained by Workday.</t>
  </si>
  <si>
    <t xml:space="preserve">Tenant-built calculated field. Check its logic before reuse; it may be tenant-specific.</t>
  </si>
  <si>
    <t xml:space="preserve">Custom Field</t>
  </si>
  <si>
    <t xml:space="preserve">Tenant-defined custom object or field.</t>
  </si>
  <si>
    <t xml:space="preserve">Field Categories</t>
  </si>
  <si>
    <t xml:space="preserve">Every category in the Worker PBO with live field counts. Sorted by size.</t>
  </si>
  <si>
    <t xml:space="preserve">Total Fields</t>
  </si>
  <si>
    <t xml:space="preserve">Common Fields in Handbook</t>
  </si>
  <si>
    <t xml:space="preserve">Worker Tax Elections</t>
  </si>
  <si>
    <t xml:space="preserve">P45</t>
  </si>
  <si>
    <t xml:space="preserve">Benefits</t>
  </si>
  <si>
    <t xml:space="preserve">Benefits Eligibility - Medicare</t>
  </si>
  <si>
    <t xml:space="preserve">Worktags - All Functional Areas</t>
  </si>
  <si>
    <t xml:space="preserve">Personal Information</t>
  </si>
  <si>
    <t xml:space="preserve">Audit</t>
  </si>
  <si>
    <t xml:space="preserve">Committee Candidates</t>
  </si>
  <si>
    <t xml:space="preserve">Career Development</t>
  </si>
  <si>
    <t xml:space="preserve">ACA IRS Reporting</t>
  </si>
  <si>
    <t xml:space="preserve">Project</t>
  </si>
  <si>
    <t xml:space="preserve">Academic Appointments</t>
  </si>
  <si>
    <t xml:space="preserve">Payroll Check Printing (Don't Use)</t>
  </si>
  <si>
    <t xml:space="preserve">Scheduling</t>
  </si>
  <si>
    <t xml:space="preserve">Collective Agreement</t>
  </si>
  <si>
    <t xml:space="preserve">Country Specific</t>
  </si>
  <si>
    <t xml:space="preserve">Integration</t>
  </si>
  <si>
    <t xml:space="preserve">Candidate</t>
  </si>
  <si>
    <t xml:space="preserve">Time</t>
  </si>
  <si>
    <t xml:space="preserve">Worktag Hierarchy</t>
  </si>
  <si>
    <t xml:space="preserve">Scorecard</t>
  </si>
  <si>
    <t xml:space="preserve">Succession</t>
  </si>
  <si>
    <t xml:space="preserve">Trended Worker Organizations</t>
  </si>
  <si>
    <t xml:space="preserve">Payment Elections</t>
  </si>
  <si>
    <t xml:space="preserve">Committee Memberships</t>
  </si>
  <si>
    <t xml:space="preserve">Date or Time Period</t>
  </si>
  <si>
    <t xml:space="preserve">Talent Marketplace</t>
  </si>
  <si>
    <t xml:space="preserve">Calendar</t>
  </si>
  <si>
    <t xml:space="preserve">Custom Fields</t>
  </si>
  <si>
    <t xml:space="preserve">Onboarding</t>
  </si>
  <si>
    <t xml:space="preserve">Workforce Planning (Do Not Use)</t>
  </si>
  <si>
    <t xml:space="preserve">Business Process</t>
  </si>
  <si>
    <t xml:space="preserve">Learning</t>
  </si>
  <si>
    <t xml:space="preserve">Project Resources</t>
  </si>
  <si>
    <t xml:space="preserve">Academic</t>
  </si>
  <si>
    <t xml:space="preserve">Academic Pay</t>
  </si>
  <si>
    <t xml:space="preserve">Account Posting Rule</t>
  </si>
  <si>
    <t xml:space="preserve">Amount</t>
  </si>
  <si>
    <t xml:space="preserve">Contingent Worker Information</t>
  </si>
  <si>
    <t xml:space="preserve">Contingent Worker Latest Hire</t>
  </si>
  <si>
    <t xml:space="preserve">Expense Report</t>
  </si>
  <si>
    <t xml:space="preserve">Public Profile Preferences</t>
  </si>
  <si>
    <t xml:space="preserve">Accounting Cash</t>
  </si>
  <si>
    <t xml:space="preserve">Compensation Benchmark</t>
  </si>
  <si>
    <t xml:space="preserve">Expense Attributes</t>
  </si>
  <si>
    <t xml:space="preserve">Pre-Hire</t>
  </si>
  <si>
    <t xml:space="preserve">Prospect</t>
  </si>
  <si>
    <t xml:space="preserve">Referral</t>
  </si>
  <si>
    <t xml:space="preserve">Security</t>
  </si>
  <si>
    <t xml:space="preserve">Active Consent</t>
  </si>
  <si>
    <t xml:space="preserve">Attachment</t>
  </si>
  <si>
    <t xml:space="preserve">Campaigns</t>
  </si>
  <si>
    <t xml:space="preserve">Career Hub</t>
  </si>
  <si>
    <t xml:space="preserve">Committee Minutes</t>
  </si>
  <si>
    <t xml:space="preserve">International Assignments</t>
  </si>
  <si>
    <t xml:space="preserve">Offer</t>
  </si>
  <si>
    <t xml:space="preserve">Student Staffing</t>
  </si>
  <si>
    <t xml:space="preserve">Time Accumulator Threshold Rules</t>
  </si>
  <si>
    <t xml:space="preserve">Timesheet</t>
  </si>
  <si>
    <t xml:space="preserve">Worker Spend</t>
  </si>
  <si>
    <t xml:space="preserve">Business Asset</t>
  </si>
  <si>
    <t xml:space="preserve">Business Entity Name</t>
  </si>
  <si>
    <t xml:space="preserve">Costing Override</t>
  </si>
  <si>
    <t xml:space="preserve">External Account Provisioning</t>
  </si>
  <si>
    <t xml:space="preserve">Payments</t>
  </si>
  <si>
    <t xml:space="preserve">Payroll Withholding Orders</t>
  </si>
  <si>
    <t xml:space="preserve">Period Activity Pay</t>
  </si>
  <si>
    <t xml:space="preserve">Retirement</t>
  </si>
  <si>
    <t xml:space="preserve">Review Document</t>
  </si>
  <si>
    <t xml:space="preserve">Time Accumulator</t>
  </si>
  <si>
    <t xml:space="preserve">Work</t>
  </si>
  <si>
    <t xml:space="preserve">Account</t>
  </si>
  <si>
    <t xml:space="preserve">Background Process</t>
  </si>
  <si>
    <t xml:space="preserve">Contact</t>
  </si>
  <si>
    <t xml:space="preserve">Credit Card</t>
  </si>
  <si>
    <t xml:space="preserve">Customers</t>
  </si>
  <si>
    <t xml:space="preserve">Federal</t>
  </si>
  <si>
    <t xml:space="preserve">Former Worker</t>
  </si>
  <si>
    <t xml:space="preserve">Initiative</t>
  </si>
  <si>
    <t xml:space="preserve">Job Requisition</t>
  </si>
  <si>
    <t xml:space="preserve">Journey</t>
  </si>
  <si>
    <t xml:space="preserve">Match and Merge</t>
  </si>
  <si>
    <t xml:space="preserve">Meeting Attendees</t>
  </si>
  <si>
    <t xml:space="preserve">Payee</t>
  </si>
  <si>
    <t xml:space="preserve">Person Changes</t>
  </si>
  <si>
    <t xml:space="preserve">Procurement Card Verification</t>
  </si>
  <si>
    <t xml:space="preserve">Purchase Order</t>
  </si>
  <si>
    <t xml:space="preserve">RTI</t>
  </si>
  <si>
    <t xml:space="preserve">Reference</t>
  </si>
  <si>
    <t xml:space="preserve">Reference Letter</t>
  </si>
  <si>
    <t xml:space="preserve">Reports</t>
  </si>
  <si>
    <t xml:space="preserve">Request</t>
  </si>
  <si>
    <t xml:space="preserve">Requisition</t>
  </si>
  <si>
    <t xml:space="preserve">Safety Incident Tracking</t>
  </si>
  <si>
    <t xml:space="preserve">Scheduled Distributions</t>
  </si>
  <si>
    <t xml:space="preserve">Security Configuration</t>
  </si>
  <si>
    <t xml:space="preserve">Severance</t>
  </si>
  <si>
    <t xml:space="preserve">Suppliers</t>
  </si>
  <si>
    <t xml:space="preserve">System</t>
  </si>
  <si>
    <t xml:space="preserve">Tax</t>
  </si>
  <si>
    <t xml:space="preserve">Time Attendance</t>
  </si>
  <si>
    <t xml:space="preserve">Time Block</t>
  </si>
  <si>
    <t xml:space="preserve">Time Entry</t>
  </si>
  <si>
    <t xml:space="preserve">W-2</t>
  </si>
  <si>
    <t xml:space="preserve">Work Calendar</t>
  </si>
  <si>
    <t xml:space="preserve">Year End</t>
  </si>
  <si>
    <t xml:space="preserve">Related Business Objects (RBO)</t>
  </si>
  <si>
    <t xml:space="preserve">Objects reachable from Worker. "Number of Links" is from Worker_RBO.xlsx; linking fields are taken from the PBO.</t>
  </si>
  <si>
    <t xml:space="preserve">Number of Links (RBO)</t>
  </si>
  <si>
    <t xml:space="preserve">Single-instance Links</t>
  </si>
  <si>
    <t xml:space="preserve">Multi-instance Links</t>
  </si>
  <si>
    <t xml:space="preserve">Example Worker Fields that Return this Object</t>
  </si>
  <si>
    <t xml:space="preserve">All Managers in Management Chain; Direct Reports (Employees); Manager - Level 01; Manager - Level 02; Worker ...</t>
  </si>
  <si>
    <t xml:space="preserve">All Positions; Position; Additional Jobs; Additional Jobs - All; Additional Jobs if Enabled; All Effective Positions ...</t>
  </si>
  <si>
    <t xml:space="preserve">Organizations Managed; Supervisory Organization; Assigned Organization; Assigned Organizations (Benefit Jobs); CF ESI Superior Orgnization; CF_ESI PC on Worker ...</t>
  </si>
  <si>
    <t xml:space="preserve">Location; All Locations; All Locations (Benefit Jobs); All Locations (Benefits); Cost Center - Primary Locations; Headcount Plan Template Location Filters ...</t>
  </si>
  <si>
    <t xml:space="preserve">Total Base Pay - Currency; Benefits Annual Rate Currency; Company or Company Hierarchy Currency; Compensation Range - Currency; Competitive Market Target Benchmark - Currency; Currency for Primary Position ...</t>
  </si>
  <si>
    <t xml:space="preserve">Last Review - Overall Rating; Average Project Rating; Calibration: Column Section Rating; Calibration: Overall Performance Rating; Calibration: Row Section Rating; Calibration: Talent Based Performance Rating ...</t>
  </si>
  <si>
    <t xml:space="preserve">Primary Compensation Basis - Frequency; Total Base Pay - Frequency; Compensation Range - Frequency; Frequency - Payroll; Frequency for Primary Position; Pay Frequency - Payroll ...</t>
  </si>
  <si>
    <t xml:space="preserve">Worker Tax Election</t>
  </si>
  <si>
    <t xml:space="preserve">All Local County Withholding (Resident); All Local County Withholding (Work); All State Withholding Elections; Erroneously Has Exempt Reason or Domicile State; Erroneously Has MSRR Exempt or Exempt; Erroneously Has Spouse Indicator, Marital Status, or Reciprocity Tax Credit ...</t>
  </si>
  <si>
    <t xml:space="preserve">Primary Home Address; Primary Work Address; Addresses; Addresses - Local; Addresses without Default Work Address; All Home Addresses ...</t>
  </si>
  <si>
    <t xml:space="preserve">Personal Information Configurable Field Country Agnostic</t>
  </si>
  <si>
    <t xml:space="preserve">Non Country Specific Section 1 - Field 1; Non Country Specific Section 1 - Field 1  (Locale Sensitive); Non Country Specific Section 1 - Field 2; Non Country Specific Section 1 - Field 2  (Locale Sensitive); Non Country Specific Section 1 - Field 3; Non Country Specific Section 1 - Field 3  (Locale Sensitive) ...</t>
  </si>
  <si>
    <t xml:space="preserve">Personal Information Configurable Field for Country</t>
  </si>
  <si>
    <t xml:space="preserve">Country Specific Section 1 - Field 1; Country Specific Section 1 - Field 1  (Locale Sensitive); Country Specific Section 1 - Field 2; Country Specific Section 1 - Field 2  (Locale Sensitive); Country Specific Section 1 - Field 3; Country Specific Section 1 - Field 3  (Locale Sensitive) ...</t>
  </si>
  <si>
    <t xml:space="preserve">Unions Active; Active Dues Paying Unions as of Period Start Date; Active Dues Paying Unions as of Sub Period End Date; Active Unions as of Leave Start Date; Active Unions as of Period End Date; Active Unions as of Period Start Date ...</t>
  </si>
  <si>
    <t xml:space="preserve">Location Address - Country; Primary Home Address - Country; Primary Work Address - Country; Candidate Country; Citizenship Countries; Countries ...</t>
  </si>
  <si>
    <t xml:space="preserve">Primary Home Address - State; Candidate Region; Hukou Region; Hukou Region (Country Securable); Hukou Region as of Period End Date; Hukou Region as of Period Start Date ...</t>
  </si>
  <si>
    <t xml:space="preserve">Job Profile; All Candidate Job Profiles; All Job Profiles; Job Interests; Job Profile (Benefits); Job Profile (Current, Last or Future) ...</t>
  </si>
  <si>
    <t xml:space="preserve">Phone Numbers; Home Phones; Mobile Phone Number with Country Code; Mobile Phone for One Time Passcode; Mobile Phones; Primary Home Phone ...</t>
  </si>
  <si>
    <t xml:space="preserve">Collective Agreement Factor Option</t>
  </si>
  <si>
    <t xml:space="preserve">Collective Agreement Area; Collective Agreement Class; Collective Agreement Coefficient; Collective Agreement Factor Option 1 as of Sub Period End Date; Collective Agreement Factor Option 2 as of Sub Period End Date; Collective Agreement Factor Option 3 as of Sub Period End Date ...</t>
  </si>
  <si>
    <t xml:space="preserve">All Reviews for Worker; Development Plans in Progress; Disciplinary Actions in Progress; Performance Improvements in Progress; Review - Last Completed (All Review Periods); Review - Last Completed (Past Review Periods) ...</t>
  </si>
  <si>
    <t xml:space="preserve">Supervisory Organization - Primary Position; All Supervisory Organizations with Worker in Leadership Role; Manager's Default Supervisory Organization; Manager's Default Supervisory Organization (DO NOT USE); Plan Dimension as Supervisory Organization; Supervisory Organization - All Positions ...</t>
  </si>
  <si>
    <t xml:space="preserve">Allowance Plan Assignments; Bonus Plan Assignments; Salary Plan Assignments; Stock Plan Assignments; Calculated Plan Assignments; Commission Plan Assignments ...</t>
  </si>
  <si>
    <t xml:space="preserve">Job Family; Job Family Group; Candidate Job Families; Candidate Job Family; Job Families (Benefit Jobs); Job Family (Benefits) ...</t>
  </si>
  <si>
    <t xml:space="preserve">Position Set</t>
  </si>
  <si>
    <t xml:space="preserve">Organizations on Worker Profile for Primary Position; Organizations on Worker Profile for Primary Position plus Superiors; Trended Worker Organization 1; Trended Worker Organization 10; Trended Worker Organization 2; Trended Worker Organization 3 ...</t>
  </si>
  <si>
    <t xml:space="preserve">Race/Ethnicity; Ethnicities (multiple allowed - locale sensitive); Ethnicity Code; Ethnicity Code (Country Securable); Race/Ethnicity (Locale Sensitive and Country Securable); Race/Ethnicity (Locale Sensitive) ...</t>
  </si>
  <si>
    <t xml:space="preserve">Job Classifications - Primary Position; Additional Job Classifications; Job Classification - All Positions; Job Classifications; Job Classifications (Benefit Jobs); Job Classifications (Benefits) ...</t>
  </si>
  <si>
    <t xml:space="preserve">Pay Group; INT EE Worker Pay Group; INT EE Worker Pay Group for INT Studio Payroll Input Processor Inbound; INT EE Worker Studio Payroll Input Processor Inbound Pay Group; INT LVD Worker Pay Group as of Termination Date; INT LVD Worker Pay Group as of Termination Date for INT Studio Payroll Input Processor Inbound ...</t>
  </si>
  <si>
    <t xml:space="preserve">Photo; Candidate Photo; Committee Candidate Photo; Image; Secured Photo</t>
  </si>
  <si>
    <t xml:space="preserve">Payroll Result Line</t>
  </si>
  <si>
    <t xml:space="preserve">Most Recent Arrears Transactions for Worker; Payroll Hours Related Result Lines YTD; Payroll Hours Related Result Lines for Period; Payroll Result Lines Created in the Past 12 Months (All); Payroll Result Lines Created in the Past 12 Months (Completed); Payroll Result Lines within Date Range (All) ...</t>
  </si>
  <si>
    <t xml:space="preserve">Common Boolean Enumeration</t>
  </si>
  <si>
    <t xml:space="preserve">Active Military Uniformed Service; Active Military Uniformed Service (Locale Sensitive); Relocation - Long Term; Relocation - Short Term; Selective Service Registration; Selective Service Registration (Locale Sensitive) ...</t>
  </si>
  <si>
    <t xml:space="preserve">Cost Center; Cost Center for Requester; Cost Centers; Cost Centers Viewable by Everyone; Headcount Plan Template Cost Center Filters; Plan Dimension as Cost Center ...</t>
  </si>
  <si>
    <t xml:space="preserve">Dependent</t>
  </si>
  <si>
    <t xml:space="preserve">All Dependents With Worker's National ID; Children enrolled in Medicare Part A; Children not enrolled in Medicare Part A; Children who are NOT enrolled in Medicare Part D EGWP; Children who are enrolled in Medicare Part D EGWP; Dependents ...</t>
  </si>
  <si>
    <t xml:space="preserve">Job Application</t>
  </si>
  <si>
    <t xml:space="preserve">CR ESI Worker Job Application for Hire; Candidate Job Applications; Job Application For Hire Singular; Job Applications; Job Applications with Staffing Events; Jobs Applied For ...</t>
  </si>
  <si>
    <t xml:space="preserve">Management Level; Management Level (Benefits); Management Level - All Positions; Management Level - Primary Position; Management Level for Committee Candidate; Management Levels (Benefit Jobs) ...</t>
  </si>
  <si>
    <t xml:space="preserve">Payroll State Authority</t>
  </si>
  <si>
    <t xml:space="preserve">State Unemployment Insurance (Work) - State; State Withholding (Domicile) - Domicile State; State Withholding (Resident) - Domicile State; State Withholding (Work) - Domicile State; State Work is Directed from; State of Remote Work ...</t>
  </si>
  <si>
    <t xml:space="preserve">Payroll Tax Authority</t>
  </si>
  <si>
    <t xml:space="preserve">All Local City Withholding (Work) – City; Local County Withholding (Resident) Authority Name; Worker Primary Home City; Worker Primary Home State; Worker Primary Work State; Worker Processing Position Work State ...</t>
  </si>
  <si>
    <t xml:space="preserve">Person; Person in Role; Users with Incorrect Notification Preferences</t>
  </si>
  <si>
    <t xml:space="preserve">Worker Business Process</t>
  </si>
  <si>
    <t xml:space="preserve">CF EMI Worker Events; CF ESI Worker Events; Flexible Work Arrangement Requests; Latest Effective Worker Event of Business Process Type; Parallel Compensation Process(es); Work History Summary ...</t>
  </si>
  <si>
    <t xml:space="preserve">Worker Type; Candidate Worker Type; Candidate Worker Types; Headcount Plan Template Worker Type Filters; Plan Dimension as Worker Type; Worker Type as of Period End Date ...</t>
  </si>
  <si>
    <t xml:space="preserve">Worker History; Business Processes for Person; CR EMI Worker In Progress Onboarding; CR EMI Worker Onboarding Process in Progress Part of Change Job or Add Job; CR EMI Worker Onboarding Process in Progress Part of Hire or Standalone; Worker History - Custom ...</t>
  </si>
  <si>
    <t xml:space="preserve">Benefit Election</t>
  </si>
  <si>
    <t xml:space="preserve">Benefit Elections; Benefit Elections with Elect and Waive ON; Benefit Elections with Inconsistent Elect and Waive; Benefit Elections: Workers; CFINT033 Worker ESI Benefit Plan - Retirement Savings Plan; Current Benefit Elections ...</t>
  </si>
  <si>
    <t xml:space="preserve">Certifications; All Candidate Certifications; Candidate Certifications; Certification; Certification Achievements; Certifications as Certification Issuer ...</t>
  </si>
  <si>
    <t xml:space="preserve">Degrees; All Candidate Degrees; Candidate Degrees; Degrees for Committee Candidate; Highest Degree; Highest Degree Received ...</t>
  </si>
  <si>
    <t xml:space="preserve">Payroll Result</t>
  </si>
  <si>
    <t xml:space="preserve">Most Recent Completed Payroll Results; Payroll Results (All); Payroll Results (Completed); Payroll Results Viewable by Worker; Payroll Results including Terminated Workers (Completed); RPT ESI Worker In Progress Period Results ...</t>
  </si>
  <si>
    <t xml:space="preserve">All Time Off Plans for Worker; All Eligible Time Off Plans for Worker; Eligible Time Off Plans For Worker As of Date; Eligible Time Off Plans for Worker; Eligible and Visible Time Off Plans for Worker as of Date; RPT ESI Worker Move Time Off Plans to Worker ...</t>
  </si>
  <si>
    <t xml:space="preserve">Compensation History - All Statuses; Compensation History - Base Pay Changes Only; Compensation History; Last Base Pay Increase; Last Compensation Change; Most Recent Compensation Event</t>
  </si>
  <si>
    <t xml:space="preserve">Employee Type; Employee Type - Primary Position; Employee Types; Employee Types (Benefit Jobs); Headcount Plan Template Employee Type Filters; TB ESI Worker Employee Type</t>
  </si>
  <si>
    <t xml:space="preserve">Global Identifier</t>
  </si>
  <si>
    <t xml:space="preserve">Cached National Identifiers Displayed With ID Only; Government Identifiers Displayed With ID Only; Licenses Displayed With ID Only; National Identifiers Displayed With ID Only; Passports Displayed With ID Only; Visas Displayed With ID Only</t>
  </si>
  <si>
    <t xml:space="preserve">Legal Name; Preferred Name; Additional Names; Global Person Names; Global Person Names in Local Script</t>
  </si>
  <si>
    <t xml:space="preserve">Instance</t>
  </si>
  <si>
    <t xml:space="preserve">Dimension Type; Last Bonus Or One-Time Payment - Plan; Parent Account; Second to Last Bonus Or One-Time Payment - Plan; Total Cash - Market Position</t>
  </si>
  <si>
    <t xml:space="preserve">Skills; Active Skills; Critical Skills; Internal Skills; Mentor Skills; Prompt - Skill Interests</t>
  </si>
  <si>
    <t xml:space="preserve">Region; Headcount Plan Template Region Filters; Plan Dimension as Region; Processing Position Regions; Regions; Regions Viewable by Everyone</t>
  </si>
  <si>
    <t xml:space="preserve">Academic Pay Period</t>
  </si>
  <si>
    <t xml:space="preserve">CF BN  LRV Disbursement Plan Period; CF FL BOG LRV Annual Work Period; CF INT5008 LRV Annual Work Period; CF LRV Annual Work Period; CF LRV Disbursement Plan Period</t>
  </si>
  <si>
    <t xml:space="preserve">Academic Unit</t>
  </si>
  <si>
    <t xml:space="preserve">Academic Unit for Committee Candidate; Academic Unit for Primary Academic Appointment; Academic Unit related to Supervisory Organization; Academic Units; Tenure Home</t>
  </si>
  <si>
    <t xml:space="preserve">Benefit Group</t>
  </si>
  <si>
    <t xml:space="preserve">Benefit Group; Benefit Group (Benefits); Benefit Group (Newly Detected); Persisted Benefit Group; Worker's Current Benefit Group, using Persisted Value</t>
  </si>
  <si>
    <t xml:space="preserve">Benefit Plan</t>
  </si>
  <si>
    <t xml:space="preserve">Benefit Plan Eligibility Lost; Benefit Plan Eligibility Lost As Of Date; Benefit Plans - Currently Enrolled; CF INT0189 TIAA Benefit Plans Currently Enrolled EMI; CFINT033 Worker LRV Benefit Election - Benefit Plan</t>
  </si>
  <si>
    <t xml:space="preserve">Collective Agreement Factor</t>
  </si>
  <si>
    <t xml:space="preserve">Collective Agreement Factor 1 as of Sub Period End Date; Collective Agreement Factor 2 as of Sub Period End Date; Collective Agreement Factor 3 as of Sub Period End Date; Collective Agreement Factor 4 as of Sub Period End Date; Collective Agreement Factor 5 as of Sub Period End Date</t>
  </si>
  <si>
    <t xml:space="preserve">Company; Companies (Benefit Jobs); Company (Benefits); Federal Withholding: Company; Plan Dimension as Company</t>
  </si>
  <si>
    <t xml:space="preserve">Contingent Worker Type; Contingent Worker Types (Benefit Jobs); Headcount Plan Template Contingent Worker Type Filters; Plan Dimension as Contingent Worker Type</t>
  </si>
  <si>
    <t xml:space="preserve">Custom Organization</t>
  </si>
  <si>
    <t xml:space="preserve">Cost Center Hierarchy; Cost Center Hierarchy Viewable By Everyone; Personnel Office; Plan Dimension as Custom Organization; Region Hierarchy Viewable by Everyone</t>
  </si>
  <si>
    <t xml:space="preserve">Gender; Reporting Gender; Gender (Locale Sensitive); Gender for Committee Candidate; Reporting Gender (Locale Sensitive)</t>
  </si>
  <si>
    <t xml:space="preserve">Global Address</t>
  </si>
  <si>
    <t xml:space="preserve">All Home Address Entries; All Work Address Entries; Employee Mailing Address; Primary Home Address Entry; Primary Work Address Entry</t>
  </si>
  <si>
    <t xml:space="preserve">Global Setup Data</t>
  </si>
  <si>
    <t xml:space="preserve">Political Affiliation; Political Affiliation (Country Securable); Political Affiliation (Locale Sensitive and Country Securable); Political Affiliation (Locale Sensitive); Relative Types for all Countries</t>
  </si>
  <si>
    <t xml:space="preserve">Hierarchic</t>
  </si>
  <si>
    <t xml:space="preserve">Accounting Cash Pool Top Level Hierarchy; Dimension Hierarchy; Dimension Hierarchy for Adaptive Planning Integration; Hierarchic Parents; Top Dimension Hierarchy</t>
  </si>
  <si>
    <t xml:space="preserve">Job Applications, Prospects and Referrals</t>
  </si>
  <si>
    <t xml:space="preserve">All Referrals Including Merge; Referral Information</t>
  </si>
  <si>
    <t xml:space="preserve">Job History Company</t>
  </si>
  <si>
    <t xml:space="preserve">All Companies; Companies; Company -  Current; Job History Companies; Job History Companies In Common</t>
  </si>
  <si>
    <t xml:space="preserve">All Job Requisitions; Job Requisition; LinkedIn Recruiter System Connect - Jobs Exported For; Plan Dimension as Job Requisition</t>
  </si>
  <si>
    <t xml:space="preserve">Payroll Withholding Status</t>
  </si>
  <si>
    <t xml:space="preserve">Federal Withholding: AEIC - Marital Status; Federal Withholding: W-4 - Marital Status; State Withholding (Domicile) - Rate Table; State Withholding (Resident) - Rate Table; State Withholding (Work) - Rate Table</t>
  </si>
  <si>
    <t xml:space="preserve">Period</t>
  </si>
  <si>
    <t xml:space="preserve">Current Period; Last Period Completed; Periods Reported by Worker for Date Range; Project Timesheet Periods Not Reported by Worker for Date Range; Timesheet Periods Not Reported by Worker for Date Range</t>
  </si>
  <si>
    <t xml:space="preserve">Potential - Completed Rating; Assess Potential Completed Rating; Calibration: Potential; Potential - Performance Review with Calibration; Potential - Talent Review with Calibration</t>
  </si>
  <si>
    <t xml:space="preserve">Relative Name</t>
  </si>
  <si>
    <t xml:space="preserve">Father's Name; Mother's Name; Relatives' Name (Locale Sensitive and Country Securable); Relatives' Name (Locale Sensitive); Spouse's Name</t>
  </si>
  <si>
    <t xml:space="preserve">Review COBRA Eligibility</t>
  </si>
  <si>
    <t xml:space="preserve">COBRA Eligible Records Recent per Benefit Plan; COBRA Eligible Records Recent per Benefit Plan for Worker; COBRA Eligible Records Recent per Benefit Plan since Hire Date; COBRA Records; COBRA Records within Range</t>
  </si>
  <si>
    <t xml:space="preserve">School</t>
  </si>
  <si>
    <t xml:space="preserve">All Candidate Schools; Candidate Schools; Last School Attended; Schools; Schools in Common</t>
  </si>
  <si>
    <t xml:space="preserve">Skill</t>
  </si>
  <si>
    <t xml:space="preserve">Candidate Skills; Prompt: Skills; Skills for Committee Candidate; Skills in Common</t>
  </si>
  <si>
    <t xml:space="preserve">All Talent Pools; All Non-Private Talent Pools; All Unrestricted Talent Pools; Talent Pool - Any; Talent Pools</t>
  </si>
  <si>
    <t xml:space="preserve">Time Off Entry</t>
  </si>
  <si>
    <t xml:space="preserve">Completed Time Off by Date and Type; Time Off Completed Details; Time Off Details; Time Offs Without Status</t>
  </si>
  <si>
    <t xml:space="preserve">Academic Appointment</t>
  </si>
  <si>
    <t xml:space="preserve">Academic Appointment Titles; Academic Appointments; Academic Appointments With Sabbatical Program; Primary Academic Appointment</t>
  </si>
  <si>
    <t xml:space="preserve">Accounting Worktag</t>
  </si>
  <si>
    <t xml:space="preserve">Accounting Cash Pool Balancing Worktags; Allocation Dimension</t>
  </si>
  <si>
    <t xml:space="preserve">Assignable Role</t>
  </si>
  <si>
    <t xml:space="preserve">Assignable Role; My Assignable Roles; Organization Roles; Supporting Roles on Worker Profile</t>
  </si>
  <si>
    <t xml:space="preserve">Assignment Type</t>
  </si>
  <si>
    <t xml:space="preserve">International Assignment Types; International Assignment Types - All; International Assignment Types as of Period End Date; International Assignment Types as of Period Start Date</t>
  </si>
  <si>
    <t xml:space="preserve">Benefit Change</t>
  </si>
  <si>
    <t xml:space="preserve">Benefit Changes; Benefit Changes by Plan; Insurance Election Changes; RPT EMI Worker Benefit Changes within prompts</t>
  </si>
  <si>
    <t xml:space="preserve">Communication Method Usage</t>
  </si>
  <si>
    <t xml:space="preserve">Compensation Grade; Compensation Grades (Benefit Jobs); Plan Dimension as Compensation Grade; Retained Compensation Grade</t>
  </si>
  <si>
    <t xml:space="preserve">Primary Nationality (Worker) - Locale Sensitive; Additional Nationalities (Worker); Additional Nationalities (Worker) - Locale Sensitive; All Nationalities (Worker)</t>
  </si>
  <si>
    <t xml:space="preserve">Disability</t>
  </si>
  <si>
    <t xml:space="preserve">Disability (Locale Sensitive and Country Securable); Disability (Locale Sensitive); Disability - Active and Inactive (Locale Sensitive and Country Securable); Disability - Active and Inactive (Locale Sensitive)</t>
  </si>
  <si>
    <t xml:space="preserve">External Pay Group (Do Not Use)</t>
  </si>
  <si>
    <t xml:space="preserve">External Pay Group; External Pay Group as of Period End Date; External Pay Group as of Period Start Date; External Pay Groups (Benefit Jobs)</t>
  </si>
  <si>
    <t xml:space="preserve">External Payroll Actual</t>
  </si>
  <si>
    <t xml:space="preserve">External Payroll Actuals (All for Primary Job); External Payroll Actuals (All for Worker); External Payroll Actuals (Completed for Primary Job); External Payroll Actuals (Completed for Worker)</t>
  </si>
  <si>
    <t xml:space="preserve">Feedback Given</t>
  </si>
  <si>
    <t xml:space="preserve">Feedback Given; Feedback Received; Feedback Received - Anytime</t>
  </si>
  <si>
    <t xml:space="preserve">Flex Team Opening</t>
  </si>
  <si>
    <t xml:space="preserve">Active Flex Teams; Completed Flex Teams; Flex Teams; Interested Flex Teams</t>
  </si>
  <si>
    <t xml:space="preserve">Former Worker; Linked Prior Worker (Former); Merged Former Worker</t>
  </si>
  <si>
    <t xml:space="preserve">Hukou Type</t>
  </si>
  <si>
    <t xml:space="preserve">Hukou Type; Hukou Type (Country Securable); Hukou Type as of Period End Date; Hukou Type as of Period Start Date</t>
  </si>
  <si>
    <t xml:space="preserve">Internet Email Address</t>
  </si>
  <si>
    <t xml:space="preserve">Email - Home; Email - Work; Emails; Public Email Addresses</t>
  </si>
  <si>
    <t xml:space="preserve">Leave Type; Active Leave Types that Track Balance; All Eligible Leave Types for Worker; Leave Types for Worker</t>
  </si>
  <si>
    <t xml:space="preserve">Location Hierarchy; Location Hierarchy for Worker as of Period End Date; Location Hierarchy for Worker as of Period Start Date; Plan Dimension as Location Hierarchy</t>
  </si>
  <si>
    <t xml:space="preserve">Matrix Organizations; Matrix Organizations (Benefit Jobs); Matrix Organizations (Benefits); Matrix Organizations - Primary Position</t>
  </si>
  <si>
    <t xml:space="preserve">Onboarding Plan Assignment</t>
  </si>
  <si>
    <t xml:space="preserve">Active Onboarding Plan Assignment For Candidate; Active Onboarding Plan Assignment For Role; All Onboarding Plan Assignments For Candidate; All Onboarding Plan Assignments For Role</t>
  </si>
  <si>
    <t xml:space="preserve">Pay Group Detail</t>
  </si>
  <si>
    <t xml:space="preserve">RPT ESI Worker Pay Group Detail for Regular 3rd Party Run Category; RPT ESI Worker Pay Group Detail for Regular Run Category; RPT LRV Worker Pay Group Detail; Regular Pay Group Detail</t>
  </si>
  <si>
    <t xml:space="preserve">Payroll Constant Text</t>
  </si>
  <si>
    <t xml:space="preserve">GBR Pen AE: Reason for Opt Out; Local City Withholding (Resident) - Exempt Reason; Local City Withholding (Work) - Exempt Reason; Local School District Withholding (Resident) - Exempt Reason</t>
  </si>
  <si>
    <t xml:space="preserve">Payroll Input</t>
  </si>
  <si>
    <t xml:space="preserve">CF INT5002 ARI Worker Payroll Inputs For EE Medical; CF INT5002 ESI Worker Payroll Input For Medical; External Payroll Inputs; Payroll Inputs with Optional Filters</t>
  </si>
  <si>
    <t xml:space="preserve">Position Worker Type</t>
  </si>
  <si>
    <t xml:space="preserve">Employee Type - All Positions; Plan Dimension as Worker Sub-Type; Position Worker Type; Worker Sub-Type</t>
  </si>
  <si>
    <t xml:space="preserve">Recruiting Source</t>
  </si>
  <si>
    <t xml:space="preserve">All Sources; Hiring Source; Source</t>
  </si>
  <si>
    <t xml:space="preserve">Religion</t>
  </si>
  <si>
    <t xml:space="preserve">Religion; Religion (Country Securable); Religion (Locale Sensitive and Country Securable); Religion (Locale Sensitive)</t>
  </si>
  <si>
    <t xml:space="preserve">Relocation Area</t>
  </si>
  <si>
    <t xml:space="preserve">(Active) Relocation - Long Term Areas; (Active) Relocation - Short Term Areas; Active and Inactive Long Term Relocation Areas; Active and Inactive Short-Term Relocation Areas</t>
  </si>
  <si>
    <t xml:space="preserve">Social Benefits Locality</t>
  </si>
  <si>
    <t xml:space="preserve">Social Benefits Locality; Social Benefits Locality  (Locale Sensitive and Country Securable); Social Benefits Locality  (Locale Sensitive); Social Benefits Locality (Country Securable)</t>
  </si>
  <si>
    <t xml:space="preserve">Subregion</t>
  </si>
  <si>
    <t xml:space="preserve">Hukou Subregion; Hukou Subregion (Country Securable); Hukou Subregion as of Period End Date; Hukou Subregion as of Period Start Date</t>
  </si>
  <si>
    <t xml:space="preserve">Time Type; Plan Dimension as Time Type; Position Time Type; Position Time Types (Benefit Jobs)</t>
  </si>
  <si>
    <t xml:space="preserve">User Language</t>
  </si>
  <si>
    <t xml:space="preserve">Preferred Communication Language; Preferred Learning Languages; Request to be Deleted Language</t>
  </si>
  <si>
    <t xml:space="preserve">Work Shift</t>
  </si>
  <si>
    <t xml:space="preserve">Plan Dimension as Work Shift; Work Shift; Work Shift (Benefits); Work Shifts (Benefit Jobs)</t>
  </si>
  <si>
    <t xml:space="preserve">Adaptive Planning System Users for Assignable Role; Adaptive Planning System Users for Assignable Roles; Workday Account; Worker Workday Account</t>
  </si>
  <si>
    <t xml:space="preserve">Active Consent Values</t>
  </si>
  <si>
    <t xml:space="preserve">Worker Active Consent Values; Worker Active Consent Values for Country (Country Securable); Worker Active Consent Values for Primary Position</t>
  </si>
  <si>
    <t xml:space="preserve">All Projects</t>
  </si>
  <si>
    <t xml:space="preserve">Current Assigned Projects within Date Range; Current Pending Assignments for Projects within Date Range; Current Projects Worker is a member within Resource Plan Date Range</t>
  </si>
  <si>
    <t xml:space="preserve">External Payslip Attachments; Other Attachments; Resume Attachments</t>
  </si>
  <si>
    <t xml:space="preserve">Award and Activity</t>
  </si>
  <si>
    <t xml:space="preserve">Awards and Activities; Awards and Activities - Current; Awards and Activities for Committee Candidate</t>
  </si>
  <si>
    <t xml:space="preserve">Candidate Role; Candidate from Worker; Duplicate Candidates</t>
  </si>
  <si>
    <t xml:space="preserve">Compensation Grade Profile; Compensation Grade Profile (Benefit Jobs); Retained Compensation Grade Profile</t>
  </si>
  <si>
    <t xml:space="preserve">Compensation Step</t>
  </si>
  <si>
    <t xml:space="preserve">Compensation Step - Current; Compensation Step - Next; Retained Compensation Step</t>
  </si>
  <si>
    <t xml:space="preserve">Competency</t>
  </si>
  <si>
    <t xml:space="preserve">Active Competency Skills; All Competencies; Competency Skills; Competency Skills for Scorecard (Singular Prompt); Current Competencies</t>
  </si>
  <si>
    <t xml:space="preserve">Development Item</t>
  </si>
  <si>
    <t xml:space="preserve">Development Items; Development Items (Include Delete and Not Applicable); Development Items In Progress</t>
  </si>
  <si>
    <t xml:space="preserve">Employee</t>
  </si>
  <si>
    <t xml:space="preserve">Employee; Employees; Plan Dimension as Employee</t>
  </si>
  <si>
    <t xml:space="preserve">Employee Potential Assessment</t>
  </si>
  <si>
    <t xml:space="preserve">Potential Assessment; Potential Assessments; Potential Assessments - All</t>
  </si>
  <si>
    <t xml:space="preserve">Expense Reports - All Statuses; Expense Reports for Worker Available for Purge; Last Expense Report Submitted</t>
  </si>
  <si>
    <t xml:space="preserve">Field of Study</t>
  </si>
  <si>
    <t xml:space="preserve">All Candidate Fields of Study; Candidate Fields of Study; Fields of Study</t>
  </si>
  <si>
    <t xml:space="preserve">Form I-9</t>
  </si>
  <si>
    <t xml:space="preserve">Form I-9s; Most Recently Completed Form I-9; Most Recently Created Form I-9</t>
  </si>
  <si>
    <t xml:space="preserve">Frequency Behavior</t>
  </si>
  <si>
    <t xml:space="preserve">Payroll Pay Frequency Behavior for Worker; Total Base Pay - Frequency Behavior; Worker's Working Time Frequency (Benefits)</t>
  </si>
  <si>
    <t xml:space="preserve">Gender Identity (Locale Sensitive); Gender Identities (Locale Sensitive)</t>
  </si>
  <si>
    <t xml:space="preserve">Get Feedback Event</t>
  </si>
  <si>
    <t xml:space="preserve">Get Feedback Events</t>
  </si>
  <si>
    <t xml:space="preserve">Global Setup Data Mapping</t>
  </si>
  <si>
    <t xml:space="preserve">Citizenship Status Mapping; EEO Race; EEO Race - Visual Survey</t>
  </si>
  <si>
    <t xml:space="preserve">Government Identifier</t>
  </si>
  <si>
    <t xml:space="preserve">Government ID; Government Identifiers; Identifiers on Supervisory Organization</t>
  </si>
  <si>
    <t xml:space="preserve">Instant Messenger</t>
  </si>
  <si>
    <t xml:space="preserve">Instant Messenger; Public Instant Messengers; Work IM</t>
  </si>
  <si>
    <t xml:space="preserve">Job Classification Mapping</t>
  </si>
  <si>
    <t xml:space="preserve">IPEDS Job Classification Mapping; Job Classification Mapping; Job Classification Mapping - Primary Position</t>
  </si>
  <si>
    <t xml:space="preserve">Job History Industry</t>
  </si>
  <si>
    <t xml:space="preserve">All Industries; Current Industry; Industry</t>
  </si>
  <si>
    <t xml:space="preserve">Job Profile History; Job Profile Change; Job Profile Change History</t>
  </si>
  <si>
    <t xml:space="preserve">Language Skills; Language; Languages for Committee Candidate</t>
  </si>
  <si>
    <t xml:space="preserve">One-Time Payment</t>
  </si>
  <si>
    <t xml:space="preserve">All Bonus &amp; One-Time Payments; Bonus &amp; One-Time Payments; Bonus &amp; One-Time Payments - All Statuses</t>
  </si>
  <si>
    <t xml:space="preserve">Pay Range Segment Type</t>
  </si>
  <si>
    <t xml:space="preserve">Base Pay Range Segment Effective; Base Pay Segment - All Positions; Base Pay Segment - Primary Position</t>
  </si>
  <si>
    <t xml:space="preserve">Pay Rate Type; Pay Rate Types (Benefit Jobs); Plan Dimension as Pay Rate Type</t>
  </si>
  <si>
    <t xml:space="preserve">Payroll Constant Percent</t>
  </si>
  <si>
    <t xml:space="preserve">State Withholding (Domicile) - Constant Percent; State Withholding (Home) - Constant Percent; State Withholding (Work) - Constant Percent</t>
  </si>
  <si>
    <t xml:space="preserve">Payroll ID</t>
  </si>
  <si>
    <t xml:space="preserve">UK Payroll ID as of Payment Date for Worker; Worker UK Payroll ID; Worker UK Payroll IDs</t>
  </si>
  <si>
    <t xml:space="preserve">Performance Review</t>
  </si>
  <si>
    <t xml:space="preserve">Performance Review - Current; Performance Review - Most Recent for Worker; Performance Reviews in Progress</t>
  </si>
  <si>
    <t xml:space="preserve">Period Schedule</t>
  </si>
  <si>
    <t xml:space="preserve">Period Schedule; Worker Time Period Schedule; Worker Time Period Schedules</t>
  </si>
  <si>
    <t xml:space="preserve">Personal Information for Country</t>
  </si>
  <si>
    <t xml:space="preserve">All Personal Information for Country; Personal Information for Country; Personal Information for Country of Primary Position</t>
  </si>
  <si>
    <t xml:space="preserve">Phone Interface</t>
  </si>
  <si>
    <t xml:space="preserve">Plan Dimension as Project; Worker Projects - Directly Assigned; Worker Projects - Do Not Use</t>
  </si>
  <si>
    <t xml:space="preserve">Project Resource Plan Detail</t>
  </si>
  <si>
    <t xml:space="preserve">Assigned Resource Plan Details for Worker within Date Range; Resource Plan Details; Resource Plan Lines with Pending Request</t>
  </si>
  <si>
    <t xml:space="preserve">Project Role</t>
  </si>
  <si>
    <t xml:space="preserve">Plan Dimension as Project Role; Project Roles; Project Roles for Worker's Time</t>
  </si>
  <si>
    <t xml:space="preserve">Pronoun (Locale Sensitive); Pronouns (Locale Sensitive)</t>
  </si>
  <si>
    <t xml:space="preserve">Rank</t>
  </si>
  <si>
    <t xml:space="preserve">Academic Rank for Committee Candidate; Academic Rank for Primary Academic Appointment; Academic Ranks</t>
  </si>
  <si>
    <t xml:space="preserve">Scheduling Organization</t>
  </si>
  <si>
    <t xml:space="preserve">All Scheduling Organizations for Worker; Primary High Level Scheduling Organization; Primary Scheduling Organization</t>
  </si>
  <si>
    <t xml:space="preserve">Sexual Orientation</t>
  </si>
  <si>
    <t xml:space="preserve">Sexual Orientation (Locale Sensitive); Sexual Orientations (Locale Sensitive)</t>
  </si>
  <si>
    <t xml:space="preserve">Skill Detail</t>
  </si>
  <si>
    <t xml:space="preserve">All Mentor Skills; Skill for Worker; Suggested Skills</t>
  </si>
  <si>
    <t xml:space="preserve">Skill Item Promptable</t>
  </si>
  <si>
    <t xml:space="preserve">All Candidate Skills; All Skills; Skill Interests</t>
  </si>
  <si>
    <t xml:space="preserve">Social Network Account</t>
  </si>
  <si>
    <t xml:space="preserve">Social; Social Network Accounts</t>
  </si>
  <si>
    <t xml:space="preserve">Staffing Event</t>
  </si>
  <si>
    <t xml:space="preserve">Staffing History - All; Staffing History - Approved; Staffing History Approved for Business Rules</t>
  </si>
  <si>
    <t xml:space="preserve">State Exempt Reason</t>
  </si>
  <si>
    <t xml:space="preserve">State Withholding (Domicile) - Exempt Reason; State Withholding (Resident) - Exempt Reason; State Withholding (Work) - Exempt Reason</t>
  </si>
  <si>
    <t xml:space="preserve">Student</t>
  </si>
  <si>
    <t xml:space="preserve">Committee Member - Student; Student</t>
  </si>
  <si>
    <t xml:space="preserve">Succession Plan</t>
  </si>
  <si>
    <t xml:space="preserve">Succession Plan - Any; Succession Plans; Succession Plans as of Talent Review Completed Date</t>
  </si>
  <si>
    <t xml:space="preserve">Succession Plan Candidate</t>
  </si>
  <si>
    <t xml:space="preserve">Candidates in Succession Plan; Succession Plan Candidates; Succession Plan Candidates - Any</t>
  </si>
  <si>
    <t xml:space="preserve">Succession Pool</t>
  </si>
  <si>
    <t xml:space="preserve">All Active Un-Restricted Succession Pools; All Succession Pools; Succession Pools - Any</t>
  </si>
  <si>
    <t xml:space="preserve">Succession Pool Candidate</t>
  </si>
  <si>
    <t xml:space="preserve">Succession Pool Candidates - Any; Succession Pool Candidates - Restricted and Unrestricted Pools; Succession Pool Candidates for Unrestricted Pools</t>
  </si>
  <si>
    <t xml:space="preserve">Tenure Category</t>
  </si>
  <si>
    <t xml:space="preserve">Length of Service - Worker - By Tenure Category; Tenure Category - Position; Tenure Category for Committee Candidate</t>
  </si>
  <si>
    <t xml:space="preserve">Primary Termination Reason; Secondary Termination Reasons; CF LRV Last Termination Date</t>
  </si>
  <si>
    <t xml:space="preserve">Time Accumulator Threshold Rule</t>
  </si>
  <si>
    <t xml:space="preserve">Time Accumulator Threshold Rule; Worker's Opted Out Time Accumulator Threshold Rules; Worker's Time Accumulator Threshold Rules</t>
  </si>
  <si>
    <t xml:space="preserve">Time Entry Template</t>
  </si>
  <si>
    <t xml:space="preserve">RPT ESI Worker Time Entry Template; Worker Time Entry Template; Worker Time Entry Templates</t>
  </si>
  <si>
    <t xml:space="preserve">Track Type</t>
  </si>
  <si>
    <t xml:space="preserve">Academic Track Type for Committee Candidate; Academic Track Types; Appointment Track Type for Primary Academic Appointment</t>
  </si>
  <si>
    <t xml:space="preserve">Web Address</t>
  </si>
  <si>
    <t xml:space="preserve">Public Web Addresses; Web Address; Web Addresses</t>
  </si>
  <si>
    <t xml:space="preserve">Work Schedule Calendar</t>
  </si>
  <si>
    <t xml:space="preserve">Scheduling Work Schedule Calendars; Work Schedule Calendars; Worker Work Schedule Calendar</t>
  </si>
  <si>
    <t xml:space="preserve">Workers' Compensation Code</t>
  </si>
  <si>
    <t xml:space="preserve">Workers' Compensation Code; Workers' Compensation Code Override Primary Position; Workers’ Compensation Code from Job Profile</t>
  </si>
  <si>
    <t xml:space="preserve">Academic Tenure Status</t>
  </si>
  <si>
    <t xml:space="preserve">Academic Tenure Status for Committee Candidate; Academic Tenure Statuses</t>
  </si>
  <si>
    <t xml:space="preserve">Academic Track Type Category Group</t>
  </si>
  <si>
    <t xml:space="preserve">Track Type Category Group; Track Type Category Group for Primary Appointment</t>
  </si>
  <si>
    <t xml:space="preserve">Account Posting Rule Condition Value</t>
  </si>
  <si>
    <t xml:space="preserve">Account Posting Rule Condition Value; Account Posting Rule Condition Value Detail</t>
  </si>
  <si>
    <t xml:space="preserve">Accrual</t>
  </si>
  <si>
    <t xml:space="preserve">All Absence Accruals; All Eligible Accruals for Worker</t>
  </si>
  <si>
    <t xml:space="preserve">Achievable Level</t>
  </si>
  <si>
    <t xml:space="preserve">Achievable Level; Assess Potential Achievable Level</t>
  </si>
  <si>
    <t xml:space="preserve">Age Group; Age Group for Committee Candidate</t>
  </si>
  <si>
    <t xml:space="preserve">Allocation Detail</t>
  </si>
  <si>
    <t xml:space="preserve">Allocation Details; zCF_ Worker Costing Allocation from the position</t>
  </si>
  <si>
    <t xml:space="preserve">Assign Organization</t>
  </si>
  <si>
    <t xml:space="preserve">Organization Assignment History - All; Organization Assignment History - Approved</t>
  </si>
  <si>
    <t xml:space="preserve">Background Check</t>
  </si>
  <si>
    <t xml:space="preserve">Background Check; Background Check History</t>
  </si>
  <si>
    <t xml:space="preserve">Benefit Annual Credit</t>
  </si>
  <si>
    <t xml:space="preserve">Benefits Annual Credit Instances; Benefits Annual Credit Instances By Type</t>
  </si>
  <si>
    <t xml:space="preserve">Benefit Annual Rate</t>
  </si>
  <si>
    <t xml:space="preserve">Benefit Annual Rate Instances; Benefit Annual Rate Instances By Type</t>
  </si>
  <si>
    <t xml:space="preserve">Issued Business Assets; Requested Business Assets</t>
  </si>
  <si>
    <t xml:space="preserve">Business Units; Plan Dimension as Business Unit</t>
  </si>
  <si>
    <t xml:space="preserve">Calendar Event</t>
  </si>
  <si>
    <t xml:space="preserve">Holidays in Date Range; Workdays in Date Range</t>
  </si>
  <si>
    <t xml:space="preserve">Candidate Pool</t>
  </si>
  <si>
    <t xml:space="preserve">Candidate Pools</t>
  </si>
  <si>
    <t xml:space="preserve">Check-In</t>
  </si>
  <si>
    <t xml:space="preserve">Check-Ins -  All</t>
  </si>
  <si>
    <t xml:space="preserve">Check-In Topic</t>
  </si>
  <si>
    <t xml:space="preserve">Check-In Topics - All</t>
  </si>
  <si>
    <t xml:space="preserve">CIP Code</t>
  </si>
  <si>
    <t xml:space="preserve">CIP Code for Primary Appointment; Highest Degree CIP Code</t>
  </si>
  <si>
    <t xml:space="preserve">COBRA Eligibility Status</t>
  </si>
  <si>
    <t xml:space="preserve">COBRA Eligibility (Historical); COBRA Eligibility since Hire Date (Historical)</t>
  </si>
  <si>
    <t xml:space="preserve">Collective Agreement; Worker's Collective Agreement (Benefits)</t>
  </si>
  <si>
    <t xml:space="preserve">Committee Definition</t>
  </si>
  <si>
    <t xml:space="preserve">Current Memberships - Committees; Historical Memberships - Committees</t>
  </si>
  <si>
    <t xml:space="preserve">Committee Membership Service Snapshot</t>
  </si>
  <si>
    <t xml:space="preserve">Committee Memberships - Active; Committee Memberships - All</t>
  </si>
  <si>
    <t xml:space="preserve">Eligible for Rehire; Regrettable Termination Status</t>
  </si>
  <si>
    <t xml:space="preserve">Compensation Basis</t>
  </si>
  <si>
    <t xml:space="preserve">Compensation Bases for Reporting; Plan Dimension as Compensation Basis</t>
  </si>
  <si>
    <t xml:space="preserve">Compensation Package; Retained Compensation Package</t>
  </si>
  <si>
    <t xml:space="preserve">Total Base Pay Range; Primary Compensation Basis Pay Range</t>
  </si>
  <si>
    <t xml:space="preserve">Contingent Worker</t>
  </si>
  <si>
    <t xml:space="preserve">Contingent Worker; Plan Dimension as Contingent Worker</t>
  </si>
  <si>
    <t xml:space="preserve">Country / Country Region</t>
  </si>
  <si>
    <t xml:space="preserve">City of Birth - Instance (Locale Sensitive); Primary Home Address - City (Workday Owned)</t>
  </si>
  <si>
    <t xml:space="preserve">Custom Identifier</t>
  </si>
  <si>
    <t xml:space="preserve">Other IDs; Public Other IDs</t>
  </si>
  <si>
    <t xml:space="preserve">Day of the Week</t>
  </si>
  <si>
    <t xml:space="preserve">Days of the Week</t>
  </si>
  <si>
    <t xml:space="preserve">Default Business Object</t>
  </si>
  <si>
    <t xml:space="preserve">Medicare Part D EGWP Disenrollment Reason as of Today; Medicare Part D EGWP Enrollment Status as of Today</t>
  </si>
  <si>
    <t xml:space="preserve">Delegation</t>
  </si>
  <si>
    <t xml:space="preserve">Current Delegations; Delegation Assignments</t>
  </si>
  <si>
    <t xml:space="preserve">Diagramming Node Proxy</t>
  </si>
  <si>
    <t xml:space="preserve">Disability Statuses; Disability Statuses (Country Securable)</t>
  </si>
  <si>
    <t xml:space="preserve">Email Interface</t>
  </si>
  <si>
    <t xml:space="preserve">Emergency Contacts; Emergency Contacts to Recover from 5/8/2015-5/16/2015</t>
  </si>
  <si>
    <t xml:space="preserve">Employee Probation Period</t>
  </si>
  <si>
    <t xml:space="preserve">Probation Period; Probation Periods</t>
  </si>
  <si>
    <t xml:space="preserve">Employee Probation Period Type</t>
  </si>
  <si>
    <t xml:space="preserve">Probation Type; Probation Type (Not Effective Dated)</t>
  </si>
  <si>
    <t xml:space="preserve">Employment ID</t>
  </si>
  <si>
    <t xml:space="preserve">Worker IRL Effective Primary Employment ID; Worker IRL Employment IDs</t>
  </si>
  <si>
    <t xml:space="preserve">Establishment</t>
  </si>
  <si>
    <t xml:space="preserve">Establishment; Worker's Establishment (Benefits)</t>
  </si>
  <si>
    <t xml:space="preserve">Evaluation Event</t>
  </si>
  <si>
    <t xml:space="preserve">Evaluations - All Completed; Evaluations - All Statuses</t>
  </si>
  <si>
    <t xml:space="preserve">Exempt Reason</t>
  </si>
  <si>
    <t xml:space="preserve">Federal Withholding: FICA - Medicare Exempt Reasons; Federal Withholding: FICA - OASDI Exempt Reasons</t>
  </si>
  <si>
    <t xml:space="preserve">External Disability Self-Identification Record</t>
  </si>
  <si>
    <t xml:space="preserve">External Disability All Records; Latest External Disability Response Record</t>
  </si>
  <si>
    <t xml:space="preserve">External or Internal Candidate</t>
  </si>
  <si>
    <t xml:space="preserve">Candidate; External Candidate for Business Process</t>
  </si>
  <si>
    <t xml:space="preserve">External US Federal Disability Self-Identification Record</t>
  </si>
  <si>
    <t xml:space="preserve">External Disability (SF-256) All Records; Latest External Disability Response Record (SF-256)</t>
  </si>
  <si>
    <t xml:space="preserve">External US Federal Ethnicity and Race Self-Identification Record</t>
  </si>
  <si>
    <t xml:space="preserve">External Ethnicity &amp; Race (SF-181) All Records; Latest External Ethnicity &amp; Race Response Record (SF-181)</t>
  </si>
  <si>
    <t xml:space="preserve">FTE Dimension (Abstract)</t>
  </si>
  <si>
    <t xml:space="preserve">FTE Dimension: Total Blended FTE; FTE Dimension: Total FTE</t>
  </si>
  <si>
    <t xml:space="preserve">Fund</t>
  </si>
  <si>
    <t xml:space="preserve">Funds; Plan Dimension as Fund</t>
  </si>
  <si>
    <t xml:space="preserve">Gift</t>
  </si>
  <si>
    <t xml:space="preserve">Gifts; Plan Dimension as Gift</t>
  </si>
  <si>
    <t xml:space="preserve">Goals; Goals - Most Recent Completed Event</t>
  </si>
  <si>
    <t xml:space="preserve">Grant</t>
  </si>
  <si>
    <t xml:space="preserve">Grants; Plan Dimension as Grant</t>
  </si>
  <si>
    <t xml:space="preserve">Instant Messenger Account Interface</t>
  </si>
  <si>
    <t xml:space="preserve">Integration Identifier</t>
  </si>
  <si>
    <t xml:space="preserve">Integration Identifier; Location - Integration Identifiers</t>
  </si>
  <si>
    <t xml:space="preserve">Internal Compensation Benchmark for Worker</t>
  </si>
  <si>
    <t xml:space="preserve">Internal Compensation Benchmark for Worker; Internal Primary Compensation Basis Benchmark for Worker</t>
  </si>
  <si>
    <t xml:space="preserve">Job Category; Plan Dimension as Job Category</t>
  </si>
  <si>
    <t xml:space="preserve">Job History - Skills and Experience; Job History Displayed With Company Name</t>
  </si>
  <si>
    <t xml:space="preserve">Job Level - Primary Position; Plan Dimension as Job Level</t>
  </si>
  <si>
    <t xml:space="preserve">Learning Enrollment</t>
  </si>
  <si>
    <t xml:space="preserve">Latest Learning Enrollments; Learning Enrollments</t>
  </si>
  <si>
    <t xml:space="preserve">Leave of Absence Requests; CF ESI Leave of Absence Latest</t>
  </si>
  <si>
    <t xml:space="preserve">LGBT Identification</t>
  </si>
  <si>
    <t xml:space="preserve">Sexual Orientation &amp; Gender Identity; Sexual Orientation &amp; Gender Identity (Country Securable)</t>
  </si>
  <si>
    <t xml:space="preserve">LinkedIn Person</t>
  </si>
  <si>
    <t xml:space="preserve">LinkedIn Recruiter System Connect - First Exported By; LinkedIn Recruiter System Connect - Recruiter Seats Who Exported</t>
  </si>
  <si>
    <t xml:space="preserve">Loss Impact; Assess Potential Loss Impact</t>
  </si>
  <si>
    <t xml:space="preserve">Manager Snapshot Interface</t>
  </si>
  <si>
    <t xml:space="preserve">Manager Change; Manager Change as of Effective Date</t>
  </si>
  <si>
    <t xml:space="preserve">Marital Status; Marital Status (Country Securable)</t>
  </si>
  <si>
    <t xml:space="preserve">Name Change Event</t>
  </si>
  <si>
    <t xml:space="preserve">Worker Name Change Events - Completed; Worker Name Change Events- Effective</t>
  </si>
  <si>
    <t xml:space="preserve">National ID; National Identifiers</t>
  </si>
  <si>
    <t xml:space="preserve">Notice Period</t>
  </si>
  <si>
    <t xml:space="preserve">Employee Notice Period for Employee (Data Cloud); Employer Notice Period (Data Cloud)</t>
  </si>
  <si>
    <t xml:space="preserve">Organization Subtype</t>
  </si>
  <si>
    <t xml:space="preserve">Accounting Cash Pool Subtype; Cost Center - Organization Subtype</t>
  </si>
  <si>
    <t xml:space="preserve">Payment Election</t>
  </si>
  <si>
    <t xml:space="preserve">Payment Elections Current; Payment Elections In Progress</t>
  </si>
  <si>
    <t xml:space="preserve">Payment Election Rule</t>
  </si>
  <si>
    <t xml:space="preserve">Pay Types Without Payment Election; Pay Types without Direct Deposit Payment Election</t>
  </si>
  <si>
    <t xml:space="preserve">Payroll Payee City</t>
  </si>
  <si>
    <t xml:space="preserve">All Local City Withholding (Resident); All Local City Withholding (Work)</t>
  </si>
  <si>
    <t xml:space="preserve">Payroll Payee Ongoing Jurisdiction</t>
  </si>
  <si>
    <t xml:space="preserve">Work Tax Jurisdiction Allocations; Worker Inactive Work Tax Jurisdictions Tax Election</t>
  </si>
  <si>
    <t xml:space="preserve">Payroll Payee Ongoing Jurisdiction Splits</t>
  </si>
  <si>
    <t xml:space="preserve">Worker Ongoing Work Tax Jurisdiction Allocations Tax Election; Worker Tax Allocation Details</t>
  </si>
  <si>
    <t xml:space="preserve">Payroll Payee W-4</t>
  </si>
  <si>
    <t xml:space="preserve">All Federal Withholding Elections; Worker Federal Withholding Election</t>
  </si>
  <si>
    <t xml:space="preserve">Period Activity Assignment</t>
  </si>
  <si>
    <t xml:space="preserve">Period Activity Assignments; zCF-ARI Administrative Supplemental Period Activity Assignments</t>
  </si>
  <si>
    <t xml:space="preserve">Personal Information Change Event</t>
  </si>
  <si>
    <t xml:space="preserve">Worker Personal Information Change Events - Completed (Country Securable)</t>
  </si>
  <si>
    <t xml:space="preserve">Position - Position Management</t>
  </si>
  <si>
    <t xml:space="preserve">Manager's Assigned Position; Manager's Assigned Position(s)</t>
  </si>
  <si>
    <t xml:space="preserve">Edit Position History - Approved; Edit Position History - All</t>
  </si>
  <si>
    <t xml:space="preserve">Position Restrictions</t>
  </si>
  <si>
    <t xml:space="preserve">Plan Dimension as Position Restriction</t>
  </si>
  <si>
    <t xml:space="preserve">Postal Code Set</t>
  </si>
  <si>
    <t xml:space="preserve">Postal Code Sets for Location; Postal Code Sets for Primary Home Address</t>
  </si>
  <si>
    <t xml:space="preserve">Linked Pre-Hire; Pre-Hire</t>
  </si>
  <si>
    <t xml:space="preserve">Professional Affiliation Reference</t>
  </si>
  <si>
    <t xml:space="preserve">Professional Affiliation Reference; Professional Affiliations for Committee Candidate</t>
  </si>
  <si>
    <t xml:space="preserve">Program</t>
  </si>
  <si>
    <t xml:space="preserve">Plan Dimension as Program; Programs</t>
  </si>
  <si>
    <t xml:space="preserve">Project Hierarchy</t>
  </si>
  <si>
    <t xml:space="preserve">Plan Dimension as Project Hierarchy; Project Hierarchy for Project</t>
  </si>
  <si>
    <t xml:space="preserve">Project Timesheet Line</t>
  </si>
  <si>
    <t xml:space="preserve">Project Timesheet Lines - All Statuses for Date parms; Project Timesheet Lines for Project and Project Hierarchy in Date Range</t>
  </si>
  <si>
    <t xml:space="preserve">Plan Dimension as Prospect; Referral Prospect</t>
  </si>
  <si>
    <t xml:space="preserve">Qualified Domestic Relations Order</t>
  </si>
  <si>
    <t xml:space="preserve">Active Beneficiary Court Orders; Active Dependent Court Orders</t>
  </si>
  <si>
    <t xml:space="preserve">Range Band Content</t>
  </si>
  <si>
    <t xml:space="preserve">FAM CF LRB Lenght of Service; RPT LRB Worker Retirement Eligibility</t>
  </si>
  <si>
    <t xml:space="preserve">Relocation Preferences</t>
  </si>
  <si>
    <t xml:space="preserve">Relocation Preference; Relocation Preference - History</t>
  </si>
  <si>
    <t xml:space="preserve">Resource Pool</t>
  </si>
  <si>
    <t xml:space="preserve">Resource Pools</t>
  </si>
  <si>
    <t xml:space="preserve">Retention; Assess Potential Retention</t>
  </si>
  <si>
    <t xml:space="preserve">Retirement Savings Election</t>
  </si>
  <si>
    <t xml:space="preserve">CF INT0189 TIAA Retirement Savings Elections EMI; Retirement Savings Elections</t>
  </si>
  <si>
    <t xml:space="preserve">All Review Documents; Review Documents</t>
  </si>
  <si>
    <t xml:space="preserve">Role</t>
  </si>
  <si>
    <t xml:space="preserve">Duplicates for Candidate</t>
  </si>
  <si>
    <t xml:space="preserve">Role Assignment</t>
  </si>
  <si>
    <t xml:space="preserve">Leadership Roles; Organization Role Assignments</t>
  </si>
  <si>
    <t xml:space="preserve">Schedule Shift</t>
  </si>
  <si>
    <t xml:space="preserve">Schedule Shifts for Date Range (Workday Scheduling)</t>
  </si>
  <si>
    <t xml:space="preserve">Scheduling Organization Settings Override Snapshot</t>
  </si>
  <si>
    <t xml:space="preserve">Scheduling Worker Organization Settings Override</t>
  </si>
  <si>
    <t xml:space="preserve">Scheduling Worker Preferences Snapshot</t>
  </si>
  <si>
    <t xml:space="preserve">Scheduling Worker Preferences</t>
  </si>
  <si>
    <t xml:space="preserve">Self-Identification of Disability Status</t>
  </si>
  <si>
    <t xml:space="preserve">Latest External Disability Status; Self-Identification of Disability Status</t>
  </si>
  <si>
    <t xml:space="preserve">Self-Identification of Racial Category (SF-181)</t>
  </si>
  <si>
    <t xml:space="preserve">Latest External  Racial Category Response (SF-181); Self-Identification of Racial Category (SF-181)</t>
  </si>
  <si>
    <t xml:space="preserve">Skill Rating</t>
  </si>
  <si>
    <t xml:space="preserve">Self-Ratings from In Progress Skill Assessment; Skill Ratings for Worker</t>
  </si>
  <si>
    <t xml:space="preserve">Stock Grant</t>
  </si>
  <si>
    <t xml:space="preserve">Stock Grants; Stock Grants - All Statuses</t>
  </si>
  <si>
    <t xml:space="preserve">Supplier</t>
  </si>
  <si>
    <t xml:space="preserve">Contingent Worker Supplier; Plan Dimension as Supplier</t>
  </si>
  <si>
    <t xml:space="preserve">Talent Highlight</t>
  </si>
  <si>
    <t xml:space="preserve">Managed Talent Highlights; Talent Highlights</t>
  </si>
  <si>
    <t xml:space="preserve">Termination History - Approved; Last Termination Event</t>
  </si>
  <si>
    <t xml:space="preserve">Time Accumulator Threshold Rule Opt Out Event</t>
  </si>
  <si>
    <t xml:space="preserve">Time Accumulator Threshold Rule Opt Outs for Worker; Worker's Time Accumulator Threshold Rules Opt-Out Events</t>
  </si>
  <si>
    <t xml:space="preserve">Time Clock Event</t>
  </si>
  <si>
    <t xml:space="preserve">Recent Time Clock Events; Time Clock Events for Date Range</t>
  </si>
  <si>
    <t xml:space="preserve">Time Entry Code</t>
  </si>
  <si>
    <t xml:space="preserve">Time Zone</t>
  </si>
  <si>
    <t xml:space="preserve">Time Zone of Location of Worker's Primary Position</t>
  </si>
  <si>
    <t xml:space="preserve">Project Timesheets - All Statuses; Project Timesheets - All Statuses for Date parms</t>
  </si>
  <si>
    <t xml:space="preserve">Track Type Category</t>
  </si>
  <si>
    <t xml:space="preserve">Academic Track Type Categories; Academic Track Type Category for Primary Academic Appointment</t>
  </si>
  <si>
    <t xml:space="preserve">Trended Record Type</t>
  </si>
  <si>
    <t xml:space="preserve">Activity; Snapshot</t>
  </si>
  <si>
    <t xml:space="preserve">Uniform Service Reserve Status</t>
  </si>
  <si>
    <t xml:space="preserve">Uniform Service Reserve Status; Uniform Service Reserve Status (Locale Sensitive)</t>
  </si>
  <si>
    <t xml:space="preserve">Vaccination</t>
  </si>
  <si>
    <t xml:space="preserve">Latest Vaccination; Vaccinations</t>
  </si>
  <si>
    <t xml:space="preserve">Veterans Preference</t>
  </si>
  <si>
    <t xml:space="preserve">Veteran's Preference; Veteran's Preference (Locale Sensitive)</t>
  </si>
  <si>
    <t xml:space="preserve">Web Address Interface</t>
  </si>
  <si>
    <t xml:space="preserve">Withholding Order</t>
  </si>
  <si>
    <t xml:space="preserve">Withholding Orders (Active); Withholding Orders (All)</t>
  </si>
  <si>
    <t xml:space="preserve">Worker Calibration Event</t>
  </si>
  <si>
    <t xml:space="preserve">Worker Calibration Event In Progress; Worker Calibration Events</t>
  </si>
  <si>
    <t xml:space="preserve">Worker Common Facet Derived</t>
  </si>
  <si>
    <t xml:space="preserve">Worker Document</t>
  </si>
  <si>
    <t xml:space="preserve">Education Attachments; Worker Documents</t>
  </si>
  <si>
    <t xml:space="preserve">Worker Talent Review Event</t>
  </si>
  <si>
    <t xml:space="preserve">All Talent Review Events; Talent Review Event</t>
  </si>
  <si>
    <t xml:space="preserve">Workplace Test</t>
  </si>
  <si>
    <t xml:space="preserve">Latest Workplace Test; Workplace Tests</t>
  </si>
  <si>
    <t xml:space="preserve">Aboriginal/Indigenous Identification Details</t>
  </si>
  <si>
    <t xml:space="preserve">Aboriginal/Indigenous Identification Selection</t>
  </si>
  <si>
    <t xml:space="preserve">Aboriginal/Indigenous Identification</t>
  </si>
  <si>
    <t xml:space="preserve">Absence Case Event</t>
  </si>
  <si>
    <t xml:space="preserve">Absence Occurrence</t>
  </si>
  <si>
    <t xml:space="preserve">Absence Occurrences for Worker in Date Range</t>
  </si>
  <si>
    <t xml:space="preserve">Absence Occurrence Related Group</t>
  </si>
  <si>
    <t xml:space="preserve">Related Absence Occurrences Groups for Worker in Date Range</t>
  </si>
  <si>
    <t xml:space="preserve">Abstract Payee Data Name</t>
  </si>
  <si>
    <t xml:space="preserve">Suppliers and their Alternate Names</t>
  </si>
  <si>
    <t xml:space="preserve">ACA Measurement Period Worker History</t>
  </si>
  <si>
    <t xml:space="preserve">ACA Measurement Period Worker History Instances</t>
  </si>
  <si>
    <t xml:space="preserve">Academic Affiliate</t>
  </si>
  <si>
    <t xml:space="preserve">Academic Appointment Track</t>
  </si>
  <si>
    <t xml:space="preserve">Appointment Tracks</t>
  </si>
  <si>
    <t xml:space="preserve">Academic Level</t>
  </si>
  <si>
    <t xml:space="preserve">Academic Level for Committee Candidate</t>
  </si>
  <si>
    <t xml:space="preserve">Academic Unit Hierarchy</t>
  </si>
  <si>
    <t xml:space="preserve">Academic Unit Hierarchy for Committee Candidate</t>
  </si>
  <si>
    <t xml:space="preserve">Current Worker Bank Accounts</t>
  </si>
  <si>
    <t xml:space="preserve">Account Posting Rule Dimension</t>
  </si>
  <si>
    <t xml:space="preserve">Account Posting Rule Condition Dimension</t>
  </si>
  <si>
    <t xml:space="preserve">Account Set</t>
  </si>
  <si>
    <t xml:space="preserve">Account Sets</t>
  </si>
  <si>
    <t xml:space="preserve">Accounting Worktag and Aggregation Dimension</t>
  </si>
  <si>
    <t xml:space="preserve">Parent Aggregation Dimensions</t>
  </si>
  <si>
    <t xml:space="preserve">Accounting Worktag Type</t>
  </si>
  <si>
    <t xml:space="preserve">Worktag Type</t>
  </si>
  <si>
    <t xml:space="preserve">Accrual Expiration Event</t>
  </si>
  <si>
    <t xml:space="preserve">Expiring Accrual Events for Worker</t>
  </si>
  <si>
    <t xml:space="preserve">Active Status</t>
  </si>
  <si>
    <t xml:space="preserve">Active Status with Date</t>
  </si>
  <si>
    <t xml:space="preserve">Ad Hoc Payment</t>
  </si>
  <si>
    <t xml:space="preserve">Add Additional Job Event</t>
  </si>
  <si>
    <t xml:space="preserve">Additional Job History - All</t>
  </si>
  <si>
    <t xml:space="preserve">Add Flex Team Member Event</t>
  </si>
  <si>
    <t xml:space="preserve">Additional Benefits Election</t>
  </si>
  <si>
    <t xml:space="preserve">Additional Benefits Elections</t>
  </si>
  <si>
    <t xml:space="preserve">Adjustment For</t>
  </si>
  <si>
    <t xml:space="preserve">All Compensation Review Adjustments</t>
  </si>
  <si>
    <t xml:space="preserve">Admissions Counselor</t>
  </si>
  <si>
    <t xml:space="preserve">Committee Member - Admissions Counselor</t>
  </si>
  <si>
    <t xml:space="preserve">Affordable Care Act Worker Hours And Wages</t>
  </si>
  <si>
    <t xml:space="preserve">ACA Worker Hours And Wages Instances</t>
  </si>
  <si>
    <t xml:space="preserve">Alternate Name</t>
  </si>
  <si>
    <t xml:space="preserve">Payee Alternate Names</t>
  </si>
  <si>
    <t xml:space="preserve">Alternate Name Usage</t>
  </si>
  <si>
    <t xml:space="preserve">Alternate Name Usages Used</t>
  </si>
  <si>
    <t xml:space="preserve">Appointment Identifier</t>
  </si>
  <si>
    <t xml:space="preserve">Academic Appointment Identifiers</t>
  </si>
  <si>
    <t xml:space="preserve">Appointment Specialty</t>
  </si>
  <si>
    <t xml:space="preserve">Appointment Specialty for Committee Candidate</t>
  </si>
  <si>
    <t xml:space="preserve">Appropriation</t>
  </si>
  <si>
    <t xml:space="preserve">Plan Dimension as Appropriation</t>
  </si>
  <si>
    <t xml:space="preserve">Appropriation or Appropriation Hierarchy</t>
  </si>
  <si>
    <t xml:space="preserve">Appropriation or Appropriation Hierarchy Container</t>
  </si>
  <si>
    <t xml:space="preserve">ARRCO-AGIRC Rubric Value</t>
  </si>
  <si>
    <t xml:space="preserve">Worker's Tax Election ARRCO-AGIRC Rubric Value (FRA Benefits)</t>
  </si>
  <si>
    <t xml:space="preserve">Assess Skill Event</t>
  </si>
  <si>
    <t xml:space="preserve">Assess Skills Events for Worker</t>
  </si>
  <si>
    <t xml:space="preserve">At Risk Enumerated</t>
  </si>
  <si>
    <t xml:space="preserve">Is At Risk</t>
  </si>
  <si>
    <t xml:space="preserve">Bank Account</t>
  </si>
  <si>
    <t xml:space="preserve">Signer Bank Account</t>
  </si>
  <si>
    <t xml:space="preserve">Beneficiary</t>
  </si>
  <si>
    <t xml:space="preserve">Beneficiaries - All</t>
  </si>
  <si>
    <t xml:space="preserve">Beneficiary Event</t>
  </si>
  <si>
    <t xml:space="preserve">Beneficiary Events</t>
  </si>
  <si>
    <t xml:space="preserve">Beneficiary Person</t>
  </si>
  <si>
    <t xml:space="preserve">Beneficiaries - People</t>
  </si>
  <si>
    <t xml:space="preserve">Benefits Billing Event</t>
  </si>
  <si>
    <t xml:space="preserve">Worker's Benefits Billing Events</t>
  </si>
  <si>
    <t xml:space="preserve">Blood Type</t>
  </si>
  <si>
    <t xml:space="preserve">Bonus Plan</t>
  </si>
  <si>
    <t xml:space="preserve">Bonus Plans - Plan Details</t>
  </si>
  <si>
    <t xml:space="preserve">Book Code</t>
  </si>
  <si>
    <t xml:space="preserve">Plan Dimension as Book Code</t>
  </si>
  <si>
    <t xml:space="preserve">Business Title Change Event</t>
  </si>
  <si>
    <t xml:space="preserve">Business Title Changes</t>
  </si>
  <si>
    <t xml:space="preserve">Business Unit Hierarchy</t>
  </si>
  <si>
    <t xml:space="preserve">Plan Dimension as Business Unit Hierarchy</t>
  </si>
  <si>
    <t xml:space="preserve">Business Unit or Business Unit Hierarchy</t>
  </si>
  <si>
    <t xml:space="preserve">Business Unit or Business Unit Hierarchy Container</t>
  </si>
  <si>
    <t xml:space="preserve">Calculated Plan</t>
  </si>
  <si>
    <t xml:space="preserve">Calculated Plans - Plan Details</t>
  </si>
  <si>
    <t xml:space="preserve">Assigned Worker SSP Calendar</t>
  </si>
  <si>
    <t xml:space="preserve">Calibration Event</t>
  </si>
  <si>
    <t xml:space="preserve">Campaign Record</t>
  </si>
  <si>
    <t xml:space="preserve">Candidate Experience</t>
  </si>
  <si>
    <t xml:space="preserve">Job Titles</t>
  </si>
  <si>
    <t xml:space="preserve">Candidate Tag</t>
  </si>
  <si>
    <t xml:space="preserve">Candidate Tags</t>
  </si>
  <si>
    <t xml:space="preserve">Career Hub Profile</t>
  </si>
  <si>
    <t xml:space="preserve">Career Preference</t>
  </si>
  <si>
    <t xml:space="preserve">Career Preferences</t>
  </si>
  <si>
    <t xml:space="preserve">Collaboration Node</t>
  </si>
  <si>
    <t xml:space="preserve">Calibration Node part of in progress Calibration Event based on Worker</t>
  </si>
  <si>
    <t xml:space="preserve">Collective Agreement Classification Factors</t>
  </si>
  <si>
    <t xml:space="preserve">Worker's Collective Agreement Status (FRA Benefits)</t>
  </si>
  <si>
    <t xml:space="preserve">Comment</t>
  </si>
  <si>
    <t xml:space="preserve">Event Comments</t>
  </si>
  <si>
    <t xml:space="preserve">Committee Member</t>
  </si>
  <si>
    <t xml:space="preserve">Committee Person</t>
  </si>
  <si>
    <t xml:space="preserve">Committee Membership Service Event</t>
  </si>
  <si>
    <t xml:space="preserve">All Committee Membership Events</t>
  </si>
  <si>
    <t xml:space="preserve">Committee Membership Type</t>
  </si>
  <si>
    <t xml:space="preserve">Attendee Membership Type</t>
  </si>
  <si>
    <t xml:space="preserve">Company Hierarchy</t>
  </si>
  <si>
    <t xml:space="preserve">Plan Dimension as Company Hierarchy</t>
  </si>
  <si>
    <t xml:space="preserve">Company Insider Type</t>
  </si>
  <si>
    <t xml:space="preserve">Compensation Basis Context</t>
  </si>
  <si>
    <t xml:space="preserve">Non-Primary Compensation Basis Contexts</t>
  </si>
  <si>
    <t xml:space="preserve">Benchmark Job</t>
  </si>
  <si>
    <t xml:space="preserve">Compensation Benchmark Composite</t>
  </si>
  <si>
    <t xml:space="preserve">Compensation Benchmark Default</t>
  </si>
  <si>
    <t xml:space="preserve">Compensation History from Previous System</t>
  </si>
  <si>
    <t xml:space="preserve">Compensation History - Previous System</t>
  </si>
  <si>
    <t xml:space="preserve">Compensation Plan</t>
  </si>
  <si>
    <t xml:space="preserve">Compensation Plans Effective</t>
  </si>
  <si>
    <t xml:space="preserve">Complete Form I-9</t>
  </si>
  <si>
    <t xml:space="preserve">Worker Form I-9 Business Processes</t>
  </si>
  <si>
    <t xml:space="preserve">Connect Record</t>
  </si>
  <si>
    <t xml:space="preserve">Consent Status</t>
  </si>
  <si>
    <t xml:space="preserve">Candidate Confirmed Opt-In Email Status</t>
  </si>
  <si>
    <t xml:space="preserve">Contract Type Rubric Value</t>
  </si>
  <si>
    <t xml:space="preserve">Worker's Contract Type (FRA Benefits)</t>
  </si>
  <si>
    <t xml:space="preserve">Coordinated Time Off Type</t>
  </si>
  <si>
    <t xml:space="preserve">Eligible Time Offs and Absence Tables for Worker As of Date</t>
  </si>
  <si>
    <t xml:space="preserve">Cost Center Hierarchy</t>
  </si>
  <si>
    <t xml:space="preserve">Plan Dimension as Cost Center Hierarchy</t>
  </si>
  <si>
    <t xml:space="preserve">Cost Center or Cost Center Hierarchy</t>
  </si>
  <si>
    <t xml:space="preserve">Cost Center or Cost Center Hierarchy Container</t>
  </si>
  <si>
    <t xml:space="preserve">Creditable Service</t>
  </si>
  <si>
    <t xml:space="preserve">Creditor Garnishment Type</t>
  </si>
  <si>
    <t xml:space="preserve">Creditor Garnishment Type of Creditor Garnishment</t>
  </si>
  <si>
    <t xml:space="preserve">Custom Organization 01 or Custom Organization 01 Hierarchy</t>
  </si>
  <si>
    <t xml:space="preserve">Program Code or Program Code Hierarchy Container</t>
  </si>
  <si>
    <t xml:space="preserve">Custom Organization 02 or Custom Organization 02 Hierarchy</t>
  </si>
  <si>
    <t xml:space="preserve">Custom Organization 02 (inactive) or Custom Organization 02 (inactive) Hierarchy Container</t>
  </si>
  <si>
    <t xml:space="preserve">Custom Organization 03 or Custom Organization 03 Hierarchy</t>
  </si>
  <si>
    <t xml:space="preserve">Custom Organization 03 (inactive) or Custom Organization 03 (inactive) Hierarchy Container</t>
  </si>
  <si>
    <t xml:space="preserve">Custom Organization 04 or Custom Organization 04 Hierarchy</t>
  </si>
  <si>
    <t xml:space="preserve">Custom Organization 04 (inactive) or Custom Organization 04 (inactive) Hierarchy Container</t>
  </si>
  <si>
    <t xml:space="preserve">Custom Organization 05 or Custom Organization 05 Hierarchy</t>
  </si>
  <si>
    <t xml:space="preserve">Custom Organization 05 (inactive) or Custom Organization 05 (inactive) Hierarchy Container</t>
  </si>
  <si>
    <t xml:space="preserve">Custom Organization 06 or Custom Organization 06 Hierarchy</t>
  </si>
  <si>
    <t xml:space="preserve">Custom Organization 06 (inactive) or Custom Organization 06 (inactive) Hierarchy Container</t>
  </si>
  <si>
    <t xml:space="preserve">Custom Organization 07 or Custom Organization 07 Hierarchy</t>
  </si>
  <si>
    <t xml:space="preserve">Custom Organization 07 (inactive) or Custom Organization 07 (inactive) Hierarchy Container</t>
  </si>
  <si>
    <t xml:space="preserve">Custom Organization 08 or Custom Organization 08 Hierarchy</t>
  </si>
  <si>
    <t xml:space="preserve">Custom Organization 08 (inactive) or Custom Organization 08 (inactive) Hierarchy Container</t>
  </si>
  <si>
    <t xml:space="preserve">Custom Organization 09 or Custom Organization 09 Hierarchy</t>
  </si>
  <si>
    <t xml:space="preserve">Custom Organization 09 (inactive) or Custom Organization 09 (inactive) Hierarchy Container</t>
  </si>
  <si>
    <t xml:space="preserve">Custom Organization 10 or Custom Organization 10 Hierarchy</t>
  </si>
  <si>
    <t xml:space="preserve">Custom Organization 10 (inactive) or Custom Organization 10 (inactive) Hierarchy Container</t>
  </si>
  <si>
    <t xml:space="preserve">Custom Worktag</t>
  </si>
  <si>
    <t xml:space="preserve">Plan Dimension as Custom Worktag</t>
  </si>
  <si>
    <t xml:space="preserve">Customer</t>
  </si>
  <si>
    <t xml:space="preserve">Plan Dimension as Customer</t>
  </si>
  <si>
    <t xml:space="preserve">Default Performance Axis Calibration Value</t>
  </si>
  <si>
    <t xml:space="preserve">Calibration: Default Performance Axis</t>
  </si>
  <si>
    <t xml:space="preserve">Dependent Event</t>
  </si>
  <si>
    <t xml:space="preserve">Dependent Events</t>
  </si>
  <si>
    <t xml:space="preserve">Derived Holiday Event</t>
  </si>
  <si>
    <t xml:space="preserve">Diagramming Node Details (Derived)</t>
  </si>
  <si>
    <t xml:space="preserve">Difficulty to Fill</t>
  </si>
  <si>
    <t xml:space="preserve">Difficulty to Fill - Primary Position</t>
  </si>
  <si>
    <t xml:space="preserve">Digital Account</t>
  </si>
  <si>
    <t xml:space="preserve">Digital Accounts for Payable Entity</t>
  </si>
  <si>
    <t xml:space="preserve">Distribution Record</t>
  </si>
  <si>
    <t xml:space="preserve">Dynamic Resource Pool</t>
  </si>
  <si>
    <t xml:space="preserve">Project Dynamic Resource Pool</t>
  </si>
  <si>
    <t xml:space="preserve">Education Qualification</t>
  </si>
  <si>
    <t xml:space="preserve">EEO External Data</t>
  </si>
  <si>
    <t xml:space="preserve">EEO Data All External Records</t>
  </si>
  <si>
    <t xml:space="preserve">EEO-1 Report Payband</t>
  </si>
  <si>
    <t xml:space="preserve">EEO-1 Pay Band for Worker</t>
  </si>
  <si>
    <t xml:space="preserve">Eligible Earnings Override</t>
  </si>
  <si>
    <t xml:space="preserve">Eligible Earnings</t>
  </si>
  <si>
    <t xml:space="preserve">Employee Contract</t>
  </si>
  <si>
    <t xml:space="preserve">Employee Contracts for Employee (Data Cloud)</t>
  </si>
  <si>
    <t xml:space="preserve">Employee Contract Type</t>
  </si>
  <si>
    <t xml:space="preserve">CR LRV Worker Contract Type</t>
  </si>
  <si>
    <t xml:space="preserve">Employee Probation Period Reason</t>
  </si>
  <si>
    <t xml:space="preserve">Probation Period Reason</t>
  </si>
  <si>
    <t xml:space="preserve">Employee Review Template</t>
  </si>
  <si>
    <t xml:space="preserve">Review Templates</t>
  </si>
  <si>
    <t xml:space="preserve">Employee Saved Career Path</t>
  </si>
  <si>
    <t xml:space="preserve">Saved Career Paths</t>
  </si>
  <si>
    <t xml:space="preserve">Employments on International Assignment</t>
  </si>
  <si>
    <t xml:space="preserve">End Additional Job Event</t>
  </si>
  <si>
    <t xml:space="preserve">End Additional Job History - All</t>
  </si>
  <si>
    <t xml:space="preserve">Enforcement Legislation</t>
  </si>
  <si>
    <t xml:space="preserve">Family Maintenance Type for British Columbia</t>
  </si>
  <si>
    <t xml:space="preserve">Enrollment Event</t>
  </si>
  <si>
    <t xml:space="preserve">Benefit Enrollments</t>
  </si>
  <si>
    <t xml:space="preserve">Enrollment Offering</t>
  </si>
  <si>
    <t xml:space="preserve">Current Enrollment Offerings</t>
  </si>
  <si>
    <t xml:space="preserve">Equivalent Learning Record</t>
  </si>
  <si>
    <t xml:space="preserve">Learning Equivalency Records</t>
  </si>
  <si>
    <t xml:space="preserve">Ethnicity Category</t>
  </si>
  <si>
    <t xml:space="preserve">Race/Ethnicity Details Category (Locale Sensitive)</t>
  </si>
  <si>
    <t xml:space="preserve">Ethnicity Details</t>
  </si>
  <si>
    <t xml:space="preserve">Race/Ethnicity Details (Locale Sensitive)</t>
  </si>
  <si>
    <t xml:space="preserve">Event Attachment</t>
  </si>
  <si>
    <t xml:space="preserve">Event Attachments</t>
  </si>
  <si>
    <t xml:space="preserve">Event Target</t>
  </si>
  <si>
    <t xml:space="preserve">Evidence of Insurability</t>
  </si>
  <si>
    <t xml:space="preserve">Expense Item</t>
  </si>
  <si>
    <t xml:space="preserve">Plan Dimension as Expense Item</t>
  </si>
  <si>
    <t xml:space="preserve">External Committee Member</t>
  </si>
  <si>
    <t xml:space="preserve">Committee Member - External Committee Member</t>
  </si>
  <si>
    <t xml:space="preserve">External Compensation Benchmark</t>
  </si>
  <si>
    <t xml:space="preserve">External Compensation Benchmark for Worker</t>
  </si>
  <si>
    <t xml:space="preserve">External Compensation Benchmark Composite</t>
  </si>
  <si>
    <t xml:space="preserve">External Compensation Benchmark Composite for Worker</t>
  </si>
  <si>
    <t xml:space="preserve">External Pay Period</t>
  </si>
  <si>
    <t xml:space="preserve">Pay Cycles</t>
  </si>
  <si>
    <t xml:space="preserve">External Payroll  Result Line</t>
  </si>
  <si>
    <t xml:space="preserve">External Payroll Result Line (All)</t>
  </si>
  <si>
    <t xml:space="preserve">External Payroll Employee Type (Do Not Use)</t>
  </si>
  <si>
    <t xml:space="preserve">Payroll Employee Type</t>
  </si>
  <si>
    <t xml:space="preserve">External Payroll Result</t>
  </si>
  <si>
    <t xml:space="preserve">External Payroll Result (All)</t>
  </si>
  <si>
    <t xml:space="preserve">External Student Record</t>
  </si>
  <si>
    <t xml:space="preserve">External Student</t>
  </si>
  <si>
    <t xml:space="preserve">Federal Annual Election</t>
  </si>
  <si>
    <t xml:space="preserve">Worker Annual Federal Tax Elections</t>
  </si>
  <si>
    <t xml:space="preserve">Feedback Response</t>
  </si>
  <si>
    <t xml:space="preserve">Feedback</t>
  </si>
  <si>
    <t xml:space="preserve">Flex Team Availability (Mixed)</t>
  </si>
  <si>
    <t xml:space="preserve">Flex Team Worker Availability</t>
  </si>
  <si>
    <t xml:space="preserve">Flex Team Interest</t>
  </si>
  <si>
    <t xml:space="preserve">Flex Team Membership</t>
  </si>
  <si>
    <t xml:space="preserve">Flex Team Memberships</t>
  </si>
  <si>
    <t xml:space="preserve">Flexible Work Arrangement</t>
  </si>
  <si>
    <t xml:space="preserve">Flexible Work Arrangements for Worker</t>
  </si>
  <si>
    <t xml:space="preserve">Form I-9 Event</t>
  </si>
  <si>
    <t xml:space="preserve">All Form I-9 Events</t>
  </si>
  <si>
    <t xml:space="preserve">FRS Adjustment</t>
  </si>
  <si>
    <t xml:space="preserve">Full-Service Equivalent Worker Category</t>
  </si>
  <si>
    <t xml:space="preserve">Fund Hierarchy</t>
  </si>
  <si>
    <t xml:space="preserve">Plan Dimension as Fund Hierarchy</t>
  </si>
  <si>
    <t xml:space="preserve">Fund or Fund Hierarchy</t>
  </si>
  <si>
    <t xml:space="preserve">Fund or Fund Hierarchy Container</t>
  </si>
  <si>
    <t xml:space="preserve">Future Payment Plan Assignment</t>
  </si>
  <si>
    <t xml:space="preserve">Future Payment Plan Assignments</t>
  </si>
  <si>
    <t xml:space="preserve">Gift Hierarchy</t>
  </si>
  <si>
    <t xml:space="preserve">Plan Dimension as Gift Hierarchy</t>
  </si>
  <si>
    <t xml:space="preserve">Gift or Gift Hierarchy</t>
  </si>
  <si>
    <t xml:space="preserve">Gift or Gift Hierarchy Container</t>
  </si>
  <si>
    <t xml:space="preserve">Give Feedback Event</t>
  </si>
  <si>
    <t xml:space="preserve">Goal Event</t>
  </si>
  <si>
    <t xml:space="preserve">Goal Events</t>
  </si>
  <si>
    <t xml:space="preserve">Grant Hierarchy</t>
  </si>
  <si>
    <t xml:space="preserve">Plan Dimension as Grant Hierarchy</t>
  </si>
  <si>
    <t xml:space="preserve">Grant or Grant Hierarchy</t>
  </si>
  <si>
    <t xml:space="preserve">Grant or Grant Hierarchy Container</t>
  </si>
  <si>
    <t xml:space="preserve">Health Care Election</t>
  </si>
  <si>
    <t xml:space="preserve">Health Care Elections</t>
  </si>
  <si>
    <t xml:space="preserve">Health Savings Account Election</t>
  </si>
  <si>
    <t xml:space="preserve">Health Savings Account Elections</t>
  </si>
  <si>
    <t xml:space="preserve">Hire Employee Event</t>
  </si>
  <si>
    <t xml:space="preserve">Hire Employee History - Approved</t>
  </si>
  <si>
    <t xml:space="preserve">Holiday Calendar</t>
  </si>
  <si>
    <t xml:space="preserve">Holiday Calendars</t>
  </si>
  <si>
    <t xml:space="preserve">Importance Rating</t>
  </si>
  <si>
    <t xml:space="preserve">Importance Rating for Initiative with most Time Logged Last 12 Months</t>
  </si>
  <si>
    <t xml:space="preserve">Insurance Election</t>
  </si>
  <si>
    <t xml:space="preserve">Insurance Elections</t>
  </si>
  <si>
    <t xml:space="preserve">Integration System</t>
  </si>
  <si>
    <t xml:space="preserve">Remittance Integration System</t>
  </si>
  <si>
    <t xml:space="preserve">Intercompany Affiliate</t>
  </si>
  <si>
    <t xml:space="preserve">Plan Dimension as Intercompany Affiliate</t>
  </si>
  <si>
    <t xml:space="preserve">Internal Project</t>
  </si>
  <si>
    <t xml:space="preserve">Internal Projects</t>
  </si>
  <si>
    <t xml:space="preserve">Investor</t>
  </si>
  <si>
    <t xml:space="preserve">Plan Dimension as Investor</t>
  </si>
  <si>
    <t xml:space="preserve">IRL Employer Registration</t>
  </si>
  <si>
    <t xml:space="preserve">IRL Employer Registration Number</t>
  </si>
  <si>
    <t xml:space="preserve">Job Classification Group</t>
  </si>
  <si>
    <t xml:space="preserve">Job Classification Groups</t>
  </si>
  <si>
    <t xml:space="preserve">Job Posting Details</t>
  </si>
  <si>
    <t xml:space="preserve">LinkedIn Recruiter System Connect - Job Postings Exported For</t>
  </si>
  <si>
    <t xml:space="preserve">Job Previous System History</t>
  </si>
  <si>
    <t xml:space="preserve">Job History from Previous System</t>
  </si>
  <si>
    <t xml:space="preserve">Job-Based Security Group</t>
  </si>
  <si>
    <t xml:space="preserve">Job-Based Security Groups</t>
  </si>
  <si>
    <t xml:space="preserve">All Journeys</t>
  </si>
  <si>
    <t xml:space="preserve">Language</t>
  </si>
  <si>
    <t xml:space="preserve">Languages</t>
  </si>
  <si>
    <t xml:space="preserve">Learning Assignment</t>
  </si>
  <si>
    <t xml:space="preserve">Learning Assignments</t>
  </si>
  <si>
    <t xml:space="preserve">Learning Organization</t>
  </si>
  <si>
    <t xml:space="preserve">Learning Record</t>
  </si>
  <si>
    <t xml:space="preserve">Imported Learning Records</t>
  </si>
  <si>
    <t xml:space="preserve">Ledger Account</t>
  </si>
  <si>
    <t xml:space="preserve">Ledger Account Dimension by Name</t>
  </si>
  <si>
    <t xml:space="preserve">Ledger Account and Ledger Account Summary</t>
  </si>
  <si>
    <t xml:space="preserve">Ledger Account or Ledger Account Summary by Name</t>
  </si>
  <si>
    <t xml:space="preserve">Ledger Account Summary</t>
  </si>
  <si>
    <t xml:space="preserve">Ledger Account Dimension Summary by Name</t>
  </si>
  <si>
    <t xml:space="preserve">Ledger Account Type</t>
  </si>
  <si>
    <t xml:space="preserve">Ledger Account or Ledger Account Summary Types</t>
  </si>
  <si>
    <t xml:space="preserve">Legal Global Person Name Snapshot</t>
  </si>
  <si>
    <t xml:space="preserve">Legal Name (Effective Dated)</t>
  </si>
  <si>
    <t xml:space="preserve">License Identifier</t>
  </si>
  <si>
    <t xml:space="preserve">Licenses</t>
  </si>
  <si>
    <t xml:space="preserve">Local Termination Reason</t>
  </si>
  <si>
    <t xml:space="preserve">Termination Reason - Local</t>
  </si>
  <si>
    <t xml:space="preserve">Location or Location Hierarchy</t>
  </si>
  <si>
    <t xml:space="preserve">Location or Location Hierarchy Container</t>
  </si>
  <si>
    <t xml:space="preserve">Market Position Type</t>
  </si>
  <si>
    <t xml:space="preserve">Total Base Pay - Market Position</t>
  </si>
  <si>
    <t xml:space="preserve">Matrix Organization Event</t>
  </si>
  <si>
    <t xml:space="preserve">Assign and Change Matrix Organization History</t>
  </si>
  <si>
    <t xml:space="preserve">Media Tracking</t>
  </si>
  <si>
    <t xml:space="preserve">Lesson Trackings</t>
  </si>
  <si>
    <t xml:space="preserve">Medicare Reason</t>
  </si>
  <si>
    <t xml:space="preserve">Mentor Type</t>
  </si>
  <si>
    <t xml:space="preserve">Mentor Types</t>
  </si>
  <si>
    <t xml:space="preserve">Mentorship</t>
  </si>
  <si>
    <t xml:space="preserve">Mentorships</t>
  </si>
  <si>
    <t xml:space="preserve">Mentorship Event</t>
  </si>
  <si>
    <t xml:space="preserve">In Progress Mentorship Events</t>
  </si>
  <si>
    <t xml:space="preserve">Merit Plan</t>
  </si>
  <si>
    <t xml:space="preserve">Merit Plans - Plan Details</t>
  </si>
  <si>
    <t xml:space="preserve">Military Status</t>
  </si>
  <si>
    <t xml:space="preserve">Military Statuses (Locale Sensitive)</t>
  </si>
  <si>
    <t xml:space="preserve">Mobility Choice</t>
  </si>
  <si>
    <t xml:space="preserve">Willing to Travel</t>
  </si>
  <si>
    <t xml:space="preserve">N Box Cell</t>
  </si>
  <si>
    <t xml:space="preserve">N Box Placement</t>
  </si>
  <si>
    <t xml:space="preserve">N Box View</t>
  </si>
  <si>
    <t xml:space="preserve">Talent Matrix Placement nBox Report</t>
  </si>
  <si>
    <t xml:space="preserve">Named Professorship</t>
  </si>
  <si>
    <t xml:space="preserve">Navigable</t>
  </si>
  <si>
    <t xml:space="preserve">Navigable Filter</t>
  </si>
  <si>
    <t xml:space="preserve">Nomination</t>
  </si>
  <si>
    <t xml:space="preserve">Nominations</t>
  </si>
  <si>
    <t xml:space="preserve">Notification Categorizable</t>
  </si>
  <si>
    <t xml:space="preserve">Impacted Notification Categories</t>
  </si>
  <si>
    <t xml:space="preserve">Notification Event</t>
  </si>
  <si>
    <t xml:space="preserve">Object Class</t>
  </si>
  <si>
    <t xml:space="preserve">Plan Dimension as Object Class</t>
  </si>
  <si>
    <t xml:space="preserve">Offer Status</t>
  </si>
  <si>
    <t xml:space="preserve">Job Application Offer Status</t>
  </si>
  <si>
    <t xml:space="preserve">Opportunity</t>
  </si>
  <si>
    <t xml:space="preserve">Plan Dimension as Opportunity</t>
  </si>
  <si>
    <t xml:space="preserve">Organization Calibration Event</t>
  </si>
  <si>
    <t xml:space="preserve">Organization Calibration Event part of in progress Calibration Event based on Worker</t>
  </si>
  <si>
    <t xml:space="preserve">Organization Goal</t>
  </si>
  <si>
    <t xml:space="preserve">Organization Goals - All</t>
  </si>
  <si>
    <t xml:space="preserve">Organization Visibility</t>
  </si>
  <si>
    <t xml:space="preserve">Passport Identifier</t>
  </si>
  <si>
    <t xml:space="preserve">Passports</t>
  </si>
  <si>
    <t xml:space="preserve">Pay Component</t>
  </si>
  <si>
    <t xml:space="preserve">Plan Dimension as Pay Component</t>
  </si>
  <si>
    <t xml:space="preserve">Pay Rate Determinant</t>
  </si>
  <si>
    <t xml:space="preserve">Pay Type Payment Election Option Line</t>
  </si>
  <si>
    <t xml:space="preserve">Payment Election Option Lines</t>
  </si>
  <si>
    <t xml:space="preserve">Payee Tax Code</t>
  </si>
  <si>
    <t xml:space="preserve">Worker GBR Tax Code Details</t>
  </si>
  <si>
    <t xml:space="preserve">Payee Withholding Tax</t>
  </si>
  <si>
    <t xml:space="preserve">FRA Withholding Tax</t>
  </si>
  <si>
    <t xml:space="preserve">Payment Election Option</t>
  </si>
  <si>
    <t xml:space="preserve">Payment Terms</t>
  </si>
  <si>
    <t xml:space="preserve">Default Payment Terms for Contingent Worker</t>
  </si>
  <si>
    <t xml:space="preserve">Payroll AUS Cessation Type</t>
  </si>
  <si>
    <t xml:space="preserve">AUS - ATO Cessation Type for the Termination Reason for the worker's Effective Termination</t>
  </si>
  <si>
    <t xml:space="preserve">Payroll Other Tax</t>
  </si>
  <si>
    <t xml:space="preserve">State Withholding Other Tax Election</t>
  </si>
  <si>
    <t xml:space="preserve">Payroll Payee Estimated Annual Lump Sum</t>
  </si>
  <si>
    <t xml:space="preserve">Worker Estimated Annual Lump Sum Tax Elections</t>
  </si>
  <si>
    <t xml:space="preserve">Payroll Payee NI</t>
  </si>
  <si>
    <t xml:space="preserve">Worker GBR NI Tax Details</t>
  </si>
  <si>
    <t xml:space="preserve">Payroll Payee PT1</t>
  </si>
  <si>
    <t xml:space="preserve">Worker PT1 Tax Elections</t>
  </si>
  <si>
    <t xml:space="preserve">Payroll Payee Regular Taxable Wages Override</t>
  </si>
  <si>
    <t xml:space="preserve">Worker Bonus - Regular Taxable Wages Override Tax Elections</t>
  </si>
  <si>
    <t xml:space="preserve">Payroll Payee School District</t>
  </si>
  <si>
    <t xml:space="preserve">All Local School District Withholding (Resident)</t>
  </si>
  <si>
    <t xml:space="preserve">Payroll Payee Student Loan</t>
  </si>
  <si>
    <t xml:space="preserve">Worker GBR Student Loan Details</t>
  </si>
  <si>
    <t xml:space="preserve">Payroll Payment</t>
  </si>
  <si>
    <t xml:space="preserve">Payroll Payments (All)</t>
  </si>
  <si>
    <t xml:space="preserve">Payroll Reporting Code (All)</t>
  </si>
  <si>
    <t xml:space="preserve">Payroll Reporting Codes</t>
  </si>
  <si>
    <t xml:space="preserve">Payslip Delivery Method</t>
  </si>
  <si>
    <t xml:space="preserve">Payslip Delivery Method for Payee</t>
  </si>
  <si>
    <t xml:space="preserve">Period Activity Eligibility Entry</t>
  </si>
  <si>
    <t xml:space="preserve">Eligible Period Activities</t>
  </si>
  <si>
    <t xml:space="preserve">Personal Note</t>
  </si>
  <si>
    <t xml:space="preserve">Personal Notes</t>
  </si>
  <si>
    <t xml:space="preserve">Phone Type</t>
  </si>
  <si>
    <t xml:space="preserve">Phone Device Type</t>
  </si>
  <si>
    <t xml:space="preserve">Plan Dimension</t>
  </si>
  <si>
    <t xml:space="preserve">Dimension</t>
  </si>
  <si>
    <t xml:space="preserve">Position Group</t>
  </si>
  <si>
    <t xml:space="preserve">Hiring Restrictions</t>
  </si>
  <si>
    <t xml:space="preserve">Position Snapshot</t>
  </si>
  <si>
    <t xml:space="preserve">Talent Card Job History</t>
  </si>
  <si>
    <t xml:space="preserve">Position Status</t>
  </si>
  <si>
    <t xml:space="preserve">Plan Dimension as Position Status</t>
  </si>
  <si>
    <t xml:space="preserve">Procurement Card Transaction Verification</t>
  </si>
  <si>
    <t xml:space="preserve">Procurement Card Transactions for Worker Available for Purge</t>
  </si>
  <si>
    <t xml:space="preserve">Professional Affiliation</t>
  </si>
  <si>
    <t xml:space="preserve">Professional Affiliations</t>
  </si>
  <si>
    <t xml:space="preserve">Program Hierarchy</t>
  </si>
  <si>
    <t xml:space="preserve">Plan Dimension as Program Hierarchy</t>
  </si>
  <si>
    <t xml:space="preserve">Program or Program Hierarchy</t>
  </si>
  <si>
    <t xml:space="preserve">Program or Program Hierarchy Container</t>
  </si>
  <si>
    <t xml:space="preserve">Project Group</t>
  </si>
  <si>
    <t xml:space="preserve">Project Groups for Project</t>
  </si>
  <si>
    <t xml:space="preserve">Project or Project Hierarchy</t>
  </si>
  <si>
    <t xml:space="preserve">Project or Project Hierarchy Container</t>
  </si>
  <si>
    <t xml:space="preserve">Project Plan Phase</t>
  </si>
  <si>
    <t xml:space="preserve">Plan Dimension as Project Phase</t>
  </si>
  <si>
    <t xml:space="preserve">Project Plan Task</t>
  </si>
  <si>
    <t xml:space="preserve">Plan Dimension as Project Task</t>
  </si>
  <si>
    <t xml:space="preserve">Project Plan Task Evaluation</t>
  </si>
  <si>
    <t xml:space="preserve">Project Plan Task Evaluations</t>
  </si>
  <si>
    <t xml:space="preserve">Project Standard Cost Rate Sheet</t>
  </si>
  <si>
    <t xml:space="preserve">Project Task</t>
  </si>
  <si>
    <t xml:space="preserve">Completed Project Tasks directly assigned to Worker</t>
  </si>
  <si>
    <t xml:space="preserve">Prospect Consent Status</t>
  </si>
  <si>
    <t xml:space="preserve">Prospect Status</t>
  </si>
  <si>
    <t xml:space="preserve">Prospect Type</t>
  </si>
  <si>
    <t xml:space="preserve">Province Annual Election</t>
  </si>
  <si>
    <t xml:space="preserve">Worker Annual Province Tax Elections</t>
  </si>
  <si>
    <t xml:space="preserve">Provisioning Group Assignment</t>
  </si>
  <si>
    <t xml:space="preserve">Provisioning Group Assignments</t>
  </si>
  <si>
    <t xml:space="preserve">PTD1X Election</t>
  </si>
  <si>
    <t xml:space="preserve">Worker PTD1X Tax Elections</t>
  </si>
  <si>
    <t xml:space="preserve">Publication Achievement</t>
  </si>
  <si>
    <t xml:space="preserve">Publications</t>
  </si>
  <si>
    <t xml:space="preserve">Pôle Emploi Rubric Value</t>
  </si>
  <si>
    <t xml:space="preserve">Worker's Contract Usage Reason (FRA Benefits)</t>
  </si>
  <si>
    <t xml:space="preserve">Qualification Equivalence Rule</t>
  </si>
  <si>
    <t xml:space="preserve">Recruit Role Type</t>
  </si>
  <si>
    <t xml:space="preserve">Candidate Types</t>
  </si>
  <si>
    <t xml:space="preserve">Recruiting Assessment</t>
  </si>
  <si>
    <t xml:space="preserve">Recruiting Assessments</t>
  </si>
  <si>
    <t xml:space="preserve">Recruiting Assessment Test Result</t>
  </si>
  <si>
    <t xml:space="preserve">Recruiting Assessment Test Results</t>
  </si>
  <si>
    <t xml:space="preserve">Recruiting Source Category</t>
  </si>
  <si>
    <t xml:space="preserve">Source Category</t>
  </si>
  <si>
    <t xml:space="preserve">Recruiting Stage (Workday Owned)</t>
  </si>
  <si>
    <t xml:space="preserve">Candidate Stage</t>
  </si>
  <si>
    <t xml:space="preserve">Reference Index</t>
  </si>
  <si>
    <t xml:space="preserve">Project Cost Rate Rule</t>
  </si>
  <si>
    <t xml:space="preserve">Reference Letters</t>
  </si>
  <si>
    <t xml:space="preserve">Referral Event</t>
  </si>
  <si>
    <t xml:space="preserve">In-Progress Referral Event</t>
  </si>
  <si>
    <t xml:space="preserve">Referral Relationship</t>
  </si>
  <si>
    <t xml:space="preserve">Region for Recruiting</t>
  </si>
  <si>
    <t xml:space="preserve">Active Regions for Recruiting</t>
  </si>
  <si>
    <t xml:space="preserve">Region Hierarchy</t>
  </si>
  <si>
    <t xml:space="preserve">Plan Dimension as Region Hierarchy</t>
  </si>
  <si>
    <t xml:space="preserve">Region or Region Hierarchy</t>
  </si>
  <si>
    <t xml:space="preserve">Region or Region Hierarchy Container</t>
  </si>
  <si>
    <t xml:space="preserve">Related Person for Worker</t>
  </si>
  <si>
    <t xml:space="preserve">Related Persons</t>
  </si>
  <si>
    <t xml:space="preserve">Reminder Record</t>
  </si>
  <si>
    <t xml:space="preserve">Repository Document (Abstract)</t>
  </si>
  <si>
    <t xml:space="preserve">Event Distributed Report Documents</t>
  </si>
  <si>
    <t xml:space="preserve">Requests About Workday Object</t>
  </si>
  <si>
    <t xml:space="preserve">Requisitions - All Statuses</t>
  </si>
  <si>
    <t xml:space="preserve">Retiree Organization</t>
  </si>
  <si>
    <t xml:space="preserve">Retiree Organization for Retiree</t>
  </si>
  <si>
    <t xml:space="preserve">Revenue Category</t>
  </si>
  <si>
    <t xml:space="preserve">Plan Dimension as Revenue Category</t>
  </si>
  <si>
    <t xml:space="preserve">Revenue Category Hierarchy</t>
  </si>
  <si>
    <t xml:space="preserve">Plan Dimension as Revenue Category Hierarchy</t>
  </si>
  <si>
    <t xml:space="preserve">Role Assignee</t>
  </si>
  <si>
    <t xml:space="preserve">Supervisory Leadership Role Assigned To</t>
  </si>
  <si>
    <t xml:space="preserve">Safety Incident Event</t>
  </si>
  <si>
    <t xml:space="preserve">Safety Incident Events - In Progress or Completed</t>
  </si>
  <si>
    <t xml:space="preserve">Sales Item</t>
  </si>
  <si>
    <t xml:space="preserve">Plan Dimension as Sales Item</t>
  </si>
  <si>
    <t xml:space="preserve">Schedule Block</t>
  </si>
  <si>
    <t xml:space="preserve">Schedule Blocks for Date Range</t>
  </si>
  <si>
    <t xml:space="preserve">Scheduling Absence Container (Derived)</t>
  </si>
  <si>
    <t xml:space="preserve">Scheduling Employment</t>
  </si>
  <si>
    <t xml:space="preserve">Scheduling Training Detail (Derived)</t>
  </si>
  <si>
    <t xml:space="preserve">Scheduling Worker Availability Snapshot</t>
  </si>
  <si>
    <t xml:space="preserve">Scheduling Worker Qualification Snapshot</t>
  </si>
  <si>
    <t xml:space="preserve">Scheduling Worker Qualification</t>
  </si>
  <si>
    <t xml:space="preserve">Self-Identification of Hispanic Latino Selection (SF-181)</t>
  </si>
  <si>
    <t xml:space="preserve">Latest External Hispanic or Latino Response (SF-181)</t>
  </si>
  <si>
    <t xml:space="preserve">Settlement Account</t>
  </si>
  <si>
    <t xml:space="preserve">Settlement Accounts for Payable Entity</t>
  </si>
  <si>
    <t xml:space="preserve">Shift Profile</t>
  </si>
  <si>
    <t xml:space="preserve">Shift Profiles for Worker</t>
  </si>
  <si>
    <t xml:space="preserve">Skill Category</t>
  </si>
  <si>
    <t xml:space="preserve">Skill Item Category</t>
  </si>
  <si>
    <t xml:space="preserve">Skill Category Group</t>
  </si>
  <si>
    <t xml:space="preserve">Skill Item Category Group</t>
  </si>
  <si>
    <t xml:space="preserve">Skill Endorsement</t>
  </si>
  <si>
    <t xml:space="preserve">Skill Endorsements for Worker</t>
  </si>
  <si>
    <t xml:space="preserve">Skills Cloud Skill</t>
  </si>
  <si>
    <t xml:space="preserve">Skills Cloud Skills</t>
  </si>
  <si>
    <t xml:space="preserve">Snapshot (Date)</t>
  </si>
  <si>
    <t xml:space="preserve">Specialty</t>
  </si>
  <si>
    <t xml:space="preserve">Spend Authorization</t>
  </si>
  <si>
    <t xml:space="preserve">Spend Authorizations for Worker</t>
  </si>
  <si>
    <t xml:space="preserve">Spend Category</t>
  </si>
  <si>
    <t xml:space="preserve">Plan Dimension as Spend Category</t>
  </si>
  <si>
    <t xml:space="preserve">Spend Category Hierarchy</t>
  </si>
  <si>
    <t xml:space="preserve">Plan Dimension as Spend Category Hierarchy</t>
  </si>
  <si>
    <t xml:space="preserve">Spending Account Election</t>
  </si>
  <si>
    <t xml:space="preserve">Spending Account Elections</t>
  </si>
  <si>
    <t xml:space="preserve">Sponsor</t>
  </si>
  <si>
    <t xml:space="preserve">Plan Dimension as Sponsor</t>
  </si>
  <si>
    <t xml:space="preserve">Staff</t>
  </si>
  <si>
    <t xml:space="preserve">Assigned Staffing Organizations</t>
  </si>
  <si>
    <t xml:space="preserve">Stock Plan</t>
  </si>
  <si>
    <t xml:space="preserve">Stock Plans - Plan Details</t>
  </si>
  <si>
    <t xml:space="preserve">Subspecialty</t>
  </si>
  <si>
    <t xml:space="preserve">Talent Pool Membership</t>
  </si>
  <si>
    <t xml:space="preserve">Talent Pool Membership Tracking by Worker</t>
  </si>
  <si>
    <t xml:space="preserve">Talent Review Document</t>
  </si>
  <si>
    <t xml:space="preserve">Talent Review Document - Last Completed</t>
  </si>
  <si>
    <t xml:space="preserve">Talent Scorecard Generation</t>
  </si>
  <si>
    <t xml:space="preserve">Generation</t>
  </si>
  <si>
    <t xml:space="preserve">Talent Statement</t>
  </si>
  <si>
    <t xml:space="preserve">Talent Statements</t>
  </si>
  <si>
    <t xml:space="preserve">Tax Code</t>
  </si>
  <si>
    <t xml:space="preserve">Tax Code for Payee</t>
  </si>
  <si>
    <t xml:space="preserve">TD1 Election</t>
  </si>
  <si>
    <t xml:space="preserve">Worker TD1 Tax Elections</t>
  </si>
  <si>
    <t xml:space="preserve">TD1-IN Election</t>
  </si>
  <si>
    <t xml:space="preserve">Worker TD1-IN Tax Elections</t>
  </si>
  <si>
    <t xml:space="preserve">TD1X Election</t>
  </si>
  <si>
    <t xml:space="preserve">Worker TD1X Tax Elections</t>
  </si>
  <si>
    <t xml:space="preserve">Time Blocks for Worker</t>
  </si>
  <si>
    <t xml:space="preserve">Time Calculation Group</t>
  </si>
  <si>
    <t xml:space="preserve">Worker Time Calculation Groups</t>
  </si>
  <si>
    <t xml:space="preserve">Time Clock Event Status</t>
  </si>
  <si>
    <t xml:space="preserve">Check-in Status</t>
  </si>
  <si>
    <t xml:space="preserve">Time Code Group</t>
  </si>
  <si>
    <t xml:space="preserve">Worker Time Code Groups</t>
  </si>
  <si>
    <t xml:space="preserve">All Eligible Time Offs for Worker</t>
  </si>
  <si>
    <t xml:space="preserve">Time Off Entry/Absence Input DI</t>
  </si>
  <si>
    <t xml:space="preserve">FRA Time Off Entries for Custom Payroll Absence Calculations</t>
  </si>
  <si>
    <t xml:space="preserve">Total Compensation Section Item</t>
  </si>
  <si>
    <t xml:space="preserve">Total Rewards Items</t>
  </si>
  <si>
    <t xml:space="preserve">Total Rewards Section Item</t>
  </si>
  <si>
    <t xml:space="preserve">Total Rewards Items (New)</t>
  </si>
  <si>
    <t xml:space="preserve">Training</t>
  </si>
  <si>
    <t xml:space="preserve">Travel Amount</t>
  </si>
  <si>
    <t xml:space="preserve">Travel Preferences</t>
  </si>
  <si>
    <t xml:space="preserve">Travel Preference</t>
  </si>
  <si>
    <t xml:space="preserve">Trust</t>
  </si>
  <si>
    <t xml:space="preserve">Beneficiaries - Trusts</t>
  </si>
  <si>
    <t xml:space="preserve">Union Member</t>
  </si>
  <si>
    <t xml:space="preserve">Union Membership Event</t>
  </si>
  <si>
    <t xml:space="preserve">Unnamed Resource</t>
  </si>
  <si>
    <t xml:space="preserve">Uploaded Document</t>
  </si>
  <si>
    <t xml:space="preserve">Event Uploaded Documents</t>
  </si>
  <si>
    <t xml:space="preserve">URSSAF Rubric Value</t>
  </si>
  <si>
    <t xml:space="preserve">Worker's Tax Election URSSAF Type of Personnel (FRA Benefits)</t>
  </si>
  <si>
    <t xml:space="preserve">US Protected Veteran Status Type</t>
  </si>
  <si>
    <t xml:space="preserve">Veteran Status Identification Protected Type</t>
  </si>
  <si>
    <t xml:space="preserve">US Veteran Status</t>
  </si>
  <si>
    <t xml:space="preserve">Veteran Status Identification</t>
  </si>
  <si>
    <t xml:space="preserve">US Veteran Status (Tenanted)</t>
  </si>
  <si>
    <t xml:space="preserve">Veteran Status Identification Tenanted Response</t>
  </si>
  <si>
    <t xml:space="preserve">User-Based Security Group</t>
  </si>
  <si>
    <t xml:space="preserve">User-Based Security Groups for User</t>
  </si>
  <si>
    <t xml:space="preserve">Visa Identifier</t>
  </si>
  <si>
    <t xml:space="preserve">Visas</t>
  </si>
  <si>
    <t xml:space="preserve">Wellness Base</t>
  </si>
  <si>
    <t xml:space="preserve">Benefits Wellness Data</t>
  </si>
  <si>
    <t xml:space="preserve">Withholding Order Amount Type</t>
  </si>
  <si>
    <t xml:space="preserve">Work Assignment</t>
  </si>
  <si>
    <t xml:space="preserve">Current Work Assignment Versions; Current Work Assignments</t>
  </si>
  <si>
    <t xml:space="preserve">Work Experience</t>
  </si>
  <si>
    <t xml:space="preserve">Work Experience Qualification</t>
  </si>
  <si>
    <t xml:space="preserve">Current Work Experiences</t>
  </si>
  <si>
    <t xml:space="preserve">Work Schedule Assignment Event</t>
  </si>
  <si>
    <t xml:space="preserve">Scheduling Worker Work Schedule Assignments</t>
  </si>
  <si>
    <t xml:space="preserve">Workday-Delivered Security Group</t>
  </si>
  <si>
    <t xml:space="preserve">Implementers Security Group</t>
  </si>
  <si>
    <t xml:space="preserve">Worker Active Employment Date Container (Derived)</t>
  </si>
  <si>
    <t xml:space="preserve">Worker Billing Rate</t>
  </si>
  <si>
    <t xml:space="preserve">Worker Contact Connection</t>
  </si>
  <si>
    <t xml:space="preserve">Connections</t>
  </si>
  <si>
    <t xml:space="preserve">Worker Custom Data Snapshot</t>
  </si>
  <si>
    <t xml:space="preserve">Worker Additional Data</t>
  </si>
  <si>
    <t xml:space="preserve">Worker Status</t>
  </si>
  <si>
    <t xml:space="preserve">Leave Statuses - All</t>
  </si>
  <si>
    <t xml:space="preserve">Worker Tax Treaty</t>
  </si>
  <si>
    <t xml:space="preserve">Working Time Unit</t>
  </si>
  <si>
    <t xml:space="preserve">Worker's Working Time Unit (Benefits)</t>
  </si>
  <si>
    <t xml:space="preserve">Workteam</t>
  </si>
  <si>
    <t xml:space="preserve">Workteam Memberships</t>
  </si>
  <si>
    <t xml:space="preserve">Deduction</t>
  </si>
  <si>
    <t xml:space="preserve">Position Budget</t>
  </si>
  <si>
    <t xml:space="preserve">Common?</t>
  </si>
  <si>
    <t xml:space="preserve">(Active) Relocation - Long Term Areas</t>
  </si>
  <si>
    <t xml:space="preserve">The active relocation areas that the employee is willing to relocate to in the long term.</t>
  </si>
  <si>
    <t xml:space="preserve">(Active) Relocation - Short Term Areas</t>
  </si>
  <si>
    <t xml:space="preserve">The active relocation areas that the employee is willing to relocate to in the short term.</t>
  </si>
  <si>
    <t xml:space="preserve">A person's response to whether or not they identify as aboriginal/indigenous.</t>
  </si>
  <si>
    <t xml:space="preserve">The aboriginal/indigenous identification values for a person.</t>
  </si>
  <si>
    <t xml:space="preserve">ABS CF EE  Annual Work Period is  F10</t>
  </si>
  <si>
    <t xml:space="preserve">ABS CF EE Total FTE (Max 1 FTE)</t>
  </si>
  <si>
    <t xml:space="preserve">ABS CF LRV Worker is Absence Administrator or Partner</t>
  </si>
  <si>
    <t xml:space="preserve">ABS CF TF Total Blended FTE &gt; 1</t>
  </si>
  <si>
    <t xml:space="preserve">ABS CF Worker AWP is F10</t>
  </si>
  <si>
    <t xml:space="preserve">ABS CF Worker's FTE * 1040</t>
  </si>
  <si>
    <t xml:space="preserve">ABS CF Worker's FTE * 480</t>
  </si>
  <si>
    <t xml:space="preserve">Returns Absence Case Events For Worker.</t>
  </si>
  <si>
    <t xml:space="preserve">The absence occurrences for the worker within the date range. Workday groups absences that occur on either side of nonworking days into 1 consecutive absence.</t>
  </si>
  <si>
    <t xml:space="preserve">Absence Occurrence Units (Hours)</t>
  </si>
  <si>
    <t xml:space="preserve">ACA IRS 1094-C Reporting -  Included in Total Employee Count for August</t>
  </si>
  <si>
    <t xml:space="preserve">This CRF is specific for ACA IRS Reporting. Returns True if the worker was included in the most recent calculation of 1094-C Total Employee counts for the month of August. Uses Entry Moment of when the calculate job (Calculate 1094-C Total and Full Time Employee Counts By Month) was run.</t>
  </si>
  <si>
    <t xml:space="preserve">Month</t>
  </si>
  <si>
    <t xml:space="preserve">ACA IRS 1094-C Reporting -  Included in Total Employee Count for February</t>
  </si>
  <si>
    <t xml:space="preserve">This CRF is specific for ACA IRS Reporting. Returns True if the worker was included in the most recent calculation of 1094-C Total Employee counts for the month of February. Uses Entry Moment of when the calculate job (Calculate 1094-C Total and Full Time Employee Counts By Month) was run.</t>
  </si>
  <si>
    <t xml:space="preserve">ACA IRS 1094-C Reporting -  Included in Total Employee Count for January</t>
  </si>
  <si>
    <t xml:space="preserve">This CRF is specific for ACA IRS Reporting. Returns True if the worker was included in the most recent calculation of 1094-C Total Employee counts for the month of January. Uses Entry Moment of when the calculate job (Calculate 1094-C Total and Full Time Employee Counts By Month) was run.</t>
  </si>
  <si>
    <t xml:space="preserve">ACA IRS 1094-C Reporting -  Included in Total Employee Count for July</t>
  </si>
  <si>
    <t xml:space="preserve">This CRF is specific for ACA IRS Reporting. Returns True if the worker was included in the most recent calculation of 1094-C Total Employee counts for the month of July. Uses Entry Moment of when the calculate job (Calculate 1094-C Total and Full Time Employee Counts By Month) was run.</t>
  </si>
  <si>
    <t xml:space="preserve">ACA IRS 1094-C Reporting -  Included in Total Employee Count for June</t>
  </si>
  <si>
    <t xml:space="preserve">This CRF is specific for ACA IRS Reporting. Returns True if the worker was included in the most recent calculation of 1094-C Total Employee counts for the month of June. Uses Entry Moment of when the calculate job (Calculate 1094-C Total and Full Time Employee Counts By Month) was run.</t>
  </si>
  <si>
    <t xml:space="preserve">ACA IRS 1094-C Reporting -  Included in Total Employee Count for March</t>
  </si>
  <si>
    <t xml:space="preserve">This CRF is specific for ACA IRS Reporting. Returns True if the worker was included in the most recent calculation of 1094-C Total Employee counts for the month of March. Uses Entry Moment of when the calculate job (Calculate 1094-C Total and Full Time Employee Counts By Month) was run.</t>
  </si>
  <si>
    <t xml:space="preserve">ACA IRS 1094-C Reporting -  Included in Total Employee Count for May</t>
  </si>
  <si>
    <t xml:space="preserve">This CRF is specific for ACA IRS Reporting. Returns True if the worker was included in the most recent calculation of 1094-C Total Employee counts for the month of May. Uses Entry Moment of when the calculate job (Calculate 1094-C Total and Full Time Employee Counts By Month) was run.</t>
  </si>
  <si>
    <t xml:space="preserve">ACA IRS 1094-C Reporting - Included in Total Employee Count for April</t>
  </si>
  <si>
    <t xml:space="preserve">This CRF is specific for ACA IRS Reporting. Returns True if the worker was included in the most recent calculation of 1094-C Total Employee counts for the month of April. Uses Entry Moment of when the calculate job (Calculate 1094-C Total and Full Time Employee Counts By Month) was run.</t>
  </si>
  <si>
    <t xml:space="preserve">ACA IRS 1094-C Reporting - Included in Total Employee Count for December</t>
  </si>
  <si>
    <t xml:space="preserve">This CRF is specific for ACA IRS Reporting. Returns True if the worker was included in the most recent calculation of 1094-C Total Employee counts for the month of December. Uses Entry Moment of when the calculate job (Calculate 1094-C Total and Full Time Employee Counts By Month) was run.</t>
  </si>
  <si>
    <t xml:space="preserve">ACA IRS 1094-C Reporting - Included in Total Employee Count for November</t>
  </si>
  <si>
    <t xml:space="preserve">This CRF is specific for ACA IRS Reporting. Returns True if the worker was included in the most recent calculation of 1094-C Total Employee counts for the month of November. Uses Entry Moment of when the calculate job (Calculate 1094-C Total and Full Time Employee Counts By Month) was run.</t>
  </si>
  <si>
    <t xml:space="preserve">ACA IRS 1094-C Reporting - Included in Total Employee Count for October</t>
  </si>
  <si>
    <t xml:space="preserve">This CRF is specific for ACA IRS Reporting. Returns True if the worker was included in the most recent calculation of 1094-C Total Employee counts for the month of October. Uses Entry Moment of when the calculate job (Calculate 1094-C Total and Full Time Employee Counts By Month) was run.</t>
  </si>
  <si>
    <t xml:space="preserve">ACA IRS 1094-C Reporting - Included in Total Employee Count for September</t>
  </si>
  <si>
    <t xml:space="preserve">This CRF is specific for ACA IRS Reporting. Returns True if the worker was included in the most recent calculation of 1094-C Total Employee counts for the month of September. Uses Entry Moment of when the calculate job (Calculate 1094-C Total and Full Time Employee Counts By Month) was run.</t>
  </si>
  <si>
    <t xml:space="preserve">ACA IRS 1094-C Reporting - Worker Included in Full Time Count for April</t>
  </si>
  <si>
    <t xml:space="preserve">This CRF is specific for ACA IRS Reporting. Returns True if the worker was included in the most recent calculation of 1094-C full time Employee counts for the month of April. Uses Entry Moment of when the calculate job (Calculate 1094-C Total and Full Time Employee Counts By Month) was run.</t>
  </si>
  <si>
    <t xml:space="preserve">ACA IRS 1094-C Reporting - Worker Included in Full Time Count for August</t>
  </si>
  <si>
    <t xml:space="preserve">This CRF is specific for ACA IRS Reporting. Returns True if the worker was included in the most recent calculation of 1094-C full time Employee counts for the month of August. Uses Entry Moment of when the calculate job (Calculate 1094-C Total and Full Time Employee Counts By Month) was run.</t>
  </si>
  <si>
    <t xml:space="preserve">ACA IRS 1094-C Reporting - Worker Included in Full Time Count for December</t>
  </si>
  <si>
    <t xml:space="preserve">This CRF is specific for ACA IRS Reporting. Returns True if the worker was included in the most recent calculation of 1094-C full time Employee counts for the month of December. Uses Entry Moment of when the calculate job (Calculate 1094-C Total and Full Time Employee Counts By Month) was run.</t>
  </si>
  <si>
    <t xml:space="preserve">ACA IRS 1094-C Reporting - Worker Included in Full Time Count for February</t>
  </si>
  <si>
    <t xml:space="preserve">This CRF is specific for ACA IRS Reporting. Returns True if the worker was included in the most recent calculation of 1094-C full time Employee counts for the month of February.</t>
  </si>
  <si>
    <t xml:space="preserve">ACA IRS 1094-C Reporting - Worker Included in Full Time Count for January</t>
  </si>
  <si>
    <t xml:space="preserve">This CRF is specific for ACA IRS Reporting. Returns True if the worker was included in the most recent calculation of 1094-C  full time Employee counts for the month of January. Uses Entry Moment of when the calculate job (Calculate 1094-C Total and Full Time Employee Counts By Month) was run.  ACAIRS1094_CReporting_WorkerIncludedInFullTimeCountForJanuary</t>
  </si>
  <si>
    <t xml:space="preserve">ACA IRS 1094-C Reporting - Worker Included in Full Time Count for July</t>
  </si>
  <si>
    <t xml:space="preserve">This CRF is specific for ACA IRS Reporting. Returns True if the worker was included in the most recent calculation of 1094-C full time Employee counts for the month of July. Uses Entry Moment of when the calculate job (Calculate 1094-C Total and Full Time Employee Counts By Month) was run.</t>
  </si>
  <si>
    <t xml:space="preserve">ACA IRS 1094-C Reporting - Worker Included in Full Time Count for June</t>
  </si>
  <si>
    <t xml:space="preserve">This CRF is specific for ACA IRS Reporting. Returns True if the worker was included in the most recent calculation of 1094-C full time Employee counts for the month of June. Uses Entry Moment of when the calculate job (Calculate 1094-C Total and Full Time Employee Counts By Month) was run.</t>
  </si>
  <si>
    <t xml:space="preserve">ACA IRS 1094-C Reporting - Worker Included in Full Time Count for March</t>
  </si>
  <si>
    <t xml:space="preserve">This CRF is specific for ACA IRS Reporting. Returns True if the worker was included in the most recent calculation of 1094-C full time Employee counts for the month of March. Uses Entry Moment of when the calculate job (Calculate 1094-C Total and Full Time Employee Counts By Month) was run.</t>
  </si>
  <si>
    <t xml:space="preserve">ACA IRS 1094-C Reporting - Worker Included in Full Time Count for May</t>
  </si>
  <si>
    <t xml:space="preserve">This CRF is specific for ACA IRS Reporting. Returns True if the worker was included in the most recent calculation of 1094-C full time Employee counts for the month of May. Uses Entry Moment of when the calculate job (Calculate 1094-C Total and Full Time Employee Counts By Month) was run.</t>
  </si>
  <si>
    <t xml:space="preserve">ACA IRS 1094-C Reporting - Worker Included in Full Time Count for November</t>
  </si>
  <si>
    <t xml:space="preserve">This CRF is specific for ACA IRS Reporting. Returns True if the worker was included in the most recent calculation of 1094-C full time Employee counts for the month of November. Uses Entry Moment of when the calculate job (Calculate 1094-C Total and Full Time Employee Counts By Month) was run.</t>
  </si>
  <si>
    <t xml:space="preserve">ACA IRS 1094-C Reporting - Worker Included in Full Time Count for October</t>
  </si>
  <si>
    <t xml:space="preserve">This CRF is specific for ACA IRS Reporting. Returns True if the worker was included in the most recent calculation of 1094-C full time Employee counts for the month of October. Uses Entry Moment of when the calculate job (Calculate 1094-C Total and Full Time Employee Counts By Month) was run.</t>
  </si>
  <si>
    <t xml:space="preserve">ACA IRS 1094-C Reporting - Worker Included in Full Time Count for September</t>
  </si>
  <si>
    <t xml:space="preserve">This CRF is specific for ACA IRS Reporting. Returns True if the worker was included in the most recent calculation of 1094-C full time Employee counts for the month of September. Uses Entry Moment of when the calculate job (Calculate 1094-C Total and Full Time Employee Counts By Month) was run.</t>
  </si>
  <si>
    <t xml:space="preserve">Returns all the ACA Measurement Period Worker History records/instances for a given worker/employee.</t>
  </si>
  <si>
    <t xml:space="preserve">Returns all the ACA Worker Hours And Wages records/instances imported (via EIB/Web Service) for a given worker/employee.</t>
  </si>
  <si>
    <t xml:space="preserve">Returns the academic affiliate object for the member.</t>
  </si>
  <si>
    <t xml:space="preserve">All Academic Appointment Identifiers from the worker's current Academic Appointments.  The "effective date" can be specified to return data that is current as of that date.  If not specified, the current date is used.</t>
  </si>
  <si>
    <t xml:space="preserve">Academic Appointment Tenured</t>
  </si>
  <si>
    <t xml:space="preserve">Returns true if any of the Worker's current Academic Appointments have a status of Tenured.  The "effective date" can be specified to return data that is current as of that date.  If not specified, the current date is used.</t>
  </si>
  <si>
    <t xml:space="preserve">Academic Appointment Titles</t>
  </si>
  <si>
    <t xml:space="preserve">Contains the Academic Appointments for the Worker.  In Report Writer, this field will display the Title, instead of the default display for an Academic Appointment.  The "effective date" can be specified to return data that is current as of that date.  If not specified, the current date is used.</t>
  </si>
  <si>
    <t xml:space="preserve">Contains all the Academic Appointments for a Worker, past, present, and future, for all Academic Appointment Threads.</t>
  </si>
  <si>
    <t xml:space="preserve">Academic Appointments With Sabbatical Program</t>
  </si>
  <si>
    <t xml:space="preserve">All current Academic Appointments with Academic Track that includes Sabbatical Program. The "effective date" can be specified to return data that is current as of that date.  If not specified, the current date is used.</t>
  </si>
  <si>
    <t xml:space="preserve">The Academic Level for the committee member candidate.</t>
  </si>
  <si>
    <t xml:space="preserve">Academic Rank for Committee Candidate</t>
  </si>
  <si>
    <t xml:space="preserve">Returns the Academic Rank, if it exists, for a committee member candidate.</t>
  </si>
  <si>
    <t xml:space="preserve">Academic Rank for Primary Academic Appointment</t>
  </si>
  <si>
    <t xml:space="preserve">The Academic Rank for the Worker's primary Academic Appointment.  The primary flag is located on the appointment's Identifier.</t>
  </si>
  <si>
    <t xml:space="preserve">Academic Ranks</t>
  </si>
  <si>
    <t xml:space="preserve">All Academic Ranks from the worker's current Academic Appointments. The "effective date" can be specified to return data that is current as of that date.  If not specified, the current date is used.</t>
  </si>
  <si>
    <t xml:space="preserve">Academic Tenure Date</t>
  </si>
  <si>
    <t xml:space="preserve">The date which the worker received academic tenure.  If the date is specified in an Academic Appointment, that date is used.  If that date is not specified, but the tenure date is specified in the Maintain Tenure Business Process (deprecated in W15), this date is used.</t>
  </si>
  <si>
    <t xml:space="preserve">Academic Tenure Status for Committee Candidate</t>
  </si>
  <si>
    <t xml:space="preserve">Returns the academic Tenure Status, if it exists, for a committee member candidate.</t>
  </si>
  <si>
    <t xml:space="preserve">Academic Tenure Statuses</t>
  </si>
  <si>
    <t xml:space="preserve">All Academic Appointment Tenure Statuses from the worker's current Academic Appointments.  The "effective date" can be specified to return data that is current as of that date.  If not specified, the current date is used.</t>
  </si>
  <si>
    <t xml:space="preserve">Academic Tenure Track Start Date</t>
  </si>
  <si>
    <t xml:space="preserve">Returns the Track Start Date for the current Appointment. The value is the earliest Appointment Start Date for the Appointment Track or the Track Start Date override when it exists</t>
  </si>
  <si>
    <t xml:space="preserve">Academic Track Type Categories</t>
  </si>
  <si>
    <t xml:space="preserve">All Academic Track Types from the worker's current Academic Appointments. The "effective date" can be specified to return data that is current as of that date.  If not specified, the current date is used.</t>
  </si>
  <si>
    <t xml:space="preserve">Academic Track Type Category for Primary Academic Appointment</t>
  </si>
  <si>
    <t xml:space="preserve">The Academic Track Type Category for the Worker's primary Academic Appointment.  The primary flag is located on the appointment's Identifier.</t>
  </si>
  <si>
    <t xml:space="preserve">Academic Track Type for Committee Candidate</t>
  </si>
  <si>
    <t xml:space="preserve">Returns the Track Type, if it exists, for a committee member candidate.</t>
  </si>
  <si>
    <t xml:space="preserve">Academic Track Types</t>
  </si>
  <si>
    <t xml:space="preserve">All Academic Track Types from the worker's current Academic Appointments.  The "effective date" can be specified to return data that is current as of that date.  If not specified, the current date is used.</t>
  </si>
  <si>
    <t xml:space="preserve">Academic Unit for Committee Candidate</t>
  </si>
  <si>
    <t xml:space="preserve">The Academic Units for a committee member candidate.</t>
  </si>
  <si>
    <t xml:space="preserve">Academic Unit for Primary Academic Appointment</t>
  </si>
  <si>
    <t xml:space="preserve">The Academic Unit for the Worker's primary Academic Appointment. The primary flag is located on the appointment's Identifier.</t>
  </si>
  <si>
    <t xml:space="preserve">The Academic Unit Hierarchies for a committee member candidate, only applicable for academic affiliates and workers with academic appointments.</t>
  </si>
  <si>
    <t xml:space="preserve">Academic Unit related to Supervisory Organization</t>
  </si>
  <si>
    <t xml:space="preserve">Academic Unit for Worker Supervisory Organization</t>
  </si>
  <si>
    <t xml:space="preserve">Academic Units</t>
  </si>
  <si>
    <t xml:space="preserve">All Academic Units for the Worker's current Academic Appointments.  The "effective date" can be specified to return data that is current as of that date.  If not specified, the current date is used.</t>
  </si>
  <si>
    <t xml:space="preserve">Account Posting Rule Condition Value Detail</t>
  </si>
  <si>
    <t xml:space="preserve">The Account Sets for the ledger account or ledger account summary.</t>
  </si>
  <si>
    <t xml:space="preserve">Accounting Cash Pool Balancing Worktags</t>
  </si>
  <si>
    <t xml:space="preserve">The balancing worktags used in the accounting cash pool.</t>
  </si>
  <si>
    <t xml:space="preserve">Accounting Cash Pool Subtype</t>
  </si>
  <si>
    <t xml:space="preserve">The user-defined subtype for the accounting cash pool hierarchy.</t>
  </si>
  <si>
    <t xml:space="preserve">Accounting Cash Pool Top Level Hierarchy</t>
  </si>
  <si>
    <t xml:space="preserve">The balancing worktag top level hierarchy defined for the accounting cash pool.</t>
  </si>
  <si>
    <t xml:space="preserve">The achievable level for an employee.  Only returns a value for employees as contingent workers do not have achievable level tracked.</t>
  </si>
  <si>
    <t xml:space="preserve">Active and Inactive Long Term Relocation Areas</t>
  </si>
  <si>
    <t xml:space="preserve">The areas that the employee is willing to relocate to in the long term.</t>
  </si>
  <si>
    <t xml:space="preserve">Active and Inactive Short-Term Relocation Areas</t>
  </si>
  <si>
    <t xml:space="preserve">The areas that the employee is willing to relocate to in the short term.</t>
  </si>
  <si>
    <t xml:space="preserve">Active Beneficiary Court Orders</t>
  </si>
  <si>
    <t xml:space="preserve">Court orders for the worker's dependents.</t>
  </si>
  <si>
    <t xml:space="preserve">Active Competency Skills</t>
  </si>
  <si>
    <t xml:space="preserve">The active Competencies for the worker.  Contains the competency only, not the skill level.</t>
  </si>
  <si>
    <t xml:space="preserve">Active Dependent Court Orders</t>
  </si>
  <si>
    <t xml:space="preserve">The active court orders for the dependent. Includes the required coverage and date range.</t>
  </si>
  <si>
    <t xml:space="preserve">Active Dues Paying Unions as of Period Start Date</t>
  </si>
  <si>
    <t xml:space="preserve">Returns the unions the worker is an active dues paying member as of period start date.</t>
  </si>
  <si>
    <t xml:space="preserve">Active Dues Paying Unions as of Sub Period End Date</t>
  </si>
  <si>
    <t xml:space="preserve">Returns the unions the worker is an active dues paying member as of the Sub Period End Date, if Sub Period End Date is available; if not available it is as of the Period End Date.</t>
  </si>
  <si>
    <t xml:space="preserve">Active Flex Teams</t>
  </si>
  <si>
    <t xml:space="preserve">In Recruiting or Fully Staffed flex teams that the flex team Worker is an approved member of.</t>
  </si>
  <si>
    <t xml:space="preserve">Active Leave Types that Track Balance</t>
  </si>
  <si>
    <t xml:space="preserve">Returns all leave of absence types that are active and that track balance.</t>
  </si>
  <si>
    <t xml:space="preserve">Active Military Uniformed Service</t>
  </si>
  <si>
    <t xml:space="preserve">The Active Military Uniformed Service for the person.</t>
  </si>
  <si>
    <t xml:space="preserve">Active Military Uniformed Service (Locale Sensitive)</t>
  </si>
  <si>
    <t xml:space="preserve">The Active Military Uniformed Service for the person. The value is based on the localization setting for worker.</t>
  </si>
  <si>
    <t xml:space="preserve">Field Display Configurable [Nonsingular]</t>
  </si>
  <si>
    <t xml:space="preserve">Active Onboarding Plan Assignment For Candidate</t>
  </si>
  <si>
    <t xml:space="preserve">The onboarding plan assignment currently assigned to the person associated with this candidate.</t>
  </si>
  <si>
    <t xml:space="preserve">Active Onboarding Plan Assignment For Role</t>
  </si>
  <si>
    <t xml:space="preserve">The onboarding plan assignment currently assigned to the person associated with this role.</t>
  </si>
  <si>
    <t xml:space="preserve">The active regions for recruiting used to secure the candidate.</t>
  </si>
  <si>
    <t xml:space="preserve">Active Skills</t>
  </si>
  <si>
    <t xml:space="preserve">Returns all active skills for the worker.</t>
  </si>
  <si>
    <t xml:space="preserve">Returns 'Yes' if the worker is active as of the report date if provided; excludes workers who are on certain types of leave or who are terminated.</t>
  </si>
  <si>
    <t xml:space="preserve">Report Writer Provided Top Level Effective Moment</t>
  </si>
  <si>
    <t xml:space="preserve">Active Status (Benefits)</t>
  </si>
  <si>
    <t xml:space="preserve">Returns the active status of the worker</t>
  </si>
  <si>
    <t xml:space="preserve">Yes</t>
  </si>
  <si>
    <t xml:space="preserve">The status of the worker including the effective date.</t>
  </si>
  <si>
    <t xml:space="preserve">Active Unions as of Leave Start Date</t>
  </si>
  <si>
    <t xml:space="preserve">Returns the unions the worker is an active member as of the leave start date.</t>
  </si>
  <si>
    <t xml:space="preserve">Active Unions as of Period End Date</t>
  </si>
  <si>
    <t xml:space="preserve">Returns the unions the worker is an active member as of period end date.</t>
  </si>
  <si>
    <t xml:space="preserve">Active Unions as of Period Start Date</t>
  </si>
  <si>
    <t xml:space="preserve">Returns the unions the worker is an active member as of period start date.</t>
  </si>
  <si>
    <t xml:space="preserve">Active Unions as of Processing Date</t>
  </si>
  <si>
    <t xml:space="preserve">The unions where the worker is an active member as of the processing date.</t>
  </si>
  <si>
    <t xml:space="preserve">Active Unions as of Sub-Period End Date</t>
  </si>
  <si>
    <t xml:space="preserve">Returns the unions the worker is an active member as of the Sub Period End Date, if Sub Period End Date is available; if not available it is as of the Period End Date.</t>
  </si>
  <si>
    <t xml:space="preserve">Activity</t>
  </si>
  <si>
    <t xml:space="preserve">Trended Record Type of Activity</t>
  </si>
  <si>
    <t xml:space="preserve">Actual Hours Worked (All Periods/All Pay Components for Worker's Primary Job) for Last 12 Months</t>
  </si>
  <si>
    <t xml:space="preserve">Returns the sum of hours worked for all external Payroll actuals for the worker's primary job during the prior 12-month period (Current Moment minus 1 Year through Current Moment minus 1 Day).  Note that when this field is used in context with a Leave of Absence or a Time Off request, the Current Moment represents the First Day of Leave, or the Time Off As-Of Date, as applicable. Otherwise, the Current Moment is "Today".</t>
  </si>
  <si>
    <t xml:space="preserve">As Of</t>
  </si>
  <si>
    <t xml:space="preserve">Actual Hours Worked (All Periods/All Pay Components for Worker) for Last 12 Months</t>
  </si>
  <si>
    <t xml:space="preserve">Returns the sum of hours worked for all external Payroll actuals for the worker during the prior 12-month period (Current Moment minus 1 Year through Current Moment minus 1 Day).  Note that when this field is used in context with a Leave of Absence or a Time Off request, the Current Moment represents the First Day of Leave, or the Time Off As-Of Date, as applicable.  Otherwise, the Current Moment is "Today".</t>
  </si>
  <si>
    <t xml:space="preserve">Actual Hours Worked (All Periods/All Pay Components for Worker) for Last 12 Months (Benefit Jobs)</t>
  </si>
  <si>
    <t xml:space="preserve">Returns the sum of hours worked for all external Payroll actuals for the worker during the prior 12-month period (Current Moment minus 1 Year through Current Moment minus 1 Day).  Note that when this field is used in context with a Leave of Absence or a Time Off request, the Current Moment represents the First Day of Leave, or the Time Off As-Of Date, as applicable.  Otherwise, the Current Moment is "Today". This is based on Benefit Jobs.</t>
  </si>
  <si>
    <t xml:space="preserve">Actual Hours Worked (Completed Periods/All Pay Components for Worker's Primary Job) for Last 12 Months</t>
  </si>
  <si>
    <t xml:space="preserve">Returns the sum of hours worked for all external Payroll actuals that are associated with a completed payroll Period for the worker's primary job during the prior 12-month period (Current Moment minus 1 Year through Current Moment minus 1 Day).  Note that when this field is used in context with a Leave of Absence or a Time Off request, the Current Moment represents the First Day of Leave, or the Time Off As-Of Date, as applicable.  Otherwise, the Current Moment is "Today".</t>
  </si>
  <si>
    <t xml:space="preserve">Actual Hours Worked (Completed Periods/All Pay Components for Worker) for Last 12 Months</t>
  </si>
  <si>
    <t xml:space="preserve">Returns the sum of hours worked for all external Payroll actuals that are associated with a completed payroll Period for the worker during the prior 12-month period (Current Moment minus 1 Year through Current Moment minus 1 Day).  Note that when this field is used in context with a Leave of Absence or a Time Off request, the Current Moment represents the First Day of Leave, or the Time Off As-Of Date, as applicable.  Otherwise, the Current Moment is "Today".</t>
  </si>
  <si>
    <t xml:space="preserve">Actual Hours Worked (Completed Periods/All Pay Components for Worker) for Last 12 Months (Benefit Jobs)</t>
  </si>
  <si>
    <t xml:space="preserve">Returns the sum of hours worked for all external Payroll actuals that are associated with a completed payroll Period for the worker during the prior 12-month period (Current Moment minus 1 Year through Current Moment minus 1 Day).  Note that when this field is used in context with a Leave of Absence or a Time Off request, the Current Moment represents the First Day of Leave, or the Time Off As-Of Date, as applicable.  Otherwise, the Current Moment is "Today". Used for Benefits Eligibility.</t>
  </si>
  <si>
    <t xml:space="preserve">The ad hoc payment for the payee.</t>
  </si>
  <si>
    <t xml:space="preserve">Adaptive Planning System Users for Assignable Role</t>
  </si>
  <si>
    <t xml:space="preserve">The system users (Workday accounts) of the workers assigned to the role for the organization. This report field only returns system users for workers with access to the Access Adaptive Planning domain.</t>
  </si>
  <si>
    <t xml:space="preserve">Assignable Role for Dimension Type</t>
  </si>
  <si>
    <t xml:space="preserve">Adaptive Planning System Users for Assignable Roles</t>
  </si>
  <si>
    <t xml:space="preserve">The system users (Workday accounts) of the workers assigned to the roles for the organization. This report field only returns system users for workers with access to the Access Adaptive Planning domain.</t>
  </si>
  <si>
    <t xml:space="preserve">Assignable Roles for Dimension Type</t>
  </si>
  <si>
    <t xml:space="preserve">Added By Originator</t>
  </si>
  <si>
    <t xml:space="preserve">Gets worker who originally added the candidate.</t>
  </si>
  <si>
    <t xml:space="preserve">Added Date</t>
  </si>
  <si>
    <t xml:space="preserve">This is the date on which the candidate was created.</t>
  </si>
  <si>
    <t xml:space="preserve">Contains all additional benefits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</si>
  <si>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 xml:space="preserve">Additional Job Classifications</t>
  </si>
  <si>
    <t xml:space="preserve">The additional job classifications on an active ~worker’s~ primary position.</t>
  </si>
  <si>
    <t xml:space="preserve">Contains all additional job events for the worker that the processing person is able to view.  The ability to view the event is based on the event's security policy.</t>
  </si>
  <si>
    <t xml:space="preserve">Additional Jobs</t>
  </si>
  <si>
    <t xml:space="preserve">Returns the additional jobs for a worker.</t>
  </si>
  <si>
    <t xml:space="preserve">Additional Jobs - All</t>
  </si>
  <si>
    <t xml:space="preserve">All of the ~worker’s~ additional jobs. You can only use this report field on a custom data source.</t>
  </si>
  <si>
    <t xml:space="preserve">Custom Data Source</t>
  </si>
  <si>
    <t xml:space="preserve">Additional Jobs if Enabled</t>
  </si>
  <si>
    <t xml:space="preserve">Returns the additional jobs for a worker if Additional Jobs is enabled. Otherwise nothing is returned.</t>
  </si>
  <si>
    <t xml:space="preserve">Additional Names</t>
  </si>
  <si>
    <t xml:space="preserve">Additional names for the worker.</t>
  </si>
  <si>
    <t xml:space="preserve">Additional Nationalities (Worker)</t>
  </si>
  <si>
    <t xml:space="preserve">Contains the nationalities for which the Worker holds additional nationalities.</t>
  </si>
  <si>
    <t xml:space="preserve">Additional Nationalities (Worker) - Locale Sensitive</t>
  </si>
  <si>
    <t xml:space="preserve">Indicates the additional nationality of the person. Returns value based on the localization setting for Worker</t>
  </si>
  <si>
    <t xml:space="preserve">Addresses</t>
  </si>
  <si>
    <t xml:space="preserve">Returns all addresses including the default location address if a work address for the worker does not exist.</t>
  </si>
  <si>
    <t xml:space="preserve">Addresses - Local</t>
  </si>
  <si>
    <t xml:space="preserve">Returns all addresses that include local script, including the default location address if a work address for the worker does not exist.  The addresses are displayed using local format.</t>
  </si>
  <si>
    <t xml:space="preserve">Addresses without Default Work Address</t>
  </si>
  <si>
    <t xml:space="preserve">Contains all the addresses of  the worker.  Does not include the default work address from the location of the worker's primary job.</t>
  </si>
  <si>
    <t xml:space="preserve">Adjustable Compensation Basis - Amount</t>
  </si>
  <si>
    <t xml:space="preserve">The adjustable compensation basis amount for an employee, where the adjustable compensation basis is the one used by the employee's primary compensation basis.  The number is represented in the currency and frequency of the employee's compensation grade profile, or compensation grade if no compensation grade profile exists.</t>
  </si>
  <si>
    <t xml:space="preserve">Age (Agent)</t>
  </si>
  <si>
    <t xml:space="preserve">Age Group for Committee Candidate</t>
  </si>
  <si>
    <t xml:space="preserve">Returns the age group, if available, for a committee member candidate.</t>
  </si>
  <si>
    <t xml:space="preserve">Aggregate Thrift Savings Plan Elections Amount</t>
  </si>
  <si>
    <t xml:space="preserve">The aggregated dollar amount per pay period that the employee elects to have deducted for the Thrift Savings Plan (TSP). To return an accurate total amount per pay period, the Pay Frequency of the worker's pay group must align with the Frequency of the worker's benefit group.</t>
  </si>
  <si>
    <t xml:space="preserve">All Absence Accruals</t>
  </si>
  <si>
    <t xml:space="preserve">All absence accruals. For improved performance, use this report field in calculated fields in combination with the Worker is Eligible for Accrual report field.   Example: A Sum Related Instances calculated field containing an Absence Accrual related field and a True/False Condition calculated field with the Worker is Eligible for Accrual report field.</t>
  </si>
  <si>
    <t xml:space="preserve">All Active Un-Restricted Succession Pools</t>
  </si>
  <si>
    <t xml:space="preserve">Returns all Active Un-Restricted Succession Pools that this worker is a member of.</t>
  </si>
  <si>
    <t xml:space="preserve">All Active Workers for Person</t>
  </si>
  <si>
    <t xml:space="preserve">All active workers associated with the person.</t>
  </si>
  <si>
    <t xml:space="preserve">All Activity Stream Comments</t>
  </si>
  <si>
    <t xml:space="preserve">All activity stream comment in one string for searching.</t>
  </si>
  <si>
    <t xml:space="preserve">All Bonus &amp; One-Time Payments</t>
  </si>
  <si>
    <t xml:space="preserve">Returns all bonus and one-time payments for a worker.</t>
  </si>
  <si>
    <t xml:space="preserve">All Candidate Certifications</t>
  </si>
  <si>
    <t xml:space="preserve">All Certifications entered in all the candidate's job applications and in their Prospect information.</t>
  </si>
  <si>
    <t xml:space="preserve">All Candidate Degrees</t>
  </si>
  <si>
    <t xml:space="preserve">The degrees for schools attended by candidate based on all their job applications and their Prospect. Note: This can include degrees that the candidate did not attain.</t>
  </si>
  <si>
    <t xml:space="preserve">All Candidate Degrees as Text</t>
  </si>
  <si>
    <t xml:space="preserve">Internal use only.  The degrees that the candidate earned as a text string with spaces between each degree.  This is used when text based searching for a candidate by a degree and is not exposed in report writer for a customer to directly use.</t>
  </si>
  <si>
    <t xml:space="preserve">Custom Data Internal</t>
  </si>
  <si>
    <t xml:space="preserve">All Candidate Fields of Study</t>
  </si>
  <si>
    <t xml:space="preserve">The fields of study for schools attended by candidate based on all their job applications and their Prospect.</t>
  </si>
  <si>
    <t xml:space="preserve">All Candidate Fields of Study as Text</t>
  </si>
  <si>
    <t xml:space="preserve">Internal use only.  The fields of study that the candidate learned as a text string with spaces between each fields of study.  This is used when text based searching for a candidate by a fields of study and is not exposed in report writer for a customer to directly use.</t>
  </si>
  <si>
    <t xml:space="preserve">All Candidate Job Profiles</t>
  </si>
  <si>
    <t xml:space="preserve">The job profile for the worker's primary position or all job profiles associated with all job requisitions the candidate has applied to.</t>
  </si>
  <si>
    <t xml:space="preserve">All Candidate Schools</t>
  </si>
  <si>
    <t xml:space="preserve">All schools entered across all job applications of a candidate or Prospect. This report field returns all details that are recognized in Maintain Schools. If a school is not recognized in Maintain Schools, it will return blank.</t>
  </si>
  <si>
    <t xml:space="preserve">All Candidate Schools as Text</t>
  </si>
  <si>
    <t xml:space="preserve">The first 400, recognized and unrecognized, schools in all of the candidate's job applications and in their Prospect profile.</t>
  </si>
  <si>
    <t xml:space="preserve">All Candidate Skills</t>
  </si>
  <si>
    <t xml:space="preserve">Contains the skills for candidate based on all their job applications and their Prospect.</t>
  </si>
  <si>
    <t xml:space="preserve">All Candidate Skills as Text</t>
  </si>
  <si>
    <t xml:space="preserve">Internal use only.  The skills that the candidate has as a text string with spaces between each skill.  This is used when text based searching for a candidate by a skill and is not exposed in report writer for a customer to directly use. Contains skills returned by All Candidate Skills CRF.</t>
  </si>
  <si>
    <t xml:space="preserve">Returns all the committee membership events for the member.</t>
  </si>
  <si>
    <t xml:space="preserve">All Companies</t>
  </si>
  <si>
    <t xml:space="preserve">All companies entered in all the candidate's job applications and in their prospect information that are tracked in the companies table.</t>
  </si>
  <si>
    <t xml:space="preserve">All Companies as Text</t>
  </si>
  <si>
    <t xml:space="preserve">The first 400, recognized and unrecognized, companies in all of the candidate's job applications and in their Prospect profile.</t>
  </si>
  <si>
    <t xml:space="preserve">All Compensation Plan Assignment Details</t>
  </si>
  <si>
    <t xml:space="preserve">This field provides a text representation of all compensation plans assigned to the worker.</t>
  </si>
  <si>
    <t xml:space="preserve">All in-progress and completed compensation review adjustments for the worker the current user has access to.</t>
  </si>
  <si>
    <t xml:space="preserve">All Competencies</t>
  </si>
  <si>
    <t xml:space="preserve">Contains all completed Competencies for a Worker.</t>
  </si>
  <si>
    <t xml:space="preserve">All Dependents With Worker's National ID</t>
  </si>
  <si>
    <t xml:space="preserve">Returns the dependents who share the same national id (such as social security number) with this worker. This is a strong indication the dependent and the worker are the same person.</t>
  </si>
  <si>
    <t xml:space="preserve">All Effective Positions</t>
  </si>
  <si>
    <t xml:space="preserve">Contains all the effective positions a worker has held over time.  This includes primary and additional jobs.</t>
  </si>
  <si>
    <t xml:space="preserve">All Eligible Accruals for Worker</t>
  </si>
  <si>
    <t xml:space="preserve">Returns all accruals the worker is eligible for as of the as of date.</t>
  </si>
  <si>
    <t xml:space="preserve">All Eligible Leave Types for Worker</t>
  </si>
  <si>
    <t xml:space="preserve">Returns all leave type that the worker is eligible for.</t>
  </si>
  <si>
    <t xml:space="preserve">All Eligible Time Off Plans for Worker</t>
  </si>
  <si>
    <t xml:space="preserve">Returns all time off plans the worker is eligible for.</t>
  </si>
  <si>
    <t xml:space="preserve">Returns all time offs the worker is eligible for as of the as of date.</t>
  </si>
  <si>
    <t xml:space="preserve">All Federal Withholding Elections</t>
  </si>
  <si>
    <t xml:space="preserve">All federal withholding elections filed by the employee.</t>
  </si>
  <si>
    <t xml:space="preserve">End Date</t>
  </si>
  <si>
    <t xml:space="preserve">All completed Form I-9 events for a worker. For U.S. employment eligibility only.</t>
  </si>
  <si>
    <t xml:space="preserve">All Home Address Entries</t>
  </si>
  <si>
    <t xml:space="preserve">All home addresses of a worker.</t>
  </si>
  <si>
    <t xml:space="preserve">Graph API (Internal)</t>
  </si>
  <si>
    <t xml:space="preserve">All Home Addresses</t>
  </si>
  <si>
    <t xml:space="preserve">Returns all home addresses including the primary and alternate for a worker.</t>
  </si>
  <si>
    <t xml:space="preserve">All Home Addresses - Full with Country</t>
  </si>
  <si>
    <t xml:space="preserve">Returns all formatted full home addresses for a worker</t>
  </si>
  <si>
    <t xml:space="preserve">All Industries</t>
  </si>
  <si>
    <t xml:space="preserve">Returns the industries associated with the job history company for the worker or candidate job histories based on all their job applications and their Prospect. This also supports facets for Find Workers or Find Candidates reports.</t>
  </si>
  <si>
    <t xml:space="preserve">All Industries as Text</t>
  </si>
  <si>
    <t xml:space="preserve">Internal use only. The industries that the candidate worked in as a text string with spaces between each industry. Used for text-based searches only and isn't available in Report Writer.</t>
  </si>
  <si>
    <t xml:space="preserve">All Job Profiles</t>
  </si>
  <si>
    <t xml:space="preserve">Job Profiles for worker's primary and additional positions.</t>
  </si>
  <si>
    <t xml:space="preserve">All Job Requisitions</t>
  </si>
  <si>
    <t xml:space="preserve">All job requisitions that the candidate has a job application on.</t>
  </si>
  <si>
    <t xml:space="preserve">This report field returns data for all journeys for the worker.</t>
  </si>
  <si>
    <t xml:space="preserve">All Local City Withholding (Resident)</t>
  </si>
  <si>
    <t xml:space="preserve">All local city withholding resident elections filed by the employee.</t>
  </si>
  <si>
    <t xml:space="preserve">All Local City Withholding (Work)</t>
  </si>
  <si>
    <t xml:space="preserve">All local city withholding work elections filed by the employee.</t>
  </si>
  <si>
    <t xml:space="preserve">All Local City Withholding (Work) – City</t>
  </si>
  <si>
    <t xml:space="preserve">All Local County Withholding (Resident)</t>
  </si>
  <si>
    <t xml:space="preserve">All local county withholding home elections filed by the employee.</t>
  </si>
  <si>
    <t xml:space="preserve">All Local County Withholding (Work)</t>
  </si>
  <si>
    <t xml:space="preserve">All local county withholding work elections filed by the employee.</t>
  </si>
  <si>
    <t xml:space="preserve">All school district withholding resident elections filed by the employee.</t>
  </si>
  <si>
    <t xml:space="preserve">All Locations</t>
  </si>
  <si>
    <t xml:space="preserve">Returns all locations for worker's primary and additional positions. This includes both active and inactive locations. For returning active locations only, use the report field Locations.</t>
  </si>
  <si>
    <t xml:space="preserve">All Locations (Benefit Jobs)</t>
  </si>
  <si>
    <t xml:space="preserve">Returns all locations for worker's benefit jobs. This includes both active and inactive locations.For returning active locations only, use the report field Locations.</t>
  </si>
  <si>
    <t xml:space="preserve">All Locations (Benefits)</t>
  </si>
  <si>
    <t xml:space="preserve">Returns all locations for worker's . This includes both active and inactive locations.For returning active locations only, use the report field Locations. Use this for Benefits Eligibility.</t>
  </si>
  <si>
    <t xml:space="preserve">All Mentee Count</t>
  </si>
  <si>
    <t xml:space="preserve">Returns Mentee Count</t>
  </si>
  <si>
    <t xml:space="preserve">All Mentor Count</t>
  </si>
  <si>
    <t xml:space="preserve">Returns Count of Mentors</t>
  </si>
  <si>
    <t xml:space="preserve">All Mentor Skills</t>
  </si>
  <si>
    <t xml:space="preserve">The mentor's skills. Includes maintained, crowdsourced, and Skills Cloud skills.</t>
  </si>
  <si>
    <t xml:space="preserve">All Nationalities (Worker)</t>
  </si>
  <si>
    <t xml:space="preserve">Contains all the nationalities of which the Worker holds a nationality, both primary and additional.</t>
  </si>
  <si>
    <t xml:space="preserve">All Non-Private Talent Pools</t>
  </si>
  <si>
    <t xml:space="preserve">The non-private talent pools for a worker. This report field returns data for anyone with domain access to Worker Data: Succession Plan - Any, and ignores restricted pool visibility and Talent Pool: View and Edit domain access.</t>
  </si>
  <si>
    <t xml:space="preserve">All Onboarding Plan Assignments For Candidate</t>
  </si>
  <si>
    <t xml:space="preserve">All past and current onboarding plan assignments assigned to the person associated with this candidate.</t>
  </si>
  <si>
    <t xml:space="preserve">All Onboarding Plan Assignments For Role</t>
  </si>
  <si>
    <t xml:space="preserve">All past and current onboarding plan assignments assigned to the person associated with this role.</t>
  </si>
  <si>
    <t xml:space="preserve">All Parsed Resume Text</t>
  </si>
  <si>
    <t xml:space="preserve">All parsed resume text as text for searching.</t>
  </si>
  <si>
    <t xml:space="preserve">All Personal Information for Country</t>
  </si>
  <si>
    <t xml:space="preserve">The personal information for a worker for all the countries that the worker has data.</t>
  </si>
  <si>
    <t xml:space="preserve">All Positions / Jobs</t>
  </si>
  <si>
    <t xml:space="preserve">Contains all positions/jobs, primary and additional, for the worker.</t>
  </si>
  <si>
    <t xml:space="preserve">All Positions and Jobs</t>
  </si>
  <si>
    <t xml:space="preserve">All of the ~worker’s~ primary and additional positions or jobs. You can only use this report field on a custom data source.</t>
  </si>
  <si>
    <t xml:space="preserve">All Referrals Including Merge</t>
  </si>
  <si>
    <t xml:space="preserve">Referrals for a Candidate, including the Referral history of the merged candidates.</t>
  </si>
  <si>
    <t xml:space="preserve">All Responsibilities and Achievements</t>
  </si>
  <si>
    <t xml:space="preserve">All responsibilities and achievements for the worker or candidate for searching.</t>
  </si>
  <si>
    <t xml:space="preserve">All Review Documents</t>
  </si>
  <si>
    <t xml:space="preserve">The review information for a document or for document with uploaded attachment for the worker.</t>
  </si>
  <si>
    <t xml:space="preserve">All Scheduling Organizations for Worker</t>
  </si>
  <si>
    <t xml:space="preserve">Returns all Scheduling Organizations for the Worker.</t>
  </si>
  <si>
    <t xml:space="preserve">All Skills</t>
  </si>
  <si>
    <t xml:space="preserve">The active and inactive skills for a worker. You can use this report field to return Skill Cloud skills, maintained skills, and crowdsourced skills. This report field can't be used as a prompt in custom reports for Skills Cloud skills or maintained skills.</t>
  </si>
  <si>
    <t xml:space="preserve">All Sources</t>
  </si>
  <si>
    <t xml:space="preserve">The recruiting sources (linkedin, facebook, etc) for a candidate based on all their job applications.</t>
  </si>
  <si>
    <t xml:space="preserve">All State Withholding Elections</t>
  </si>
  <si>
    <t xml:space="preserve">All state withholding elections filed by the employee.</t>
  </si>
  <si>
    <t xml:space="preserve">All Succession Pools</t>
  </si>
  <si>
    <t xml:space="preserve">Returns Succession Pools that this worker is a member of.</t>
  </si>
  <si>
    <t xml:space="preserve">All Supervisory Organizations with Worker in Leadership Role</t>
  </si>
  <si>
    <t xml:space="preserve">All supervisory organizations, including inherited organizations, in which the worker has a leadership role.</t>
  </si>
  <si>
    <t xml:space="preserve">All Talent Review Events</t>
  </si>
  <si>
    <t xml:space="preserve">Returns all in-progress and complete Talent Review Events for a worker.</t>
  </si>
  <si>
    <t xml:space="preserve">All Unrestricted Talent Pools</t>
  </si>
  <si>
    <t xml:space="preserve">The active unrestricted talent pools for a worker. This report field returns data for static and dynamic talent pools.</t>
  </si>
  <si>
    <t xml:space="preserve">All Watched Companies</t>
  </si>
  <si>
    <t xml:space="preserve">Returns true if a company on any of the candidate's job applications or Prospect is being watched.</t>
  </si>
  <si>
    <t xml:space="preserve">All Work Address Entries</t>
  </si>
  <si>
    <t xml:space="preserve">All work addresses of a worker.</t>
  </si>
  <si>
    <t xml:space="preserve">All Work Addresses</t>
  </si>
  <si>
    <t xml:space="preserve">Returns all the work addresses for a worker either from their default job location or their work contact addresses.</t>
  </si>
  <si>
    <t xml:space="preserve">All Worker for Event Outbound Notification</t>
  </si>
  <si>
    <t xml:space="preserve">All active, terminated, contingent, and rescinded workers processed with Event Outbound Notification Integration systems.</t>
  </si>
  <si>
    <t xml:space="preserve">Integrations</t>
  </si>
  <si>
    <t xml:space="preserve">All Worker's Manager(s)</t>
  </si>
  <si>
    <t xml:space="preserve">The supervisory manager(s) and the matrix manager(s) for the worker's primary position.</t>
  </si>
  <si>
    <t xml:space="preserve">All Worker's Managers</t>
  </si>
  <si>
    <t xml:space="preserve">The supervisory manager and the matrix manager for the worker's primary position.</t>
  </si>
  <si>
    <t xml:space="preserve">All Worker's Managers in Management Chain</t>
  </si>
  <si>
    <t xml:space="preserve">The supervisory managers in the management chain for the worker's primary position.</t>
  </si>
  <si>
    <t xml:space="preserve">All workers for WECI</t>
  </si>
  <si>
    <t xml:space="preserve">All active, terminated, contingent, and rescinded workers processed with Worker Effective Change Integration systems.</t>
  </si>
  <si>
    <t xml:space="preserve">Allocation Details</t>
  </si>
  <si>
    <t xml:space="preserve">Returns all Allocation Details for worker.</t>
  </si>
  <si>
    <t xml:space="preserve">Allocation Dimension</t>
  </si>
  <si>
    <t xml:space="preserve">Returns default costing allocations for Allocation Behavior and end date parm.  Used for embedded BI on Time Calendar page only.</t>
  </si>
  <si>
    <t xml:space="preserve">Allowance Plan Assignment Details</t>
  </si>
  <si>
    <t xml:space="preserve">This field provides a text representation of the Allowance plans assigned to the worker.</t>
  </si>
  <si>
    <t xml:space="preserve">The alternate name usage for a supplier or customer.</t>
  </si>
  <si>
    <t xml:space="preserve">Alternative Worker ID</t>
  </si>
  <si>
    <t xml:space="preserve">Contingent Worker Position ID (if any) for a worker who’s currently an employee and an Employee ID (if any) for a worker who's currently a Contingent Worker. Empty if a worker has not been both an employee and a contingent worker.</t>
  </si>
  <si>
    <t xml:space="preserve">Any Current Academic Appointment On Academic Tenure Track</t>
  </si>
  <si>
    <t xml:space="preserve">Indicates whether any of the Academic's current Appointments are in a Track with a Tenure program.</t>
  </si>
  <si>
    <t xml:space="preserve">Application Date</t>
  </si>
  <si>
    <t xml:space="preserve">The most recent date that the candidate applied for a job. If the candidate never applied for a job, then will be the creation date of the candidate.</t>
  </si>
  <si>
    <t xml:space="preserve">Returns the Academic Specialty, if it exists, for a committee member candidate.</t>
  </si>
  <si>
    <t xml:space="preserve">Appointment Track Type for Primary Academic Appointment</t>
  </si>
  <si>
    <t xml:space="preserve">The Academic Track Type for the Worker's primary Academic Appointment.  The primary flag is located on the appointment's Identifier.</t>
  </si>
  <si>
    <t xml:space="preserve">Contains the Academic Appointment Tracks for a Worker.  A thread links multiple Appointments, such as the progressive Appointments along a tenure track, or annual renewals of non-tenure track.</t>
  </si>
  <si>
    <t xml:space="preserve">This CRF is setup to receive an Appropriation or Appropriation Hierarchy Organization as input and return an Appropriation or Appropriation Hierarchy Business Object so that it can be used as a control field in a composite report.</t>
  </si>
  <si>
    <t xml:space="preserve">Assess Potential Achievable Level</t>
  </si>
  <si>
    <t xml:space="preserve">The achievable level for an employee. This report field doesn't return a value for the processing worker or contingent workers. To return a value for all employees, use the Achievable Level report field.</t>
  </si>
  <si>
    <t xml:space="preserve">Assess Potential Completed Rating</t>
  </si>
  <si>
    <t xml:space="preserve">The potential for an employee. This report field doesn't return a value for the processing worker or contingent workers. To return a value for all employees, use the Potential - Completed Rating report field.</t>
  </si>
  <si>
    <t xml:space="preserve">Assess Potential Loss Impact</t>
  </si>
  <si>
    <t xml:space="preserve">The loss impact for an employee. This report field doesn't return a value for the processing worker or contingent workers. To return a value for all employees, use the Loss Impact report field.</t>
  </si>
  <si>
    <t xml:space="preserve">Assess Potential Retention</t>
  </si>
  <si>
    <t xml:space="preserve">The retention for an employee. This report field doesn't return a value for the processing worker or contingent workers. To return a value for all employees, use the Retention report field.</t>
  </si>
  <si>
    <t xml:space="preserve">The Assess Skills business process events for this worker that are in progress or completed.</t>
  </si>
  <si>
    <t xml:space="preserve">Assessed Rating for Competency</t>
  </si>
  <si>
    <t xml:space="preserve">The assessed competency rating for the worker of a given Competency.</t>
  </si>
  <si>
    <t xml:space="preserve">Assessment Comment for Competency</t>
  </si>
  <si>
    <t xml:space="preserve">The Assessment Comment for the worker of a given Competency.</t>
  </si>
  <si>
    <t xml:space="preserve">Contains the add and change matrix organization assignments for the worker.</t>
  </si>
  <si>
    <t xml:space="preserve">The assignable role selected for the dimension type.</t>
  </si>
  <si>
    <t xml:space="preserve">Assignable Role Reference ID</t>
  </si>
  <si>
    <t xml:space="preserve">The reference ID of the assignable role selected for the dimension type.</t>
  </si>
  <si>
    <t xml:space="preserve">Assigned Organization</t>
  </si>
  <si>
    <t xml:space="preserve">Returns the staffing organization(s) of the worker's primary position.  These are the organizations assigned via Change Organization Assignments only.</t>
  </si>
  <si>
    <t xml:space="preserve">Assigned Organizations (Benefit Jobs)</t>
  </si>
  <si>
    <t xml:space="preserve">Returns the staffing organizations of the worker's benefit jobs. Only organizations assigned via Change Organization business process are included.</t>
  </si>
  <si>
    <t xml:space="preserve">Assigned Resource Plan Details for Worker within Date Range</t>
  </si>
  <si>
    <t xml:space="preserve">The resource plan details directly assigned to the worker. The report field only returns resource plan details that have both a start and end date populated and one of those dates falls within the date range passed by the report parameter.</t>
  </si>
  <si>
    <t xml:space="preserve">Returns the staffing organizations of the worker's primary position. All staffing behavior organization types are included ( assigned via Change Organization business process).</t>
  </si>
  <si>
    <t xml:space="preserve">Assigned to Resource Pool</t>
  </si>
  <si>
    <t xml:space="preserve">True if the worker is in a resource pool.</t>
  </si>
  <si>
    <t xml:space="preserve">The worker's assigned SSP Work Schedule Calendar, on the selected date.</t>
  </si>
  <si>
    <t xml:space="preserve">Assignment Details</t>
  </si>
  <si>
    <t xml:space="preserve">The assignment details for a contingent worker from the hire event.</t>
  </si>
  <si>
    <t xml:space="preserve">Assignment Positions (As of Date)</t>
  </si>
  <si>
    <t xml:space="preserve">All assignments for a worker as of the effective date.</t>
  </si>
  <si>
    <t xml:space="preserve">Attendee Invited?</t>
  </si>
  <si>
    <t xml:space="preserve">Returns yes when the attendee is also a meeting invitee. Attendees invited via the Invitees - All Members checkbox are included.</t>
  </si>
  <si>
    <t xml:space="preserve">Committee Meeting</t>
  </si>
  <si>
    <t xml:space="preserve">Returns committee meeting attendee membership type. If attendee is not a committee member, no value will be returned.</t>
  </si>
  <si>
    <t xml:space="preserve">Audio Pronunciation</t>
  </si>
  <si>
    <t xml:space="preserve">Indicates if a person has an audio recording of their name.</t>
  </si>
  <si>
    <t xml:space="preserve">The ATO Cessation Type mapped for the worker's Termination Reason. If there isn't a Cessation Type specified for the worker's Termination Reason, displays the default Cessation Type.</t>
  </si>
  <si>
    <t xml:space="preserve">AUS Worker Latest Hire Date for Company </t>
  </si>
  <si>
    <t xml:space="preserve">Returns the worker's latest hire date for the company, based on the processing position. If there isn't a date recorded, returns the worker's hire date as of the current processing position.</t>
  </si>
  <si>
    <t xml:space="preserve">Available to Mentor</t>
  </si>
  <si>
    <t xml:space="preserve">Indicates if a worker is available to act as a mentor for mentorships.</t>
  </si>
  <si>
    <t xml:space="preserve">Average Monthly Paid Hours Based On Affordable Care Act</t>
  </si>
  <si>
    <t xml:space="preserve">Returns the Average Monthly Paid Hours (i.e. paid hours worked and not worked) based on settings for the Affordable Care Act Dashboard configuration.</t>
  </si>
  <si>
    <t xml:space="preserve">Average Project Rating</t>
  </si>
  <si>
    <t xml:space="preserve">The average project rating for the worker for project and project hierarchies passed by the report parameters. Note that if no project or project hierarchy is specified, the average project rating is averaged across all rated project ratings for the worker. Ratings that are excluded from calculations are not included in the average, the associated rating scale determines if the rating is excluded from calculations. Ratings that are pending approval are not included in the average.</t>
  </si>
  <si>
    <t xml:space="preserve">Project and Project Hierarchy</t>
  </si>
  <si>
    <t xml:space="preserve">Average Weekly Paid Hours Based On Affordable Care Act</t>
  </si>
  <si>
    <t xml:space="preserve">Returns the Average Weekly Paid Hours (i.e. paid hours worked and not worked) based on settings for the Affordable Care Act Dashboard configuration.</t>
  </si>
  <si>
    <t xml:space="preserve">Average Years per Job</t>
  </si>
  <si>
    <t xml:space="preserve">The average years per job for the candidate based on their most recent job application or Prospect. Average is calculated from the total years experience and count of previous jobs.</t>
  </si>
  <si>
    <t xml:space="preserve">Award Section</t>
  </si>
  <si>
    <t xml:space="preserve">Returns True when the user has access to the Award Section.</t>
  </si>
  <si>
    <t xml:space="preserve">Awards and Activities</t>
  </si>
  <si>
    <t xml:space="preserve">Contains the Awards and Activities that a worker has achieved.</t>
  </si>
  <si>
    <t xml:space="preserve">Awards and Activities - Current</t>
  </si>
  <si>
    <t xml:space="preserve">Contains the Awards and Activities that a worker has Achieved for this calendar year.</t>
  </si>
  <si>
    <t xml:space="preserve">Awards and Activities for Committee Candidate</t>
  </si>
  <si>
    <t xml:space="preserve">Contains the Awards and Activities that the committee candidate has achieved.</t>
  </si>
  <si>
    <t xml:space="preserve">Returns the most recent Background Check for the Worker.  It does not return in-process business events.</t>
  </si>
  <si>
    <t xml:space="preserve">Background Check History</t>
  </si>
  <si>
    <t xml:space="preserve">Returns all the Background Checks for the Worker.</t>
  </si>
  <si>
    <t xml:space="preserve">Base Pay as of Dec. 31st from Previous Year</t>
  </si>
  <si>
    <t xml:space="preserve">for testing conversion of CRFs</t>
  </si>
  <si>
    <t xml:space="preserve">Base pay as of Dec. 31st from Previous Year (Benefit Jobs)</t>
  </si>
  <si>
    <t xml:space="preserve">for testing conversion of CRFs. Base pay previous year based on benefit jobs.</t>
  </si>
  <si>
    <t xml:space="preserve">Base Pay as of First of the Year</t>
  </si>
  <si>
    <t xml:space="preserve">This option will first look at the event date and then calculate the worker’s annualized base pay as of the first day of the event’s calendar year.</t>
  </si>
  <si>
    <t xml:space="preserve">Base Pay as of First of the Year (Benefit Jobs)</t>
  </si>
  <si>
    <t xml:space="preserve">This option will first look at the event date and then calculate the worker’s annualized base pay as of the first day of the event’s calendar year. This is based on benefit jobs.</t>
  </si>
  <si>
    <t xml:space="preserve">Base Pay Range Segment</t>
  </si>
  <si>
    <t xml:space="preserve">The segment placement for the employee's total base pay.  The employee's total base pay is compared to the compensation grade profile pay range to determine a segment placement.  If no compensation grade profile exists, the compensation grade pay range is used.</t>
  </si>
  <si>
    <t xml:space="preserve">Base Pay Range Segment Effective</t>
  </si>
  <si>
    <t xml:space="preserve">This allows multiple values for report filtering.</t>
  </si>
  <si>
    <t xml:space="preserve">Base Pay Segment - All Positions</t>
  </si>
  <si>
    <t xml:space="preserve">All base pay segments associated with the employee . Includes base pay segments from primary and additional positions and jobs. The employee's base pay is compared to the compensation grade profile pay range to determine a segment placement. If no compensation grade profile exists, the compensation grade pay range is used.</t>
  </si>
  <si>
    <t xml:space="preserve">Base Pay Segment - Primary Position</t>
  </si>
  <si>
    <t xml:space="preserve">Returns the Base Pay Segment for an employee's primary position.  Does not return a value if the worker has more than one position (multiple jobs).  Search only.</t>
  </si>
  <si>
    <t xml:space="preserve">Returns associated compensation benchmark default or profile for the worker's primary position.</t>
  </si>
  <si>
    <t xml:space="preserve">Contains all beneficiaries for an employee, trusts and people.</t>
  </si>
  <si>
    <t xml:space="preserve">All beneficiaries for the worker, except for trusts. Includes first and last name.</t>
  </si>
  <si>
    <t xml:space="preserve">The names of all of the worker's trusts.</t>
  </si>
  <si>
    <t xml:space="preserve">Beneficiary Events for this worker. Created by either the Change Beneficiary business process or from within Benefit Enrollment Events.</t>
  </si>
  <si>
    <t xml:space="preserve">Benefit Annual Rate Instances</t>
  </si>
  <si>
    <t xml:space="preserve">The most recent rate for each benefit annual rate type for given worker or employee.</t>
  </si>
  <si>
    <t xml:space="preserve">Benefit Annual Rate Instances By Type</t>
  </si>
  <si>
    <t xml:space="preserve">Returns Benefit Annual Rate instance(s) for a given Benefit Annual Rate Type, for a given worker/employee.</t>
  </si>
  <si>
    <t xml:space="preserve">Benefit Annual Rate Type</t>
  </si>
  <si>
    <t xml:space="preserve">Benefit Changes</t>
  </si>
  <si>
    <t xml:space="preserve">Returns the benefit changes made by the worker for each benefit coverage type where they are currently eligible or were previously eligible.</t>
  </si>
  <si>
    <t xml:space="preserve">Benefit Changes by Plan</t>
  </si>
  <si>
    <t xml:space="preserve">Returns the benefit changes made by the worker for each benefit coverage type where they are currently eligible or were previously eligible. Supports coverage types that allow for multiple elected plans.</t>
  </si>
  <si>
    <t xml:space="preserve">Benefit Elections</t>
  </si>
  <si>
    <t xml:space="preserve">An ~employee’s~ current benefit elections within the plan year, by effective date. Displays elections where the coverage begin date is on or before the effective date of the report, or any future benefit events. To display current enrollment elections for the employee, filter the elections where Currently Enrolled is true.</t>
  </si>
  <si>
    <t xml:space="preserve">Benefit Elections with Elect and Waive ON</t>
  </si>
  <si>
    <t xml:space="preserve">The benefit elections with both Elect and Waive selected.</t>
  </si>
  <si>
    <t xml:space="preserve">Benefit Elections with Inconsistent Elect and Waive</t>
  </si>
  <si>
    <t xml:space="preserve">Returns the benefit elections that have inconsistent benefit election status on elections and internals.</t>
  </si>
  <si>
    <t xml:space="preserve">Benefit Elections: Workers</t>
  </si>
  <si>
    <t xml:space="preserve">Contains previous, active and future benefit elections for a Worker, including all plan types, based on effective date.</t>
  </si>
  <si>
    <t xml:space="preserve">Contains all Life Change Enrollment and Open Enrollment event details. This does not include Retirement Savings plans.</t>
  </si>
  <si>
    <t xml:space="preserve">The worker's benefit group. Workday dynamically assigns benefit groups based on customer defined eligibility rules.</t>
  </si>
  <si>
    <t xml:space="preserve">Benefit Group (Benefits)</t>
  </si>
  <si>
    <t xml:space="preserve">This CRF contains the Benefit Group for the worker determined by what’s in the most recent Benefit Package. It is used to determine Benefits Eligibility. In the case of a Retired Worker, this CRF contains the last Benefit Group while they were an Active Employee.</t>
  </si>
  <si>
    <t xml:space="preserve">Benefit Group (Newly Detected Date)</t>
  </si>
  <si>
    <t xml:space="preserve">Returns the new Benefit Group detected date (if any) by the Benefit Group Persistence job run, as of an effective date.</t>
  </si>
  <si>
    <t xml:space="preserve">Benefit Group (Newly Detected)</t>
  </si>
  <si>
    <t xml:space="preserve">Returns the new Benefit Group detected (if any) by the Benefit Group Persistence job run, as of an effective date.</t>
  </si>
  <si>
    <t xml:space="preserve">Benefit Group Change Detected</t>
  </si>
  <si>
    <t xml:space="preserve">Returns whether a new Benefit Group was detected or not, by the Benefit Group Persistence job run, as of an effective date.</t>
  </si>
  <si>
    <t xml:space="preserve">Benefit Plan Eligibility Lost</t>
  </si>
  <si>
    <t xml:space="preserve">Benefit Plans lost as of the Report Write Top Level Effective Moment</t>
  </si>
  <si>
    <t xml:space="preserve">Benefit Plan Eligibility Lost As Of Date</t>
  </si>
  <si>
    <t xml:space="preserve">Lists the plans that the worker has lost as of the current date</t>
  </si>
  <si>
    <t xml:space="preserve">Benefit Plans - Currently Enrolled</t>
  </si>
  <si>
    <t xml:space="preserve">The set of benefit plans that the worker is currently enrolled in.</t>
  </si>
  <si>
    <t xml:space="preserve">Benefits Annual Credit Instances</t>
  </si>
  <si>
    <t xml:space="preserve">Returns all the Benefit Annual Credit records/instances for a given worker/employee.</t>
  </si>
  <si>
    <t xml:space="preserve">Benefits Annual Credit Instances By Type</t>
  </si>
  <si>
    <t xml:space="preserve">Returns Benefit Annual Credit instance(s) for a given Benefit Annual Credit Type, for a given worker/employee.</t>
  </si>
  <si>
    <t xml:space="preserve">Benefit Annual Credit Type</t>
  </si>
  <si>
    <t xml:space="preserve">Benefits Annual Rate</t>
  </si>
  <si>
    <t xml:space="preserve">The latest benefit annual rate for the worker or employee as of the effective date. This report field can only display one rate. If you have multiple benefit annual rate types with the same effective date, use the Benefit Annual Rate Instances By Type report field to filter by a specific benefit annual rate type.</t>
  </si>
  <si>
    <t xml:space="preserve">View As Of</t>
  </si>
  <si>
    <t xml:space="preserve">Benefits Annual Rate Currency</t>
  </si>
  <si>
    <t xml:space="preserve">Benefits Annual Rate Currency for Worker. *Note that since a worker can potentially have multiple Benefit Annual Rate instances, this randomly retrieves one of them.</t>
  </si>
  <si>
    <t xml:space="preserve">Benefits Annual Rate Effective As Of</t>
  </si>
  <si>
    <t xml:space="preserve">The effective date of the Benefit Annual Rate for a worker. *Note that since a worker can potentially have multiple Benefit Annual Rate instances, this randomly retrieves one of them.</t>
  </si>
  <si>
    <t xml:space="preserve">Benefits Service Date</t>
  </si>
  <si>
    <t xml:space="preserve">The Benefits Service Date for the Worker.</t>
  </si>
  <si>
    <t xml:space="preserve">Returns the effective Worker Wellness Data instance.</t>
  </si>
  <si>
    <t xml:space="preserve">Benefits Wellness Data Effective As Of Date</t>
  </si>
  <si>
    <t xml:space="preserve">Returns the effective as of date for Worker Wellness Data. Deprecating. In W21 returns higher of Wellness Score Date and Participates in Wellness Date. Better to use Wellness Score Date or Participates in Wellness Date instead.</t>
  </si>
  <si>
    <t xml:space="preserve">Benefits Wellness Score</t>
  </si>
  <si>
    <t xml:space="preserve">The score for worker wellness, defined by the employer, to determine whether the worker is eligible for a benefit credit.</t>
  </si>
  <si>
    <t xml:space="preserve">Benefits Wellness Score Date</t>
  </si>
  <si>
    <t xml:space="preserve">The effective date of the worker wellness score.</t>
  </si>
  <si>
    <t xml:space="preserve">Blended FTE</t>
  </si>
  <si>
    <t xml:space="preserve">Returns the sum of full time equivalents for the worker's  primary job.  This incorporates the percent of year factor setting from Academic Pay's  Annual Work Period. Will also  return proper results when worker has just one job and/or a full year work period.</t>
  </si>
  <si>
    <t xml:space="preserve">Blended FTE as of Period End Date</t>
  </si>
  <si>
    <t xml:space="preserve">Returns the Blended FTE for the primary employment as of the period end date.</t>
  </si>
  <si>
    <t xml:space="preserve">Blended FTE as of Period Start Date</t>
  </si>
  <si>
    <t xml:space="preserve">Returns the Blended FTE for the primary employment as of the period start date.</t>
  </si>
  <si>
    <t xml:space="preserve">Indicates the blood type for the worker</t>
  </si>
  <si>
    <t xml:space="preserve">Bonus &amp; One-Time Payments</t>
  </si>
  <si>
    <t xml:space="preserve">Contains the bonus payments that have been approved.  This includes both recurring bonus payments, as well as one-time bonus payments.</t>
  </si>
  <si>
    <t xml:space="preserve">Bonus &amp; One-Time Payments - All Statuses</t>
  </si>
  <si>
    <t xml:space="preserve">Contains the bonus payments of all statuses including approved, denied, in progress, etc.</t>
  </si>
  <si>
    <t xml:space="preserve">Bonus Plan Assignment Details</t>
  </si>
  <si>
    <t xml:space="preserve">This field provides a text representation of the Bonus plans assigned to the worker</t>
  </si>
  <si>
    <t xml:space="preserve">Bonus Plan Profile Target Amount</t>
  </si>
  <si>
    <t xml:space="preserve">The default Bonus Plan Target Amount for the worker based on the Bonus Amount Plan Profile. If the worker qualifies for more than one profile default based on the eligibility rules or has more than one Bonus Amount Plan assigned, Workday displays 0.</t>
  </si>
  <si>
    <t xml:space="preserve">Bonus Plan Profile Target Percent</t>
  </si>
  <si>
    <t xml:space="preserve">The default Bonus Plan Target Percent for a Worker based on the Bonus Percent Plan Profile. If the Worker qualifies for more than one Profile default based on the eligibility rules or if the Worker has more than one Bonus Percent Plan assigned, 0 is displayed.</t>
  </si>
  <si>
    <t xml:space="preserve">Contains the bonus plans assigned to an employee.</t>
  </si>
  <si>
    <t xml:space="preserve">Business Processes for Person</t>
  </si>
  <si>
    <t xml:space="preserve">Returns business processes for person.Currently returns Change Emergency Contact business process instances.</t>
  </si>
  <si>
    <t xml:space="preserve">Business Title - Effective Dated</t>
  </si>
  <si>
    <t xml:space="preserve">The current business title for the worker's primary position. If no business title is defined for a position, the position title is returned back.</t>
  </si>
  <si>
    <t xml:space="preserve">The Business Titles Changes for a worker.</t>
  </si>
  <si>
    <t xml:space="preserve">This CRF is setup to receive a Business Unit or Business Unit Hierarchy Organization as input and return a Business Unit or Business Unit Hierarchy Business Object so that it can be used as a control field in a composite report.</t>
  </si>
  <si>
    <t xml:space="preserve">Cached National Identifiers Displayed With ID Only</t>
  </si>
  <si>
    <t xml:space="preserve">The Cached National Identifiers for the Worker, displayed as the ID only.</t>
  </si>
  <si>
    <t xml:space="preserve">Calculated Plan Assignment Details</t>
  </si>
  <si>
    <t xml:space="preserve">This field provides a text representation of the Calculated plans assigned to the worker.</t>
  </si>
  <si>
    <t xml:space="preserve">Calculated Plan Assignments</t>
  </si>
  <si>
    <t xml:space="preserve">Provides the context link between the worker and compensation plan assignment business objects. This field specifically provides a link to the calculated plans assigned to an employee. Linked fields cannot be used in reports as fields, and should only be used as related business objects in reports.</t>
  </si>
  <si>
    <t xml:space="preserve">Contains the calculated plans assigned to an employee.</t>
  </si>
  <si>
    <t xml:space="preserve">Calibration: Column Section Rating</t>
  </si>
  <si>
    <t xml:space="preserve">For use in Calibration only. This field is intended to be used in the calibration process.</t>
  </si>
  <si>
    <t xml:space="preserve">Calibration: Overall Performance Rating</t>
  </si>
  <si>
    <t xml:space="preserve">Calibration: Potential</t>
  </si>
  <si>
    <t xml:space="preserve">Calibration: Row Section Rating</t>
  </si>
  <si>
    <t xml:space="preserve">Calibration: Talent Based Performance Rating</t>
  </si>
  <si>
    <t xml:space="preserve">Return all Campaign Records for the Subscriber.</t>
  </si>
  <si>
    <t xml:space="preserve">Canada Electronic Tax Document Delivery Only</t>
  </si>
  <si>
    <t xml:space="preserve">Returns True if Canadian Employee is currently receiving only the electronic copy of Year End Tax Documents for T4/RL-1 as of 2017, else returns false.</t>
  </si>
  <si>
    <t xml:space="preserve">Canada Employee Year End Tax Document Print Election</t>
  </si>
  <si>
    <t xml:space="preserve">Returns true if Canadian employee is currently receiving a paper copy of Year End Tax Documents, else returns false.</t>
  </si>
  <si>
    <t xml:space="preserve">Canada Paper Opt-in</t>
  </si>
  <si>
    <t xml:space="preserve">Returns the worker's Year End election for Opting in for Paper for Canada Year End forms which default to Electronic per the Government guidelines.</t>
  </si>
  <si>
    <t xml:space="preserve">Identifies the candidate and access related actions.</t>
  </si>
  <si>
    <t xml:space="preserve">Candidate Address</t>
  </si>
  <si>
    <t xml:space="preserve">The address for the candidate.</t>
  </si>
  <si>
    <t xml:space="preserve">Candidate Address Line 1</t>
  </si>
  <si>
    <t xml:space="preserve">Address line 1 for the candidate.</t>
  </si>
  <si>
    <t xml:space="preserve">Candidate Certifications</t>
  </si>
  <si>
    <t xml:space="preserve">Contains the Certifications for candidate based on their most recent Job Application or Prospect.</t>
  </si>
  <si>
    <t xml:space="preserve">Candidate City</t>
  </si>
  <si>
    <t xml:space="preserve">The city in which the candidate lives. This is not valid for workers.</t>
  </si>
  <si>
    <t xml:space="preserve">Candidate City Subdivision 1</t>
  </si>
  <si>
    <t xml:space="preserve">The city subdivision 1 for the candidate.</t>
  </si>
  <si>
    <t xml:space="preserve">The latest confirmed opt-in email communication status for the candidate's primary home email address.</t>
  </si>
  <si>
    <t xml:space="preserve">Candidate Country</t>
  </si>
  <si>
    <t xml:space="preserve">Country for the candidate</t>
  </si>
  <si>
    <t xml:space="preserve">Candidate Degrees</t>
  </si>
  <si>
    <t xml:space="preserve">All degrees for schools attended by candidate based on their most recent job application or Prospect. Note: This can include degrees that the candidate did not attain.</t>
  </si>
  <si>
    <t xml:space="preserve">Candidate Fields of Study</t>
  </si>
  <si>
    <t xml:space="preserve">The fields of study for schools attended by candidate based on their most recent job application or Prospect.</t>
  </si>
  <si>
    <t xml:space="preserve">Candidate from Worker</t>
  </si>
  <si>
    <t xml:space="preserve">Identifies the candidate for the worker and access related actions.</t>
  </si>
  <si>
    <t xml:space="preserve">Candidate ID</t>
  </si>
  <si>
    <t xml:space="preserve">The candidate's identification number.</t>
  </si>
  <si>
    <t xml:space="preserve">Candidate is Merge Target</t>
  </si>
  <si>
    <t xml:space="preserve">True if the candidate has been merged with another candidate or worker.</t>
  </si>
  <si>
    <t xml:space="preserve">Candidate Job Applications</t>
  </si>
  <si>
    <t xml:space="preserve">The job applications that the candidate applied to.</t>
  </si>
  <si>
    <t xml:space="preserve">Candidate Job Families</t>
  </si>
  <si>
    <t xml:space="preserve">The job family for the worker's primary position or all job families for all job requisitions the candidate has applied to.</t>
  </si>
  <si>
    <t xml:space="preserve">Candidate Job Family</t>
  </si>
  <si>
    <t xml:space="preserve">The job family for the worker's primary position if the candidate is internal. This report field returns the the job family for the job requisition the candidate applied to if the candidate is external.</t>
  </si>
  <si>
    <t xml:space="preserve">Candidate Location</t>
  </si>
  <si>
    <t xml:space="preserve">The location name for a candidate.  For external candidates, this is their home location.  For internal candidates, this is their primary work location.</t>
  </si>
  <si>
    <t xml:space="preserve">Candidate Manager</t>
  </si>
  <si>
    <t xml:space="preserve">For external or internal candidates, the manager associated with the job requisition for their most recent job application.For workers, the supervisory managers in the management chain for the worker's primary position.</t>
  </si>
  <si>
    <t xml:space="preserve">Candidate Ownership Expiration Date</t>
  </si>
  <si>
    <t xml:space="preserve">The day a worker's ownership of a referred candidate ends. This is calculated by the referral ownership period and the candidate referral date. This report field returns blank when Referral Ownership Level is Job Application Level or None of the above.</t>
  </si>
  <si>
    <t xml:space="preserve">Candidate Photo</t>
  </si>
  <si>
    <t xml:space="preserve">The photo of the Candidate.</t>
  </si>
  <si>
    <t xml:space="preserve">Returns the Active Candidate Pools for the Candidate (returns static pools only).</t>
  </si>
  <si>
    <t xml:space="preserve">Candidate Postal Code</t>
  </si>
  <si>
    <t xml:space="preserve">Postal code for the candidate.</t>
  </si>
  <si>
    <t xml:space="preserve">Candidate Region</t>
  </si>
  <si>
    <t xml:space="preserve">The region of the candidate's address. Possible value is region, state, or province.</t>
  </si>
  <si>
    <t xml:space="preserve">Candidate Region Subdivision 1</t>
  </si>
  <si>
    <t xml:space="preserve">Region subdivision 1 for the candidate</t>
  </si>
  <si>
    <t xml:space="preserve">Candidate Region Subdivision 2</t>
  </si>
  <si>
    <t xml:space="preserve">Region subdivision 2 for candidate</t>
  </si>
  <si>
    <t xml:space="preserve">Candidate Role</t>
  </si>
  <si>
    <t xml:space="preserve">Returns the candidate and access to related actions.</t>
  </si>
  <si>
    <t xml:space="preserve">Candidate Schools</t>
  </si>
  <si>
    <t xml:space="preserve">The schools entered in the candidate's recent job application or Prospect information that are recognized in the Schools table.</t>
  </si>
  <si>
    <t xml:space="preserve">Candidate Skills</t>
  </si>
  <si>
    <t xml:space="preserve">Contains the skills for candidate based on their most recent job application or Prospect.</t>
  </si>
  <si>
    <t xml:space="preserve">The recruiting stage the candidate is in based on their most recent job application.</t>
  </si>
  <si>
    <t xml:space="preserve">The candidate tags associated with the candidate.</t>
  </si>
  <si>
    <t xml:space="preserve">The roles that a candidate has (internal, external, applied, referral, or prospect).</t>
  </si>
  <si>
    <t xml:space="preserve">Candidate Worker Type</t>
  </si>
  <si>
    <t xml:space="preserve">The worker type (employee or contingent worker) for a worker or the worker type of the job requisition the candidate has applied for.</t>
  </si>
  <si>
    <t xml:space="preserve">Candidate Worker Types</t>
  </si>
  <si>
    <t xml:space="preserve">The worker type (employee or contingent worker) for the worker or the worker types for all job requisitions the candidate has applied to.</t>
  </si>
  <si>
    <t xml:space="preserve">Candidates in Succession Plan</t>
  </si>
  <si>
    <t xml:space="preserve">The candidates in a succession plan. This report field only returns information for candidates you have access to view.</t>
  </si>
  <si>
    <t xml:space="preserve">A worker's Career Hub Profile</t>
  </si>
  <si>
    <t xml:space="preserve">Career Hub Profile Status</t>
  </si>
  <si>
    <t xml:space="preserve">The worker's Career Hub profile set-up status.  Possible values include Completed, Not started, or In Progress.</t>
  </si>
  <si>
    <t xml:space="preserve">Career Interests</t>
  </si>
  <si>
    <t xml:space="preserve">Career Goals specified by a worker as a part of career interest.</t>
  </si>
  <si>
    <t xml:space="preserve">Career Interests - Last Updated</t>
  </si>
  <si>
    <t xml:space="preserve">The date the Career Interest information was last updated.</t>
  </si>
  <si>
    <t xml:space="preserve">Career Interests Section</t>
  </si>
  <si>
    <t xml:space="preserve">Returns True when the user has access to the Worker Data Career Interests domain.</t>
  </si>
  <si>
    <t xml:space="preserve">Career Preferences selected by worker as a part of career interest.</t>
  </si>
  <si>
    <t xml:space="preserve">The certification and related workers with the certification.</t>
  </si>
  <si>
    <t xml:space="preserve">Certification Achievements</t>
  </si>
  <si>
    <t xml:space="preserve">The certifications for the person.</t>
  </si>
  <si>
    <t xml:space="preserve">Certification Compliance Expiration Date</t>
  </si>
  <si>
    <t xml:space="preserve">The expiration date for the worker's job profile qualification equivalence rule. This report field returns the date for the first certificate to expire based on the qualification equivalence rule associated with the worker's job profile in the Maintain Qualification Equivalence Rules task. The field is blank if the rule result is yes and the certification doesn't have an expiration date, the worker's certifications are irrelevant, the certifications are expired, or the worker has no certifications.</t>
  </si>
  <si>
    <t xml:space="preserve">Certification Issuers as Text</t>
  </si>
  <si>
    <t xml:space="preserve">The issuers of the certifications that a worker has been issued.</t>
  </si>
  <si>
    <t xml:space="preserve">Certification Names as Text</t>
  </si>
  <si>
    <t xml:space="preserve">The names of the certifications that a worker has been issued.</t>
  </si>
  <si>
    <t xml:space="preserve">Certifications as Certification Issuer</t>
  </si>
  <si>
    <t xml:space="preserve">Contains the certifications or licenses that a worker has been issued, shown as the Certification Issuer</t>
  </si>
  <si>
    <t xml:space="preserve">Certifications for Committee Candidate</t>
  </si>
  <si>
    <t xml:space="preserve">Returns the Certification names, if they exist, for a committee membership candidate.</t>
  </si>
  <si>
    <t xml:space="preserve">Certifications Section</t>
  </si>
  <si>
    <t xml:space="preserve">Returns True when the user has access to the Certifications Section.</t>
  </si>
  <si>
    <t xml:space="preserve">CF ARI Direct Reports Count</t>
  </si>
  <si>
    <t xml:space="preserve">CF BD Work Aniversary</t>
  </si>
  <si>
    <t xml:space="preserve">CF BD Work Aniversary Next Year</t>
  </si>
  <si>
    <t xml:space="preserve">CF BD Work Aniversary This Year</t>
  </si>
  <si>
    <t xml:space="preserve">CF BN  LRV Disbursement Plan Period</t>
  </si>
  <si>
    <t xml:space="preserve">CF CC Annualized Base Pay _ USD</t>
  </si>
  <si>
    <t xml:space="preserve">Report Writer Provided Top Level Instance</t>
  </si>
  <si>
    <t xml:space="preserve">CF CRI Number of Inactive Direct Reports</t>
  </si>
  <si>
    <t xml:space="preserve">CF CT - INT5103 Everbridge Single Space</t>
  </si>
  <si>
    <t xml:space="preserve">CF CT Event + Date</t>
  </si>
  <si>
    <t xml:space="preserve">CF CT Formatted Name</t>
  </si>
  <si>
    <t xml:space="preserve">CF CT INT5103 Everbridge External ID</t>
  </si>
  <si>
    <t xml:space="preserve">CF DD Age as of Dec 31</t>
  </si>
  <si>
    <t xml:space="preserve">CF DD Years of Service</t>
  </si>
  <si>
    <t xml:space="preserve">CF DD Years of Service 0-5</t>
  </si>
  <si>
    <t xml:space="preserve">CF DD Years of Service 10-15</t>
  </si>
  <si>
    <t xml:space="preserve">CF DD Years of Service 6-10</t>
  </si>
  <si>
    <t xml:space="preserve">CF EE  Annual Work Period is F9 or F10</t>
  </si>
  <si>
    <t xml:space="preserve">CF EE Email / Phone / CC is blank</t>
  </si>
  <si>
    <t xml:space="preserve">CF EE Employee Grouping</t>
  </si>
  <si>
    <t xml:space="preserve">CF EE Full-part Time</t>
  </si>
  <si>
    <t xml:space="preserve">CF EE IDD (Hire Date + 90 MINUS 14 ) &gt; 1</t>
  </si>
  <si>
    <t xml:space="preserve">CF EE Latest Hire Date</t>
  </si>
  <si>
    <t xml:space="preserve">CF EE Milestone</t>
  </si>
  <si>
    <t xml:space="preserve">CF EE Rehire ?</t>
  </si>
  <si>
    <t xml:space="preserve">CF EE Work Aniversary (This year or next year)</t>
  </si>
  <si>
    <t xml:space="preserve">CF EE Work Aniversary Date</t>
  </si>
  <si>
    <t xml:space="preserve">CF EMI Inactive Direct Reports</t>
  </si>
  <si>
    <t xml:space="preserve">CF EMI Worker Events</t>
  </si>
  <si>
    <t xml:space="preserve">CF ESI Leave of Absence Latest</t>
  </si>
  <si>
    <t xml:space="preserve">CF ESI Superior Orgnization</t>
  </si>
  <si>
    <t xml:space="preserve">CF ESI Worker Events</t>
  </si>
  <si>
    <t xml:space="preserve">CF FD Hire Date</t>
  </si>
  <si>
    <t xml:space="preserve">CF FD Month and Year of Hire Date</t>
  </si>
  <si>
    <t xml:space="preserve">CF FD- INT5006 - DOB - mm-dd-yyyy</t>
  </si>
  <si>
    <t xml:space="preserve">CF FL BOG LRV Annual Work Period</t>
  </si>
  <si>
    <t xml:space="preserve">CF FL BOG TC Adjunct - ADJ</t>
  </si>
  <si>
    <t xml:space="preserve">CF FL BOG TC Administrative and Professional - ADM</t>
  </si>
  <si>
    <t xml:space="preserve">CF FL BOG TC Campus Security Authority - CSA</t>
  </si>
  <si>
    <t xml:space="preserve">CF FL BOG TC Faculty 10MO - F10</t>
  </si>
  <si>
    <t xml:space="preserve">CF FL BOG TC Faculty 12MO - F12</t>
  </si>
  <si>
    <t xml:space="preserve">CF FL BOG TC Faculty 9MO - F09</t>
  </si>
  <si>
    <t xml:space="preserve">CF FL BOG TC Graduate Assistant - GRA</t>
  </si>
  <si>
    <t xml:space="preserve">CF FL BOG TC Law Enforcement Officer - LEO</t>
  </si>
  <si>
    <t xml:space="preserve">CF FL BOG TC Unknown - SSA</t>
  </si>
  <si>
    <t xml:space="preserve">CF FL BOG TC USP Services - USP</t>
  </si>
  <si>
    <t xml:space="preserve">CF FL BOG TC USPS 10MO - U10</t>
  </si>
  <si>
    <t xml:space="preserve">CF FL BOG TF Annual Work Period is 10 Months - F10</t>
  </si>
  <si>
    <t xml:space="preserve">CF FL BOG TF Annual Work Period is 10 Months - U10</t>
  </si>
  <si>
    <t xml:space="preserve">CF FL BOG TF Annual Work Period is 12 Months - F12</t>
  </si>
  <si>
    <t xml:space="preserve">CF FL BOG TF Annual Work Period is 9 Months - F09</t>
  </si>
  <si>
    <t xml:space="preserve">CF FL BOG TF Is Adjunct</t>
  </si>
  <si>
    <t xml:space="preserve">CF FL BOG TF Is Admin/Prof</t>
  </si>
  <si>
    <t xml:space="preserve">CF FL BOG TF Is CSA</t>
  </si>
  <si>
    <t xml:space="preserve">CF FL BOG TF Is Graduate Assistant</t>
  </si>
  <si>
    <t xml:space="preserve">CF FL BOG TF Is LEO</t>
  </si>
  <si>
    <t xml:space="preserve">CF FL BOG TF Is USPS</t>
  </si>
  <si>
    <t xml:space="preserve">CF Format Date - latest Worker Event Effective Date</t>
  </si>
  <si>
    <t xml:space="preserve">CF FT Lastname in Upper Case</t>
  </si>
  <si>
    <t xml:space="preserve">CF IDD Hire Date + 90</t>
  </si>
  <si>
    <t xml:space="preserve">CF IDD Hire Date + 90 MINUS 14</t>
  </si>
  <si>
    <t xml:space="preserve">CF INT STD DEMO CCW Days Since Termination DD</t>
  </si>
  <si>
    <t xml:space="preserve">CF INT STD DEMO CCW Eligibility TF</t>
  </si>
  <si>
    <t xml:space="preserve">CF INT0189 EVAL Worker Status</t>
  </si>
  <si>
    <t xml:space="preserve">CF INT0189 TC Status Active - A</t>
  </si>
  <si>
    <t xml:space="preserve">CF INT0189 TC Status On Leave - L</t>
  </si>
  <si>
    <t xml:space="preserve">CF INT0189 TC Status Terminated - T</t>
  </si>
  <si>
    <t xml:space="preserve">CF INT0189 TF Worker On Leave</t>
  </si>
  <si>
    <t xml:space="preserve">CF INT0189 TF Worker Terminated</t>
  </si>
  <si>
    <t xml:space="preserve">CF INT0189 TIAA Benefit Plans Currently Enrolled EMI</t>
  </si>
  <si>
    <t xml:space="preserve">CF INT0189 TIAA Retirement Savings Elections EMI</t>
  </si>
  <si>
    <t xml:space="preserve">CF INT5001_INT5002 CT FL BOG U_RESV_1</t>
  </si>
  <si>
    <t xml:space="preserve">CF INT5001_INT5002 EVX U_RESV_1 Output OPS</t>
  </si>
  <si>
    <t xml:space="preserve">CF INT5001_INT5002 EVX U_RESV_1 Suffix</t>
  </si>
  <si>
    <t xml:space="preserve">CF INT5002 ARI Worker Payroll Inputs For EE Medical</t>
  </si>
  <si>
    <t xml:space="preserve">Exclude Off-cycle</t>
  </si>
  <si>
    <t xml:space="preserve">CF INT5002 EE BOG HLTH_INS_OPT_CD</t>
  </si>
  <si>
    <t xml:space="preserve">CF INT5002 ESI Worker Payroll Input For Medical</t>
  </si>
  <si>
    <t xml:space="preserve">CF INT5002 EVX FL BOG CONT_ST_SVC_DT</t>
  </si>
  <si>
    <t xml:space="preserve">CF INT5002 EVX FL BOG COUNTY_OF_RES</t>
  </si>
  <si>
    <t xml:space="preserve">CF INT5002 LRV FL BOG COUNTY_OF_RES</t>
  </si>
  <si>
    <t xml:space="preserve">CF INT5002 LRV Pay Input Comment</t>
  </si>
  <si>
    <t xml:space="preserve">CF INT5002 TC BOG HLTH_INS_OPT_CD 01 (Individual)</t>
  </si>
  <si>
    <t xml:space="preserve">CF INT5002 TC BOG HLTH_INS_OPT_CD 02 (Family)</t>
  </si>
  <si>
    <t xml:space="preserve">CF INT5002 TF Pay Input Comment Contains Coverage Code: 0001</t>
  </si>
  <si>
    <t xml:space="preserve">CF INT5002 TF Pay Input Comment Contains Coverage Code: 0009</t>
  </si>
  <si>
    <t xml:space="preserve">CF INT5002 TF Worker Continuous Service Date Is Not Blank</t>
  </si>
  <si>
    <t xml:space="preserve">CF INT5004  TC - N/A</t>
  </si>
  <si>
    <t xml:space="preserve">CF INT5004 TC - DOB YYYY-MM-DD</t>
  </si>
  <si>
    <t xml:space="preserve">CF INT5004 TC - LASTUPDATE_YYYY-MM-DD</t>
  </si>
  <si>
    <t xml:space="preserve">CF INT5004 TC - Maxient Classification</t>
  </si>
  <si>
    <t xml:space="preserve">CF INT5004 TC - Maxient OPRID</t>
  </si>
  <si>
    <t xml:space="preserve">CF INT5004 TC - Permanent Address line 1 and Address line 2</t>
  </si>
  <si>
    <t xml:space="preserve">CF INT5008 EVAL Employee Subclass</t>
  </si>
  <si>
    <t xml:space="preserve">CF INT5008 LRV Annual Work Period</t>
  </si>
  <si>
    <t xml:space="preserve">CF INT5008 TC Adjunct Faculty - ADJ</t>
  </si>
  <si>
    <t xml:space="preserve">CF INT5008 TC Administrative and Professional - ADM</t>
  </si>
  <si>
    <t xml:space="preserve">CF INT5008 TC Employee - EM</t>
  </si>
  <si>
    <t xml:space="preserve">CF INT5008 TC Faculty - FA</t>
  </si>
  <si>
    <t xml:space="preserve">CF INT5008 TC Faculty 10MO - F10</t>
  </si>
  <si>
    <t xml:space="preserve">CF INT5008 TC Faculty 12MO - F12</t>
  </si>
  <si>
    <t xml:space="preserve">CF INT5008 TC Faculty 9MO - F09</t>
  </si>
  <si>
    <t xml:space="preserve">CF INT5008 TC Other Prof Services - OPS</t>
  </si>
  <si>
    <t xml:space="preserve">CF INT5008 TC Retirees - RE</t>
  </si>
  <si>
    <t xml:space="preserve">CF INT5008 TC Temp Employee - TE</t>
  </si>
  <si>
    <t xml:space="preserve">CF INT5008 TC Terminated Employee - TER</t>
  </si>
  <si>
    <t xml:space="preserve">CF INT5008 TC University Support Personnel - USP</t>
  </si>
  <si>
    <t xml:space="preserve">CF INT5008 TC Unknown - SSA</t>
  </si>
  <si>
    <t xml:space="preserve">CF INT5008 TF Annual Work Period is 10 Months - F10</t>
  </si>
  <si>
    <t xml:space="preserve">CF INT5008 TF Annual Work Period is 12 Months - F12</t>
  </si>
  <si>
    <t xml:space="preserve">CF INT5008 TF Annual Work Period is 9 Months - F09</t>
  </si>
  <si>
    <t xml:space="preserve">CF INT5008 TF Employee Type is Regular</t>
  </si>
  <si>
    <t xml:space="preserve">CF INT5008 TF Employee Type is Temp</t>
  </si>
  <si>
    <t xml:space="preserve">CF INT5008 TF Is Retiree</t>
  </si>
  <si>
    <t xml:space="preserve">CF INT5008 TF Job Family Group is Admin/Prof</t>
  </si>
  <si>
    <t xml:space="preserve">CF INT5008 TF Job Family Group is Faculty</t>
  </si>
  <si>
    <t xml:space="preserve">CF INT5008 TF Job Family Group is OPS</t>
  </si>
  <si>
    <t xml:space="preserve">CF INT5008 TF Job Family Group is USPS</t>
  </si>
  <si>
    <t xml:space="preserve">CF INT5008 TF Job Family is Adjunct</t>
  </si>
  <si>
    <t xml:space="preserve">CF INT5009 CT Employee ID | Age Band</t>
  </si>
  <si>
    <t xml:space="preserve">CF INT5009 EVAL Colonial Disability Protection Age Band</t>
  </si>
  <si>
    <t xml:space="preserve">CF INT5009 EVAL Optional Life Age Band</t>
  </si>
  <si>
    <t xml:space="preserve">CF INT5009 TC Optional Life Age Band is 30 - 34</t>
  </si>
  <si>
    <t xml:space="preserve">CF INT5009 TC Optional Life Age Band is 35 - 39</t>
  </si>
  <si>
    <t xml:space="preserve">CF INT5009 TC Optional Life Age Band is 40 - 44</t>
  </si>
  <si>
    <t xml:space="preserve">CF INT5009 TC Optional Life Age Band is 45 - 49</t>
  </si>
  <si>
    <t xml:space="preserve">CF INT5009 TC Optional Life Age Band is 50 - 54</t>
  </si>
  <si>
    <t xml:space="preserve">CF INT5009 TC Optional Life Age Band is 55 - 59</t>
  </si>
  <si>
    <t xml:space="preserve">CF INT5009 TC Optional Life Age Band is 60 - 64</t>
  </si>
  <si>
    <t xml:space="preserve">CF INT5009 TC Optional Life Age Band is 65 - 69</t>
  </si>
  <si>
    <t xml:space="preserve">CF INT5009 TC Optional Life Age Band is 70 +</t>
  </si>
  <si>
    <t xml:space="preserve">CF INT5009 TC Optional Life Age Band is &lt; 30</t>
  </si>
  <si>
    <t xml:space="preserve">CF INT5009 TF Colonial Disability Protection Age Band is 17-49</t>
  </si>
  <si>
    <t xml:space="preserve">CF INT5009 TF Colonial Disability Protection Age Band is 50-69</t>
  </si>
  <si>
    <t xml:space="preserve">CF INT5009 TF Colonial Disability Protection Band is 17-49</t>
  </si>
  <si>
    <t xml:space="preserve">CF INT5009 TF Colonial Disability Protection Band is 50-69</t>
  </si>
  <si>
    <t xml:space="preserve">CF INT5009 TF Optional Life Age Band is 30 - 34</t>
  </si>
  <si>
    <t xml:space="preserve">CF INT5009 TF Optional Life Age Band is 35 - 39</t>
  </si>
  <si>
    <t xml:space="preserve">CF INT5009 TF Optional Life Age Band is 40 - 44</t>
  </si>
  <si>
    <t xml:space="preserve">CF INT5009 TF Optional Life Age Band is 45 - 49</t>
  </si>
  <si>
    <t xml:space="preserve">CF INT5009 TF Optional Life Age Band is 50 - 54</t>
  </si>
  <si>
    <t xml:space="preserve">CF INT5009 TF Optional Life Age Band is 55 - 59</t>
  </si>
  <si>
    <t xml:space="preserve">CF INT5009 TF Optional Life Age Band is 60 - 64</t>
  </si>
  <si>
    <t xml:space="preserve">CF INT5009 TF Optional Life Age Band is 65 - 69</t>
  </si>
  <si>
    <t xml:space="preserve">CF INT5009 TF Optional Life Age Band is 70 +</t>
  </si>
  <si>
    <t xml:space="preserve">CF INT5009 TF Optional Life Age Band is &lt; 30</t>
  </si>
  <si>
    <t xml:space="preserve">CF INT5011 EVAL Contribution Period</t>
  </si>
  <si>
    <t xml:space="preserve">CF INT5011 EVAL Employee Status</t>
  </si>
  <si>
    <t xml:space="preserve">CF INT5011 EVAL Employee Subgroup</t>
  </si>
  <si>
    <t xml:space="preserve">CF INT5011 LRV Home Address County</t>
  </si>
  <si>
    <t xml:space="preserve">CF INT5011 TC 01</t>
  </si>
  <si>
    <t xml:space="preserve">CF INT5011 TC 02</t>
  </si>
  <si>
    <t xml:space="preserve">CF INT5011 TC 05</t>
  </si>
  <si>
    <t xml:space="preserve">CF INT5011 TC 06</t>
  </si>
  <si>
    <t xml:space="preserve">CF INT5011 TC 08</t>
  </si>
  <si>
    <t xml:space="preserve">CF INT5011 TC 21</t>
  </si>
  <si>
    <t xml:space="preserve">CF INT5011 TC 22</t>
  </si>
  <si>
    <t xml:space="preserve">CF INT5011 TC 23</t>
  </si>
  <si>
    <t xml:space="preserve">CF INT5011 TC 24</t>
  </si>
  <si>
    <t xml:space="preserve">CF INT5011 TC 25</t>
  </si>
  <si>
    <t xml:space="preserve">CF INT5011 TC Contribution Period 00</t>
  </si>
  <si>
    <t xml:space="preserve">CF INT5011 TC Contribution Period 16</t>
  </si>
  <si>
    <t xml:space="preserve">CF INT5011 TF Annual Work Period is 9 Months - F09</t>
  </si>
  <si>
    <t xml:space="preserve">CF INT5011 TF Eligibility - Employee Subgroup is Not Empty</t>
  </si>
  <si>
    <t xml:space="preserve">CF INT5011 TF Job Family Group is Admin/Professional</t>
  </si>
  <si>
    <t xml:space="preserve">CF INT5011 TF Job Family Group is Faculty</t>
  </si>
  <si>
    <t xml:space="preserve">CF INT5011 TF Job Family Group is Other Personal Service (OPS)</t>
  </si>
  <si>
    <t xml:space="preserve">CF INT5011 TF Job Family Group is USPS</t>
  </si>
  <si>
    <t xml:space="preserve">CF INT5011 TF Job Family is Executive Service (A&amp;P)</t>
  </si>
  <si>
    <t xml:space="preserve">CF INT5011 TF Term Reason is Disability Retirement</t>
  </si>
  <si>
    <t xml:space="preserve">CF INT5011 TF Term Reason is Retirement</t>
  </si>
  <si>
    <t xml:space="preserve">CF INT5012 TF Job Family Group is Other Personal Service (OPS)</t>
  </si>
  <si>
    <t xml:space="preserve">CF INT5015_INT5016 CT Space + Middle Initial</t>
  </si>
  <si>
    <t xml:space="preserve">CF INT5015_INT5016 CT Space + Suffix</t>
  </si>
  <si>
    <t xml:space="preserve">CF INT5015_INT5016 CT Worker Name</t>
  </si>
  <si>
    <t xml:space="preserve">CF INT5015_INT5016 EVX Educational Employee Indicator</t>
  </si>
  <si>
    <t xml:space="preserve">CF INT5015_INT5016 EVX Sex Code</t>
  </si>
  <si>
    <t xml:space="preserve">CF INT5015_INT5016 EVX Space + Middle Initial if Middle Name exists</t>
  </si>
  <si>
    <t xml:space="preserve">CF INT5015_INT5016 EVX Space + Suffix if Suffix exists</t>
  </si>
  <si>
    <t xml:space="preserve">CF INT5015_INT5016 LFP Annualized Salary</t>
  </si>
  <si>
    <t xml:space="preserve">CF INT5015_INT5016 LRV Class Code</t>
  </si>
  <si>
    <t xml:space="preserve">CF INT5015_INT5016 LRV Primary Home Address - State: ISO Code</t>
  </si>
  <si>
    <t xml:space="preserve">CF INT5015_INT5016 LRV Primary Home Address: Address Line 1</t>
  </si>
  <si>
    <t xml:space="preserve">CF INT5015_INT5016 LRV Primary Home Address: Address Line 2</t>
  </si>
  <si>
    <t xml:space="preserve">CF INT5015_INT5016 LRV Primary Home Address: Address Line 3</t>
  </si>
  <si>
    <t xml:space="preserve">CF INT5015_INT5016 TF - Academic Appointments - Educational Employee Indicator</t>
  </si>
  <si>
    <t xml:space="preserve">CF INT5015_INT5016 TF Middle Name Exists</t>
  </si>
  <si>
    <t xml:space="preserve">CF INT5015_INT5016 TF Suffix Exists</t>
  </si>
  <si>
    <t xml:space="preserve">CF INT5016 SRI YTD 403b Employee Contributions</t>
  </si>
  <si>
    <t xml:space="preserve">CF INT5016 PFV Pay Period</t>
  </si>
  <si>
    <t xml:space="preserve">CF INT5016 SRI YTD 403b Employer Contributions</t>
  </si>
  <si>
    <t xml:space="preserve">CF INT5016 SRI YTD Gross Pay</t>
  </si>
  <si>
    <t xml:space="preserve">CF LRV 2 Char Country Code</t>
  </si>
  <si>
    <t xml:space="preserve">CF LRV Annual Work Period</t>
  </si>
  <si>
    <t xml:space="preserve">CF LRV Cost Center Code</t>
  </si>
  <si>
    <t xml:space="preserve">CF LRV Disbursement Plan Period</t>
  </si>
  <si>
    <t xml:space="preserve">CF LRV Last Termination Date</t>
  </si>
  <si>
    <t xml:space="preserve">CF LRV Latest Worker Event Effective Date</t>
  </si>
  <si>
    <t xml:space="preserve">CF LRV Leave of Absence Latest - Return Date</t>
  </si>
  <si>
    <t xml:space="preserve">CF LRV Primary Sup Org Manager Name</t>
  </si>
  <si>
    <t xml:space="preserve">CF LRV Superior Org Name</t>
  </si>
  <si>
    <t xml:space="preserve">CF LRV Supervisor Name</t>
  </si>
  <si>
    <t xml:space="preserve">CF ST - INT5103 Everbridge Middle Initial</t>
  </si>
  <si>
    <t xml:space="preserve">CF ST - INT5103 Everbridge Phone</t>
  </si>
  <si>
    <t xml:space="preserve">CF ST Middle Name Initial</t>
  </si>
  <si>
    <t xml:space="preserve">CF TC -  INT5103 Everbridge T/F Address1 Not LOW</t>
  </si>
  <si>
    <t xml:space="preserve">CF TC - INT5103  Everbridge Location 1</t>
  </si>
  <si>
    <t xml:space="preserve">CF TC - INT5103  Everbridge Record Type</t>
  </si>
  <si>
    <t xml:space="preserve">CF TC - INT5103  Everbridge Report - STATE</t>
  </si>
  <si>
    <t xml:space="preserve">Everbridge Report State Value</t>
  </si>
  <si>
    <t xml:space="preserve">CF TC - INT5103 Everbridge Address1 LAW Value return Text</t>
  </si>
  <si>
    <t xml:space="preserve">CF TC - INT5103 Everbridge City Name "Orlando"</t>
  </si>
  <si>
    <t xml:space="preserve">CF TC - INT5103 Everbridge City Name "Tallahassee"</t>
  </si>
  <si>
    <t xml:space="preserve">CF TC - INT5103 Everbridge External ID First Letter</t>
  </si>
  <si>
    <t xml:space="preserve">CF TC INT5102- Suitable Advisor ID 2</t>
  </si>
  <si>
    <t xml:space="preserve">CF TF - INT5103 Everbridge T/F Address1</t>
  </si>
  <si>
    <t xml:space="preserve">CF TF - INT5103 Everbridge T/F Address1 NOT LOW</t>
  </si>
  <si>
    <t xml:space="preserve">CF TF Cost Center is blank</t>
  </si>
  <si>
    <t xml:space="preserve">CF TF Direct Report is Inactive</t>
  </si>
  <si>
    <t xml:space="preserve">CF TF Email is blank</t>
  </si>
  <si>
    <t xml:space="preserve">CF TF Email or Phone or Cost Center is blank</t>
  </si>
  <si>
    <t xml:space="preserve">CF TF Employee Type Grouping - Other</t>
  </si>
  <si>
    <t xml:space="preserve">CF TF Employee Type Grouping - Regular</t>
  </si>
  <si>
    <t xml:space="preserve">CF TF Employee Type Grouping - Temporary</t>
  </si>
  <si>
    <t xml:space="preserve">CF TF Hire Date greater than Original Hire Dtae</t>
  </si>
  <si>
    <t xml:space="preserve">CF TF IDD (Hire Date + 90 MINUS 14 ) &lt; 1</t>
  </si>
  <si>
    <t xml:space="preserve">CF TF Is Employee</t>
  </si>
  <si>
    <t xml:space="preserve">CF TF Is OPS Employee</t>
  </si>
  <si>
    <t xml:space="preserve">CF TF Milestone 10</t>
  </si>
  <si>
    <t xml:space="preserve">CF TF Milestone 15</t>
  </si>
  <si>
    <t xml:space="preserve">CF TF Milestone 20</t>
  </si>
  <si>
    <t xml:space="preserve">CF TF Milestone 5</t>
  </si>
  <si>
    <t xml:space="preserve">CF TF Month and Year of Hire Date Elapsed</t>
  </si>
  <si>
    <t xml:space="preserve">CF TF Scheduled Weekly Hours 0 or less than 40</t>
  </si>
  <si>
    <t xml:space="preserve">CF TF Scheduled Weekly Hours 40 or more</t>
  </si>
  <si>
    <t xml:space="preserve">CF TF Wokr Aniversary (this year / next year)</t>
  </si>
  <si>
    <t xml:space="preserve">CF TF Work Phone is blank</t>
  </si>
  <si>
    <t xml:space="preserve">CF TF Worker AWP is F9 or F10</t>
  </si>
  <si>
    <t xml:space="preserve">CF Worker FT FRS Zip Code</t>
  </si>
  <si>
    <t xml:space="preserve">CF_ESI 1st Position</t>
  </si>
  <si>
    <t xml:space="preserve">CF_ESI 2nd Position</t>
  </si>
  <si>
    <t xml:space="preserve">CF_ESI PC on Worker</t>
  </si>
  <si>
    <t xml:space="preserve">CF_ESI Position 1</t>
  </si>
  <si>
    <t xml:space="preserve">CF_ESI Position 10</t>
  </si>
  <si>
    <t xml:space="preserve">CF_ESI Position 2</t>
  </si>
  <si>
    <t xml:space="preserve">CF_ESI Position 3</t>
  </si>
  <si>
    <t xml:space="preserve">CF_ESI Position 4</t>
  </si>
  <si>
    <t xml:space="preserve">CF_ESI Position 5</t>
  </si>
  <si>
    <t xml:space="preserve">CF_ESI Position 6</t>
  </si>
  <si>
    <t xml:space="preserve">CF_ESI Position 7</t>
  </si>
  <si>
    <t xml:space="preserve">CF_ESI Position 8</t>
  </si>
  <si>
    <t xml:space="preserve">CF_ESI Position 9</t>
  </si>
  <si>
    <t xml:space="preserve">CF_ESI_POSITION1</t>
  </si>
  <si>
    <t xml:space="preserve">CF_LRV Position 1</t>
  </si>
  <si>
    <t xml:space="preserve">CF_LRV Position 1 ID</t>
  </si>
  <si>
    <t xml:space="preserve">CF_LRV Position 1 Title</t>
  </si>
  <si>
    <t xml:space="preserve">CF_LRV Position 10</t>
  </si>
  <si>
    <t xml:space="preserve">CF_LRV Position 2</t>
  </si>
  <si>
    <t xml:space="preserve">CF_LRV Position 2 ID</t>
  </si>
  <si>
    <t xml:space="preserve">CF_LRV Position 2 Title</t>
  </si>
  <si>
    <t xml:space="preserve">CF_LRV Position 3</t>
  </si>
  <si>
    <t xml:space="preserve">CF_LRV Position 3 ID</t>
  </si>
  <si>
    <t xml:space="preserve">CF_LRV Position 3 Title</t>
  </si>
  <si>
    <t xml:space="preserve">CF_LRV Position 4</t>
  </si>
  <si>
    <t xml:space="preserve">CF_LRV Position 4 ID</t>
  </si>
  <si>
    <t xml:space="preserve">CF_LRV Position 4 Title</t>
  </si>
  <si>
    <t xml:space="preserve">CF_LRV Position 5</t>
  </si>
  <si>
    <t xml:space="preserve">CF_LRV Position 6</t>
  </si>
  <si>
    <t xml:space="preserve">CF_LRV Position 7</t>
  </si>
  <si>
    <t xml:space="preserve">CF_LRV Position 8</t>
  </si>
  <si>
    <t xml:space="preserve">CF_LRV Position 9</t>
  </si>
  <si>
    <t xml:space="preserve">CF_LRV Position Title 1</t>
  </si>
  <si>
    <t xml:space="preserve">CF_LRV Position Title 10</t>
  </si>
  <si>
    <t xml:space="preserve">CF_LRV Position Title 2</t>
  </si>
  <si>
    <t xml:space="preserve">CF_LRV Position Title 3</t>
  </si>
  <si>
    <t xml:space="preserve">CF_LRV Position Title 4</t>
  </si>
  <si>
    <t xml:space="preserve">CF_LRV Position Title 5</t>
  </si>
  <si>
    <t xml:space="preserve">CF_LRV Position Title 6</t>
  </si>
  <si>
    <t xml:space="preserve">CF_LRV Position Title 7</t>
  </si>
  <si>
    <t xml:space="preserve">CF_LRV Position Title 8</t>
  </si>
  <si>
    <t xml:space="preserve">CF_LRV Position Title 9</t>
  </si>
  <si>
    <t xml:space="preserve">CF_LRV POSITIONID</t>
  </si>
  <si>
    <t xml:space="preserve">CF_LRV Proposed Union</t>
  </si>
  <si>
    <t xml:space="preserve">CF_LRV_A&amp;P Fringe Benefit Rule</t>
  </si>
  <si>
    <t xml:space="preserve">CF_LRV_Faculty Fringe Benefit Rule</t>
  </si>
  <si>
    <t xml:space="preserve">CF_LRV_OPS Adjunct (No Benefits) Fringe Benefit Rule</t>
  </si>
  <si>
    <t xml:space="preserve">CF_LRV_OPS Adjunct Fringe Benefit Rule</t>
  </si>
  <si>
    <t xml:space="preserve">CF_LRV_OPS Staff (No Benefits) Fringe Benefit Rule</t>
  </si>
  <si>
    <t xml:space="preserve">CF_LRV_OPS Staff Fringe Benefit Rule</t>
  </si>
  <si>
    <t xml:space="preserve">CF_LRV_POSITIONTITLE1</t>
  </si>
  <si>
    <t xml:space="preserve">CF_LRV_USPS Fringe Benefit Rule</t>
  </si>
  <si>
    <t xml:space="preserve">CF_TF Not Primary</t>
  </si>
  <si>
    <t xml:space="preserve">CF_TF Position not blank</t>
  </si>
  <si>
    <t xml:space="preserve">CFINT033 Worker ESI Benefit Plan - Retirement Savings Plan</t>
  </si>
  <si>
    <t xml:space="preserve">CFINT033 Worker LRV Benefit Election - Benefit Plan</t>
  </si>
  <si>
    <t xml:space="preserve">CFINT033 Worker LRV Primary Home Address - Address Line 1</t>
  </si>
  <si>
    <t xml:space="preserve">CFINT033 Worker LRV Primary Home Address - Address Line 2</t>
  </si>
  <si>
    <t xml:space="preserve">CFINT033 Worker LRV Primary Home Address - Address Line 3</t>
  </si>
  <si>
    <t xml:space="preserve">Returns the check-in status of the worker: Checked In, Checked Out, Checked Out (break), Checked Out (meal).</t>
  </si>
  <si>
    <t xml:space="preserve">Retrieve all Check-In topics for an individual.</t>
  </si>
  <si>
    <t xml:space="preserve">Retrieve all Check-Ins for an individual.</t>
  </si>
  <si>
    <t xml:space="preserve">Children enrolled in Medicare Part A</t>
  </si>
  <si>
    <t xml:space="preserve">Children who are enrolled in Medicare Part A. A child is enrolled if the effective date, where the report field is used, is on or after the Part A effective date and on or before any existing Part A termination date.</t>
  </si>
  <si>
    <t xml:space="preserve">Children not enrolled in Medicare Part A</t>
  </si>
  <si>
    <t xml:space="preserve">Children who are NOT enrolled in Medicare Part A. A child is enrolled if the effective date, where the report field is used, is on or after the Part A effective date and on or before any existing Part A termination date.</t>
  </si>
  <si>
    <t xml:space="preserve">Children who are enrolled in Medicare Part D EGWP</t>
  </si>
  <si>
    <t xml:space="preserve">Children who are enrolled in Medicare Part D EGWP as of the effective date. A worker's child is enrolled if the child's enrollment date, for the most recently entered EGWP data, is on or before the effective date, and if any existing disenrollment date is after the effective date.</t>
  </si>
  <si>
    <t xml:space="preserve">Children who are NOT enrolled in Medicare Part D EGWP</t>
  </si>
  <si>
    <t xml:space="preserve">Children who are not enrolled in Medicare Part D EGWP as of the effective date. A worker's child is enrolled if the child's enrollment date, for the most recently entered EGWP data, is on or before the effective date, and if any existing disenrollment date is after the effective date.</t>
  </si>
  <si>
    <t xml:space="preserve">CIP Code for Primary Appointment</t>
  </si>
  <si>
    <t xml:space="preserve">Returns the  CIP Code assigned to the Academic Unit associated to the worker's Primary Appointment</t>
  </si>
  <si>
    <t xml:space="preserve">Citizenship Countries</t>
  </si>
  <si>
    <t xml:space="preserve">The countries of which the worker is a citizen.</t>
  </si>
  <si>
    <t xml:space="preserve">Citizenship Status Mapping</t>
  </si>
  <si>
    <t xml:space="preserve">The metadata Citizenship Status value that the worker's citizenship status maps to.</t>
  </si>
  <si>
    <t xml:space="preserve">City of Birth (Locale Sensitive)</t>
  </si>
  <si>
    <t xml:space="preserve">Returns the city of birth for the person. Returns value based on the localization setting for Worker</t>
  </si>
  <si>
    <t xml:space="preserve">City of Birth - Instance (Locale Sensitive)</t>
  </si>
  <si>
    <t xml:space="preserve">COBRA Eligibility (Historical)</t>
  </si>
  <si>
    <t xml:space="preserve">Returns COBRA Eligibility information if the employee is COBRA eligible. This returns COBRA records created before Workday 20.  Use COBRA Eligible Records Recent per Benefit Plan for Worker or  COBRA Records within Range instead.</t>
  </si>
  <si>
    <t xml:space="preserve">COBRA Eligibility since Hire Date (Historical)</t>
  </si>
  <si>
    <t xml:space="preserve">Returns COBRA Eligibility information if the employee is COBRA eligible between the original hire date and the current moment.  This returns COBRA records created before Workday 20.  Use COBRA Eligible Records Recent per Benefit Plan since Hire Date or COBRA Records within Range instead.</t>
  </si>
  <si>
    <t xml:space="preserve">COBRA Eligible Records Recent per Benefit Plan</t>
  </si>
  <si>
    <t xml:space="preserve">The latest COBRA Eligibility Records for each plan for the participant.</t>
  </si>
  <si>
    <t xml:space="preserve">COBRA Eligible Records Recent per Benefit Plan for Worker</t>
  </si>
  <si>
    <t xml:space="preserve">Each benefit plan for a worker that is eligible for COBRA, including the start date for the plan.</t>
  </si>
  <si>
    <t xml:space="preserve">COBRA Eligible Records Recent per Benefit Plan since Hire Date</t>
  </si>
  <si>
    <t xml:space="preserve">The worker's latest COBRA eligibility records, for each benefit plan, since their hire date.</t>
  </si>
  <si>
    <t xml:space="preserve">COBRA Records</t>
  </si>
  <si>
    <t xml:space="preserve">All COBRA records for the worker or dependent. Includes their names and the benefit plans that they are eligible for, by effective date.</t>
  </si>
  <si>
    <t xml:space="preserve">COBRA Records Exist</t>
  </si>
  <si>
    <t xml:space="preserve">True if the COBRA records exist for the worker or dependents.</t>
  </si>
  <si>
    <t xml:space="preserve">COBRA Records Exist within Range</t>
  </si>
  <si>
    <t xml:space="preserve">Indicates if any of the participant's COBRA Record's COBRA Eligible Date fall within the date range. Note that COBRA records with COBRA Eligible flag set to either true or false are included.</t>
  </si>
  <si>
    <t xml:space="preserve">COBRA Records within Range</t>
  </si>
  <si>
    <t xml:space="preserve">COBRA Records with COBRA Eligible Date falling within the date range. Note that COBRA records with COBRA Eligible flag set to either true or false are included.</t>
  </si>
  <si>
    <t xml:space="preserve">The associated collective agreement for the employee.</t>
  </si>
  <si>
    <t xml:space="preserve">Collective Agreement Area</t>
  </si>
  <si>
    <t xml:space="preserve">The area collective agreement factor option value for the employee's position.</t>
  </si>
  <si>
    <t xml:space="preserve">Collective Agreement Class</t>
  </si>
  <si>
    <t xml:space="preserve">The class collective agreement factor option for the position of the employee.</t>
  </si>
  <si>
    <t xml:space="preserve">Collective Agreement Coefficient</t>
  </si>
  <si>
    <t xml:space="preserve">The coefficient collective agreement factor option value for the employee's position.</t>
  </si>
  <si>
    <t xml:space="preserve">Collective Agreement Effective Date</t>
  </si>
  <si>
    <t xml:space="preserve">Returns the Effective Date (of Collective Agreement assigned) for the worker's primary position</t>
  </si>
  <si>
    <t xml:space="preserve">Collective Agreement Factor 1 as of Sub Period End Date</t>
  </si>
  <si>
    <t xml:space="preserve">Factor 1 of the worker's collective agreement, as of the subperiod end date.</t>
  </si>
  <si>
    <t xml:space="preserve">Collective Agreement Factor 2 as of Sub Period End Date</t>
  </si>
  <si>
    <t xml:space="preserve">Factor 2 of the worker's collective agreement, as of the subperiod end date.</t>
  </si>
  <si>
    <t xml:space="preserve">Collective Agreement Factor 3 as of Sub Period End Date</t>
  </si>
  <si>
    <t xml:space="preserve">Factor 3 of the worker's collective agreement, as of the subperiod end date.</t>
  </si>
  <si>
    <t xml:space="preserve">Collective Agreement Factor 4 as of Sub Period End Date</t>
  </si>
  <si>
    <t xml:space="preserve">Factor 4 of the worker's collective agreement, as of the subperiod end date.</t>
  </si>
  <si>
    <t xml:space="preserve">Collective Agreement Factor 5 as of Sub Period End Date</t>
  </si>
  <si>
    <t xml:space="preserve">Factor 5 of the worker's collective agreement, as of the subperiod end date.</t>
  </si>
  <si>
    <t xml:space="preserve">Collective Agreement Factor Option 1 as of Sub Period End Date</t>
  </si>
  <si>
    <t xml:space="preserve">Factor option 1 of the worker's collective agreement, as of the subperiod end date.</t>
  </si>
  <si>
    <t xml:space="preserve">Collective Agreement Factor Option 2 as of Sub Period End Date</t>
  </si>
  <si>
    <t xml:space="preserve">Factor option 2 of the worker's collective agreement, as of the subperiod end date.</t>
  </si>
  <si>
    <t xml:space="preserve">Collective Agreement Factor Option 3 as of Sub Period End Date</t>
  </si>
  <si>
    <t xml:space="preserve">Factor option 3 of the worker's collective agreement, as of the subperiod end date.</t>
  </si>
  <si>
    <t xml:space="preserve">Collective Agreement Factor Option 4 as of Sub Period End Date</t>
  </si>
  <si>
    <t xml:space="preserve">Factor option 4 of the worker's collective agreement, as of the subperiod end date.</t>
  </si>
  <si>
    <t xml:space="preserve">Collective Agreement Factor Option 5 as of Sub Period End Date</t>
  </si>
  <si>
    <t xml:space="preserve">Factor option 5 of the worker's collective agreement, as of the subperiod end date.</t>
  </si>
  <si>
    <t xml:space="preserve">Collective Agreement Group</t>
  </si>
  <si>
    <t xml:space="preserve">The group collective agreement factor option value for the employee's position.</t>
  </si>
  <si>
    <t xml:space="preserve">Collective Agreement Level</t>
  </si>
  <si>
    <t xml:space="preserve">The level collective agreement factor option value for the employee's position.</t>
  </si>
  <si>
    <t xml:space="preserve">Collective Agreement Position</t>
  </si>
  <si>
    <t xml:space="preserve">The position collective agreement factor option value for the employee's position.</t>
  </si>
  <si>
    <t xml:space="preserve">Collective Agreement Professional Category</t>
  </si>
  <si>
    <t xml:space="preserve">The professional category collective agreement factor option value for the employee's position.</t>
  </si>
  <si>
    <t xml:space="preserve">Collective Agreement Rating</t>
  </si>
  <si>
    <t xml:space="preserve">The rating collective agreement factor option for the position of the employee.</t>
  </si>
  <si>
    <t xml:space="preserve">Collective Agreement Review Date</t>
  </si>
  <si>
    <t xml:space="preserve">The collective agreement review date for the position of the employee.</t>
  </si>
  <si>
    <t xml:space="preserve">Collective Agreement Step</t>
  </si>
  <si>
    <t xml:space="preserve">The step collective agreement factor option value for the employee's position.</t>
  </si>
  <si>
    <t xml:space="preserve">Commission Plan Assignment Details</t>
  </si>
  <si>
    <t xml:space="preserve">This field provides a text representation of the Commission plans assigned to the worker.</t>
  </si>
  <si>
    <t xml:space="preserve">Commission Plan Assignments</t>
  </si>
  <si>
    <t xml:space="preserve">Provides the context link between the worker and compensation plan assignment business objects. This field specifically provides a link to the commission plans assigned to an employee. Linked fields cannot be used in reports as fields, and should only be used as related business objects in reports.</t>
  </si>
  <si>
    <t xml:space="preserve">Committee Candidate Has Workday Account</t>
  </si>
  <si>
    <t xml:space="preserve">Returns Yes, if the committee member candidate has a Workday account.</t>
  </si>
  <si>
    <t xml:space="preserve">Committee Candidate Name</t>
  </si>
  <si>
    <t xml:space="preserve">Returns the committee member candidate's full name.</t>
  </si>
  <si>
    <t xml:space="preserve">Committee Candidate Photo</t>
  </si>
  <si>
    <t xml:space="preserve">Returns the committee member candidate's photo, if it exists.</t>
  </si>
  <si>
    <t xml:space="preserve">The admissions counselor object for the member.</t>
  </si>
  <si>
    <t xml:space="preserve">Returns the external committee member object for the member.</t>
  </si>
  <si>
    <t xml:space="preserve">Committee Member - Student</t>
  </si>
  <si>
    <t xml:space="preserve">The student object for the member.</t>
  </si>
  <si>
    <t xml:space="preserve">Committee Member - Worker</t>
  </si>
  <si>
    <t xml:space="preserve">Returns the worker object for the member.</t>
  </si>
  <si>
    <t xml:space="preserve">Committee Memberships - Active</t>
  </si>
  <si>
    <t xml:space="preserve">Returns active Committee Memberships as of the report's effective date.</t>
  </si>
  <si>
    <t xml:space="preserve">Committee Memberships - All</t>
  </si>
  <si>
    <t xml:space="preserve">Returns all Committee Memberships; past, present and future.</t>
  </si>
  <si>
    <t xml:space="preserve">Returns the instance for the person whether you're reporting on members, member candidates, meeting invitees, or meeting attendees.</t>
  </si>
  <si>
    <t xml:space="preserve">Companies</t>
  </si>
  <si>
    <t xml:space="preserve">All companies entered in the candidate's most recent job application that are tracked in the companies table.</t>
  </si>
  <si>
    <t xml:space="preserve">Companies (Benefit Jobs)</t>
  </si>
  <si>
    <t xml:space="preserve">Companies for the worker's benefit jobs.</t>
  </si>
  <si>
    <t xml:space="preserve">Companies as Text</t>
  </si>
  <si>
    <t xml:space="preserve">The first alphabetic 400 companies entered (both unrecognized or recognized in the companies table) in the candidate's most recent job application or Prospect information.</t>
  </si>
  <si>
    <t xml:space="preserve">Company (Benefits)</t>
  </si>
  <si>
    <t xml:space="preserve">Returns the company of the worker's primary position</t>
  </si>
  <si>
    <t xml:space="preserve">Company -  Current</t>
  </si>
  <si>
    <t xml:space="preserve">The most recent company that is marked "currently works here" for a candidate based on their most recent job application or Prospect with a Company that is tracked in the companies table.</t>
  </si>
  <si>
    <t xml:space="preserve">Company - Current as Text</t>
  </si>
  <si>
    <t xml:space="preserve">The most recent company (both unrecognized or recognized in the companies table) that is selected Currently Works Here for a candidate based on their most recent job application or Prospect. If Currently Works Here isn't selected on any companies, the most recent company is returned from the most recent job application of the candidate or Prospect.</t>
  </si>
  <si>
    <t xml:space="preserve">Company - ID</t>
  </si>
  <si>
    <t xml:space="preserve">The Company ID for the worker's primary position.</t>
  </si>
  <si>
    <t xml:space="preserve">Company Address</t>
  </si>
  <si>
    <t xml:space="preserve">The Company Hierarchy for the worker's primary position.</t>
  </si>
  <si>
    <t xml:space="preserve">The Company Insider Type for the worker's primary position.</t>
  </si>
  <si>
    <t xml:space="preserve">Company Name As of Effective Date</t>
  </si>
  <si>
    <t xml:space="preserve">The company name as of the processing effective moment or terminated date for the worker.</t>
  </si>
  <si>
    <t xml:space="preserve">Company of Guest or Recipient or Passenger</t>
  </si>
  <si>
    <t xml:space="preserve">Company of Expense Participant.</t>
  </si>
  <si>
    <t xml:space="preserve">Company or Company Hierarchy Currency</t>
  </si>
  <si>
    <t xml:space="preserve">Returns Currency for Company or Company Hierarchy</t>
  </si>
  <si>
    <t xml:space="preserve">Company Primary Address - City</t>
  </si>
  <si>
    <t xml:space="preserve">City if Address line 2 and 3 are not empty for Worker Company Primary Address.</t>
  </si>
  <si>
    <t xml:space="preserve">Company Primary Address - Line 1</t>
  </si>
  <si>
    <t xml:space="preserve">Address Line 1 of Worker Company Primary Address.</t>
  </si>
  <si>
    <t xml:space="preserve">Company Primary Address - Line 2</t>
  </si>
  <si>
    <t xml:space="preserve">Address Line 2 of Worker Company Primary Address.</t>
  </si>
  <si>
    <t xml:space="preserve">Company Primary Address - Line 3</t>
  </si>
  <si>
    <t xml:space="preserve">Address Line 3 of Worker Company Primary Address.</t>
  </si>
  <si>
    <t xml:space="preserve">Company Primary Address - Postal Code</t>
  </si>
  <si>
    <t xml:space="preserve">Get Post Code for Worker Company Primary Address if Address is in UK.</t>
  </si>
  <si>
    <t xml:space="preserve">Compensation Bases for Reporting</t>
  </si>
  <si>
    <t xml:space="preserve">Exposes the set of customer compensation basis that are assigned to the compensation functional area.</t>
  </si>
  <si>
    <t xml:space="preserve">Returns the associated Compensation Benchmark Composite for the worker's primary position.</t>
  </si>
  <si>
    <t xml:space="preserve">Returns the compensation benchmark default for the worker's primary position.</t>
  </si>
  <si>
    <t xml:space="preserve">Compensation Grade eligible for Next Grade</t>
  </si>
  <si>
    <t xml:space="preserve">The Employee is eligible to proceed to the next compensation grade.</t>
  </si>
  <si>
    <t xml:space="preserve">Compensation Grade Profile (Benefit Jobs)</t>
  </si>
  <si>
    <t xml:space="preserve">The compensation grade profile for an employee based on benefit jobs. Used in Benefits Eligibility.</t>
  </si>
  <si>
    <t xml:space="preserve">Compensation Grades (Benefit Jobs)</t>
  </si>
  <si>
    <t xml:space="preserve">The compensation grades for an employee's benefit jobs.</t>
  </si>
  <si>
    <t xml:space="preserve">Compensation History</t>
  </si>
  <si>
    <t xml:space="preserve">Contains the compensation business processes approved for the employee's primary employment.</t>
  </si>
  <si>
    <t xml:space="preserve">Contains the compensation for the worker from previous system.</t>
  </si>
  <si>
    <t xml:space="preserve">Compensation Most Recent Change Date</t>
  </si>
  <si>
    <t xml:space="preserve">Returns the date of the employee's most recent compensation change.</t>
  </si>
  <si>
    <t xml:space="preserve">Compensation Plan Assignments</t>
  </si>
  <si>
    <t xml:space="preserve">Provides the context link between the worker and compensation plan assignment business objects. This field specifically provides a link to the compensation plans assigned to an employee. Linked fields cannot be used in reports as fields, and should only be used as related business objects in reports.</t>
  </si>
  <si>
    <t xml:space="preserve">Compensation Plan Assignments for Current Year</t>
  </si>
  <si>
    <t xml:space="preserve">Provides the context link between the worker and compensation plan assignment business objects. This field specifically provides a link to the compensation plans assigned to an employee for the current year. Linked fields cannot be used in reports as fields, and should only be used as related business objects in reports.</t>
  </si>
  <si>
    <t xml:space="preserve">Compensation Plan Assignments with Employee Details for Current Year</t>
  </si>
  <si>
    <t xml:space="preserve">Provides the assignment details for the compensation plans assigned to an employee for the current year.</t>
  </si>
  <si>
    <t xml:space="preserve">The employee's compensation plans.</t>
  </si>
  <si>
    <t xml:space="preserve">Compensation Range - 25th Percentile</t>
  </si>
  <si>
    <t xml:space="preserve">The pay range 25th percentile for the employee's compensation grade profile.  If no compensation grade profile exists, the compensation grade is used to determine the pay range 25th percentile.  To determine the 25th percentile the following formula is used:  ((Compensation Grade Profile Maximum - Compensation Grade Profile Minimum)/4) + Compensation Grade Profile Minimum.</t>
  </si>
  <si>
    <t xml:space="preserve">Compensation Range - 50th Percentile</t>
  </si>
  <si>
    <t xml:space="preserve">The pay range 50th percentile for the employee's compensation grade profile.  If no compensation grade profile exists, the compensation grade is used to determine the pay range 50th percentile.  To determine the 25th percentile the following formula is used:  ((Compensation Grade Profile Maximum - Compensation Grade Profile Minimum)/2) + Compensation Grade Profile Minimum.</t>
  </si>
  <si>
    <t xml:space="preserve">Compensation Range - 75th Percentile</t>
  </si>
  <si>
    <t xml:space="preserve">The pay range 75th percentile for the employee's compensation grade profile.  If no compensation grade profile exists, the compensation grade is used to determine the pay range 75th percentile.  To determine the 25th percentile the following formula is used:  Compensation Grade Profile Maximum - ((Compensation Grade Profile Maximum - Compensation Grade Profile Minimum)/4).</t>
  </si>
  <si>
    <t xml:space="preserve">Compensation Range - Currency</t>
  </si>
  <si>
    <t xml:space="preserve">The currency for an employee's compensation range.</t>
  </si>
  <si>
    <t xml:space="preserve">Compensation Range - Frequency</t>
  </si>
  <si>
    <t xml:space="preserve">The frequency for an employee's compensation range.</t>
  </si>
  <si>
    <t xml:space="preserve">Compensation Range - Maximum</t>
  </si>
  <si>
    <t xml:space="preserve">The pay range maximum for the employee's compensation grade profile.  If no compensation grade profile exists, the compensation grade is used to determine the pay range maximum.</t>
  </si>
  <si>
    <t xml:space="preserve">Compensation Range - Midpoint</t>
  </si>
  <si>
    <t xml:space="preserve">The pay range midpoint for the employee's compensation grade profile.  If no compensation grade profile exists, the compensation grade is used to determine the pay range midpoint.</t>
  </si>
  <si>
    <t xml:space="preserve">Compensation Range - Minimum</t>
  </si>
  <si>
    <t xml:space="preserve">The pay range minimum for the employee's compensation grade profile.  If no compensation grade profile exists, the compensation grade is used to determine the pay range minimum.</t>
  </si>
  <si>
    <t xml:space="preserve">Compensation Range Annualized - Midpoint</t>
  </si>
  <si>
    <t xml:space="preserve">The annualized pay range midpoint for the employee's compensation grade profile.  If no compensation grade profile exists, the compensation grade is used to determine the annualized pay range midpoint.</t>
  </si>
  <si>
    <t xml:space="preserve">Compensation Range Annualized in Reporting Currency - Midpoint</t>
  </si>
  <si>
    <t xml:space="preserve">Returns Pay Range midpoint for the Employee's Compensation Grade Profile.  If no Compensation Grade Profile exists, the Compensation Grade is used to determine the Pay Range midpoint. This amount is annualized and in the Reporting Currency.</t>
  </si>
  <si>
    <t xml:space="preserve">Compensation Step - Current</t>
  </si>
  <si>
    <t xml:space="preserve">The compensation step for the primary job of an employee.</t>
  </si>
  <si>
    <t xml:space="preserve">Compensation Step - Next</t>
  </si>
  <si>
    <t xml:space="preserve">The next compensation step in the progression for the primary job of an employee.</t>
  </si>
  <si>
    <t xml:space="preserve">Compensation Step at final Step</t>
  </si>
  <si>
    <t xml:space="preserve">The Employee is in the final compensation step of the progression.</t>
  </si>
  <si>
    <t xml:space="preserve">Compensation Step at top in Compensation Grade</t>
  </si>
  <si>
    <t xml:space="preserve">Employee is in the final compensation step for a compensation grade that uses compensation steps OR has a compensation grade or profile without compensation steps.</t>
  </si>
  <si>
    <t xml:space="preserve">Compensation Step Effective Date</t>
  </si>
  <si>
    <t xml:space="preserve">The date the Employee's current compensation step started.</t>
  </si>
  <si>
    <t xml:space="preserve">Compensation Step Eligible for Next Step</t>
  </si>
  <si>
    <t xml:space="preserve">The Employee is eligible to proceed to the next compensation step in their progression.</t>
  </si>
  <si>
    <t xml:space="preserve">Compensation Step End Date</t>
  </si>
  <si>
    <t xml:space="preserve">The date the Employee's current compensation step will end.</t>
  </si>
  <si>
    <t xml:space="preserve">Competencies Section</t>
  </si>
  <si>
    <t xml:space="preserve">Returns True when the user has access to the Competencies Section.</t>
  </si>
  <si>
    <t xml:space="preserve">Competency Rating- Most Recent</t>
  </si>
  <si>
    <t xml:space="preserve">The competency rating for the most recent performance review with a review period start date on or before today (reviews with no Overall section and without ratings enabled are excluded). The performance review may be in progress or completed and viewable by the processing worker.</t>
  </si>
  <si>
    <t xml:space="preserve">Competency Skills</t>
  </si>
  <si>
    <t xml:space="preserve">The active and archived Competencies for the worker. Contains the competency only, not the skill level.</t>
  </si>
  <si>
    <t xml:space="preserve">Competency Skills for Scorecard (Singular Prompt)</t>
  </si>
  <si>
    <t xml:space="preserve">Prompts the user at run time for one  Competency skill.</t>
  </si>
  <si>
    <t xml:space="preserve">Competitive Market Target Benchmark - Currency</t>
  </si>
  <si>
    <t xml:space="preserve">Returns the currency for the employee's competitive market target.</t>
  </si>
  <si>
    <t xml:space="preserve">Complete Phone Number</t>
  </si>
  <si>
    <t xml:space="preserve">The complete phone number for the candidate, including the Country Phone Code and Extension if applicable.</t>
  </si>
  <si>
    <t xml:space="preserve">Completed Flex Teams</t>
  </si>
  <si>
    <t xml:space="preserve">Completed flex teams that the flex team Worker is an approved member of.</t>
  </si>
  <si>
    <t xml:space="preserve">Completed Onboarding</t>
  </si>
  <si>
    <t xml:space="preserve">True if worker has completed the onboarding stages.</t>
  </si>
  <si>
    <t xml:space="preserve">Returns Project Tasks that have been marked on the Project Plan as 100% complete.   These are for tasks directly assigned to the worker on the Project Plan.  Note that this CRF exposes the Project Tasks NOT the Project Plan Tasks.</t>
  </si>
  <si>
    <t xml:space="preserve">Completed Time Off by Date and Type</t>
  </si>
  <si>
    <t xml:space="preserve">Contains time off line item details completed for an employee by date and type.</t>
  </si>
  <si>
    <t xml:space="preserve">Time Off Type [Nonsingular]</t>
  </si>
  <si>
    <t xml:space="preserve">Compliance Rate</t>
  </si>
  <si>
    <t xml:space="preserve">The timesheet reporting compliance rate calculated from the number of periods that the worker has reported approved time divided by total number of periods determined from the date range passed to the report as parameters</t>
  </si>
  <si>
    <t xml:space="preserve">Return all Connect Records for the Subscriber.</t>
  </si>
  <si>
    <t xml:space="preserve">Returns the Worker Contact Connection for the Worker</t>
  </si>
  <si>
    <t xml:space="preserve">Constructed Title for Primary Appointment</t>
  </si>
  <si>
    <t xml:space="preserve">Returns the constructed title text for the Worker's primary Academic Appointment. The primary flag is located on the appointment's Identifier.</t>
  </si>
  <si>
    <t xml:space="preserve">Identifies the contingent worker and allows you to drill into the details and access related actions.  Will be blank if worker is not a contingent worker.</t>
  </si>
  <si>
    <t xml:space="preserve">Contingent Worker Contract End Date</t>
  </si>
  <si>
    <t xml:space="preserve">The effective end date of the ~contingent worker’s~ contract. If the contract end date is removed, then this report field returns a blank value.</t>
  </si>
  <si>
    <t xml:space="preserve">Contingent Worker Converted to Employee</t>
  </si>
  <si>
    <t xml:space="preserve">Returns employees who were previously contingent workers.</t>
  </si>
  <si>
    <t xml:space="preserve">Contingent Worker Supplier</t>
  </si>
  <si>
    <t xml:space="preserve">Supplier for a contingent worker</t>
  </si>
  <si>
    <t xml:space="preserve">Contingent Worker Types (Benefit Jobs)</t>
  </si>
  <si>
    <t xml:space="preserve">Contingent Worker Types based on benefit jobs.</t>
  </si>
  <si>
    <t xml:space="preserve">Contract Assignment Details</t>
  </si>
  <si>
    <t xml:space="preserve">The contract assignment details for the contingent worker's primary position.</t>
  </si>
  <si>
    <t xml:space="preserve">Contract End Date</t>
  </si>
  <si>
    <t xml:space="preserve">The effective end date of the ~contingent worker’s~ contract. If the contract end date is removed, then this report field continues returning the most recent contract end date.</t>
  </si>
  <si>
    <t xml:space="preserve">Contract Pay Rate for Primary Position</t>
  </si>
  <si>
    <t xml:space="preserve">The contract pay rate for the contingent worker's primary position.</t>
  </si>
  <si>
    <t xml:space="preserve">Conversion Position Start Date from Hire Event</t>
  </si>
  <si>
    <t xml:space="preserve">Returns the Conversion Position Start Date that was populated when worker's hiring event was created.</t>
  </si>
  <si>
    <t xml:space="preserve">Cost Center - Manager</t>
  </si>
  <si>
    <t xml:space="preserve">The manager of the cost center for the worker's primary position.</t>
  </si>
  <si>
    <t xml:space="preserve">Cost Center - Organization Subtype</t>
  </si>
  <si>
    <t xml:space="preserve">The subtype of the cost center for the worker's primary position.</t>
  </si>
  <si>
    <t xml:space="preserve">Cost Center - Organization Top</t>
  </si>
  <si>
    <t xml:space="preserve">The top level organization of the cost center for the worker's primary position.</t>
  </si>
  <si>
    <t xml:space="preserve">Cost Center - Primary Locations</t>
  </si>
  <si>
    <t xml:space="preserve">The primary location of the Cost Center for the worker's primary position.</t>
  </si>
  <si>
    <t xml:space="preserve">Cost Center - Superior</t>
  </si>
  <si>
    <t xml:space="preserve">The immediate superior cost center for the worker's primary position.</t>
  </si>
  <si>
    <t xml:space="preserve">Cost Center for Requester</t>
  </si>
  <si>
    <t xml:space="preserve">The cost center assigned to the worker's position. This value populates on requisitions based on the selected worker in the Requester prompt. This field enables you to track spend by cost center.</t>
  </si>
  <si>
    <t xml:space="preserve">Cost Center Hierarchies (Benefit Jobs)</t>
  </si>
  <si>
    <t xml:space="preserve">Returns the cost center heirarchies for worker based on benefit jobs.</t>
  </si>
  <si>
    <t xml:space="preserve">The cost center hierarchy for the worker's primary position.</t>
  </si>
  <si>
    <t xml:space="preserve">Cost Center Hierarchy (Benefits)</t>
  </si>
  <si>
    <t xml:space="preserve">Returns the cost center hierarchy for the worker.</t>
  </si>
  <si>
    <t xml:space="preserve">Cost Center Hierarchy Viewable By Everyone</t>
  </si>
  <si>
    <t xml:space="preserve">The cost center hierarchy for the worker's primary position.  Only returns cost center hierarchies whose visibility is set to 'Everyone'.</t>
  </si>
  <si>
    <t xml:space="preserve">This CRF is setup to receive a Cost Center or Cost Center Hierarchy Organization as input and return a Cost Center or Cost Center Hierarchy Business Object so that it can be used as a control field in a composite report.</t>
  </si>
  <si>
    <t xml:space="preserve">Cost Centers</t>
  </si>
  <si>
    <t xml:space="preserve">Contains the cost centers for the worker's primary position.</t>
  </si>
  <si>
    <t xml:space="preserve">Cost Centers Viewable by Everyone</t>
  </si>
  <si>
    <t xml:space="preserve">Contains the cost centers for the worker's primary position.  Only returns cost centers whose visibility is set to 'Everyone'.</t>
  </si>
  <si>
    <t xml:space="preserve">Cost To Replace</t>
  </si>
  <si>
    <t xml:space="preserve">Returns the total calculated cost to replace the worker based on worker's position of hierarchy in organization, length of service, and if the worker is a manager. The cost to replace calculation for manager is: Salary + (Salary/hierarchy count) + (.02 * Salary * 12). For non-managers, the calculation is: Half Salary + (Salary/hierarchy count)+(.02 * Salary * 12). If the ~employee’s~ length of service is less than a year the calculation uses the length of service in months instead of 12.</t>
  </si>
  <si>
    <t xml:space="preserve">Costing Allocation Exists for Worker</t>
  </si>
  <si>
    <t xml:space="preserve">This CRF returns True if a Costing Allocation exists for a Worker.</t>
  </si>
  <si>
    <t xml:space="preserve">Count of Children Enrolled in Medicare Part A</t>
  </si>
  <si>
    <t xml:space="preserve">The count of children enrolled in Medicare Part A. A child is enrolled if the effective date, where the report field is used, is on or after the Part A effective date and on or before any existing Part A termination date.</t>
  </si>
  <si>
    <t xml:space="preserve">Count of dependents enrolled in Medicare Part D EGWP</t>
  </si>
  <si>
    <t xml:space="preserve">Count of dependents enrolled in Medicare Part D EGWP as of the effective date. A dependent is enrolled if the enrollment date, for the most recently entered EGWP data, is on or before the effective date, and if any existing disenrollment date is after the effective date.</t>
  </si>
  <si>
    <t xml:space="preserve">Count of family members enrolled in Medicare Part D EGWP</t>
  </si>
  <si>
    <t xml:space="preserve">The total number of family members who are currently enrolled in EGWP as of the effective date. The worker and spouse are included if they are enrolled in EGWP. A family member is enrolled if the enrollment date, for the most recently entered EGWP data, is on or before the effective date, and if any existing disenrollment date is after the effective date.</t>
  </si>
  <si>
    <t xml:space="preserve">Countries</t>
  </si>
  <si>
    <t xml:space="preserve">The countries for the effective positions of the worker.</t>
  </si>
  <si>
    <t xml:space="preserve">Country / Postal Code</t>
  </si>
  <si>
    <t xml:space="preserve">The 2 digit country code and postal code with a forward slash separating them for a candidate.  An example in the United States for the Pleasanton postal code would be "US / 94588".  For an external candidate, these values will come from the primary home address that is specified.  For an internal candidate, these values will come from the primary job's work location.</t>
  </si>
  <si>
    <t xml:space="preserve">Country of Birth (Locale Sensitive)</t>
  </si>
  <si>
    <t xml:space="preserve">Indicates the country of birth for the person. Returns value based on the localization setting for Worker</t>
  </si>
  <si>
    <t xml:space="preserve">Country Specific Section 1 - Field 1</t>
  </si>
  <si>
    <t xml:space="preserve">The Country Specific Section 1 - Field 1  of the worker.</t>
  </si>
  <si>
    <t xml:space="preserve">Country Specific Section 1 - Field 1  (Locale Sensitive)</t>
  </si>
  <si>
    <t xml:space="preserve">The Country Specific Section 1 - Field 1 of the worker. Returns value based on the localization setting for worker.</t>
  </si>
  <si>
    <t xml:space="preserve">Country Specific Section 1 - Field 2</t>
  </si>
  <si>
    <t xml:space="preserve">The Country Specific Section 1 - Field 2  of the worker.</t>
  </si>
  <si>
    <t xml:space="preserve">Country Specific Section 1 - Field 2  (Locale Sensitive)</t>
  </si>
  <si>
    <t xml:space="preserve">The Country Specific Section 1 - Field 2 of the worker. Returns value based on the localization setting for worker.</t>
  </si>
  <si>
    <t xml:space="preserve">Country Specific Section 1 - Field 3</t>
  </si>
  <si>
    <t xml:space="preserve">The Country Specific Section 1 - Field 3  of the worker.</t>
  </si>
  <si>
    <t xml:space="preserve">Country Specific Section 1 - Field 3  (Locale Sensitive)</t>
  </si>
  <si>
    <t xml:space="preserve">The Country Specific Section 1 - Field 3 of the worker. Returns value based on the localization setting for worker.</t>
  </si>
  <si>
    <t xml:space="preserve">Country Specific Section 2 - Field 1</t>
  </si>
  <si>
    <t xml:space="preserve">The Country Specific Section 2 - Field 1  of the worker.</t>
  </si>
  <si>
    <t xml:space="preserve">Country Specific Section 2 - Field 1  (Locale Sensitive)</t>
  </si>
  <si>
    <t xml:space="preserve">The Country Specific Section 2 - Field 1 of the worker. Returns value based on the localization setting for worker.</t>
  </si>
  <si>
    <t xml:space="preserve">Country Specific Section 2 - Field 2</t>
  </si>
  <si>
    <t xml:space="preserve">The Country Specific Section 2 - Field 2  of the worker.</t>
  </si>
  <si>
    <t xml:space="preserve">Country Specific Section 2 - Field 2  (Locale Sensitive)</t>
  </si>
  <si>
    <t xml:space="preserve">The Country Specific Section 2 - Field 2 of the worker. Returns value based on the localization setting for worker.</t>
  </si>
  <si>
    <t xml:space="preserve">Country Specific Section 2 - Field 3</t>
  </si>
  <si>
    <t xml:space="preserve">The Country Specific Section 2 - Field 3  of the worker.</t>
  </si>
  <si>
    <t xml:space="preserve">Country Specific Section 2 - Field 3  (Locale Sensitive)</t>
  </si>
  <si>
    <t xml:space="preserve">The Country Specific Section 2 - Field 3 of the worker. Returns value based on the localization setting for worker.</t>
  </si>
  <si>
    <t xml:space="preserve">Country Specific Section 3 - Field 1</t>
  </si>
  <si>
    <t xml:space="preserve">The Country Specific Section 3 - Field 1  of the worker.</t>
  </si>
  <si>
    <t xml:space="preserve">Country Specific Section 3 - Field 1  (Locale Sensitive)</t>
  </si>
  <si>
    <t xml:space="preserve">The Country Specific Section 3 - Field 1 of the worker. Returns value based on the localization setting for worker.</t>
  </si>
  <si>
    <t xml:space="preserve">Country Specific Section 3 - Field 2</t>
  </si>
  <si>
    <t xml:space="preserve">The Country Specific Section 3 - Field 2  of the worker.</t>
  </si>
  <si>
    <t xml:space="preserve">Country Specific Section 3 - Field 2  (Locale Sensitive)</t>
  </si>
  <si>
    <t xml:space="preserve">The Country Specific Section 3 - Field 2 of the worker. Returns value based on the localization setting for worker.</t>
  </si>
  <si>
    <t xml:space="preserve">Country Specific Section 3 - Field 3</t>
  </si>
  <si>
    <t xml:space="preserve">The Country Specific Section 3 - Field 3  of the worker.</t>
  </si>
  <si>
    <t xml:space="preserve">Country Specific Section 3 - Field 3  (Locale Sensitive)</t>
  </si>
  <si>
    <t xml:space="preserve">The Country Specific Section 3 - Field 3 of the worker. Returns value based on the localization setting for worker.</t>
  </si>
  <si>
    <t xml:space="preserve">Coverage Credit</t>
  </si>
  <si>
    <t xml:space="preserve">Coverage Credits are awarded when an employee is eligible for offerings in a given coverage type.</t>
  </si>
  <si>
    <t xml:space="preserve">CR EMI Worker In Progress Onboarding</t>
  </si>
  <si>
    <t xml:space="preserve">CR EMI Worker Onboarding Process in Progress Part of Change Job or Add Job</t>
  </si>
  <si>
    <t xml:space="preserve">CR EMI Worker Onboarding Process in Progress Part of Hire or Standalone</t>
  </si>
  <si>
    <t xml:space="preserve">CR ESI Worker Job Application for Hire</t>
  </si>
  <si>
    <t xml:space="preserve">CR FD Worker Formatted Last Base Pay Increase Date</t>
  </si>
  <si>
    <t xml:space="preserve">CR FN Worker FTE Percent Formatted</t>
  </si>
  <si>
    <t xml:space="preserve">CR FN Worker Last Base Pay Increase Amount</t>
  </si>
  <si>
    <t xml:space="preserve">CR INT5011 TF Time Type is Full Time</t>
  </si>
  <si>
    <t xml:space="preserve">CR INT5011 TF Time Type is Part Time</t>
  </si>
  <si>
    <t xml:space="preserve">CR LRV Worker is HR Administrator</t>
  </si>
  <si>
    <t xml:space="preserve">CR LRV Worker Last Base Pay Amount</t>
  </si>
  <si>
    <t xml:space="preserve">CR LRV Worker Last Base Pay Increase Reason</t>
  </si>
  <si>
    <t xml:space="preserve">CR LRV Worker Offer One-Time Payment Amount</t>
  </si>
  <si>
    <t xml:space="preserve">CR LRV Worker Proposed Base Pay Equals Current Base Pay on Most Recently Completed Change Job/Request Comp Change/LOA</t>
  </si>
  <si>
    <t xml:space="preserve">CR LRV Worker Workday Account Locked, Disabled or Expired</t>
  </si>
  <si>
    <t xml:space="preserve">CR LVD Worker Age as of Year End (Based on Event Date)</t>
  </si>
  <si>
    <t xml:space="preserve">CR TF Worker Credit Card Transaction Administrator</t>
  </si>
  <si>
    <t xml:space="preserve">CR TF Worker Role Assignments Exist</t>
  </si>
  <si>
    <t xml:space="preserve">CR TF Worker User-Based Security Group Assignments Exist</t>
  </si>
  <si>
    <t xml:space="preserve">CRCF INT5002 TF FL BOG COUNTY_OF_RES Is Not Empty</t>
  </si>
  <si>
    <t xml:space="preserve">The creditable service types and associated tenure assigned to the employee.</t>
  </si>
  <si>
    <t xml:space="preserve">The type of creditor garnishment.</t>
  </si>
  <si>
    <t xml:space="preserve">Critical Skills</t>
  </si>
  <si>
    <t xml:space="preserve">Indicates which skills are critical for the Worker.</t>
  </si>
  <si>
    <t xml:space="preserve">CT INT5015_INT5016 ST Middle Initial</t>
  </si>
  <si>
    <t xml:space="preserve">Currency for Primary Position</t>
  </si>
  <si>
    <t xml:space="preserve">The currency for the contingent worker's primary position.</t>
  </si>
  <si>
    <t xml:space="preserve">Current Assigned Projects within Date Range</t>
  </si>
  <si>
    <t xml:space="preserve">The project assignments for the ~worker ~. This report field only returns the project assignments within the selected date range, it doesn’t return the project task assignments or the time logged by the worker.</t>
  </si>
  <si>
    <t xml:space="preserve">Current Benefit Elections</t>
  </si>
  <si>
    <t xml:space="preserve">Contains all benefit elections that an employee is currently enrolled in - which includes Retirement Savings, Health Care, Health Savings Account, Spending Account, and Insurance.</t>
  </si>
  <si>
    <t xml:space="preserve">Current Competencies</t>
  </si>
  <si>
    <t xml:space="preserve">Contains the current completed Competencies for a Worker.</t>
  </si>
  <si>
    <t xml:space="preserve">Current Delegations</t>
  </si>
  <si>
    <t xml:space="preserve">The current delegations of inbox tasks defined for the Worker.</t>
  </si>
  <si>
    <t xml:space="preserve">An offering in which the employee has selected to participate.</t>
  </si>
  <si>
    <t xml:space="preserve">Current Industry</t>
  </si>
  <si>
    <t xml:space="preserve">Returns all the industries where the candidate is currently working based on their most recent job application or Prospect.</t>
  </si>
  <si>
    <t xml:space="preserve">Current Industry as Text</t>
  </si>
  <si>
    <t xml:space="preserve">Internal use only. Returns all the industries where the candidate is currently working based on their most recent job application or prospect. Used for text-based searches only and isn't available in Report Writer.</t>
  </si>
  <si>
    <t xml:space="preserve">Current Memberships - Committees</t>
  </si>
  <si>
    <t xml:space="preserve">The committees the person is a member of now. Memberships to private committees aren't included.</t>
  </si>
  <si>
    <t xml:space="preserve">Current Mentee Count</t>
  </si>
  <si>
    <t xml:space="preserve">Returns the Current Mentee Count</t>
  </si>
  <si>
    <t xml:space="preserve">Current Mentor Count</t>
  </si>
  <si>
    <t xml:space="preserve">Returns the Current Mentor count.</t>
  </si>
  <si>
    <t xml:space="preserve">Current Payment Year</t>
  </si>
  <si>
    <t xml:space="preserve">Year from Payment Date of Current Period of Regular Pay Group Detail for the worker</t>
  </si>
  <si>
    <t xml:space="preserve">Current Pending Assignments for Projects within Date Range</t>
  </si>
  <si>
    <t xml:space="preserve">A list of projects with workers whose approval as members of the resource plan is pending. Only includes projects within your specified date range.</t>
  </si>
  <si>
    <t xml:space="preserve">Current Period</t>
  </si>
  <si>
    <t xml:space="preserve">Current Period of Regular Pay Group Detail for the worker</t>
  </si>
  <si>
    <t xml:space="preserve">Current Period Number</t>
  </si>
  <si>
    <t xml:space="preserve">Period Number based on Payment Date in Period Schedule of Regular Pay Group Detail for the worker</t>
  </si>
  <si>
    <t xml:space="preserve">Current Projects Worker is a member within Resource Plan Date Range</t>
  </si>
  <si>
    <t xml:space="preserve">The projects the worker is currently assigned to on the resource plan. Compares the resource plan dates to the report parameter dates. This report field only includes the projects that have resource plan dates within the report parameters. This report field doesn’t evaluate project task assignments or time logged by the worker.</t>
  </si>
  <si>
    <t xml:space="preserve">Current Referral Candidate Owner</t>
  </si>
  <si>
    <t xml:space="preserve">The worker who currently owns the referral candidate.</t>
  </si>
  <si>
    <t xml:space="preserve">Current Session has Access Restriction</t>
  </si>
  <si>
    <t xml:space="preserve">Returns true if your current session includes an access restriction.</t>
  </si>
  <si>
    <t xml:space="preserve">Current Work Assignment Versions</t>
  </si>
  <si>
    <t xml:space="preserve">The current work assignment versions for the worker.</t>
  </si>
  <si>
    <t xml:space="preserve">Current Work Assignments</t>
  </si>
  <si>
    <t xml:space="preserve">Current Work Assignment for Worker</t>
  </si>
  <si>
    <t xml:space="preserve">The Work Experience Types for the Worker.  Search only.</t>
  </si>
  <si>
    <t xml:space="preserve">Worker Bank Accounts  tied to the current Payment Election Enrollment</t>
  </si>
  <si>
    <t xml:space="preserve">Current Worker Record</t>
  </si>
  <si>
    <t xml:space="preserve">Returns true if the context worker instance is the current worker record for the person. For example, a person may have historically had multiple worker roles such as employee and contingent worker, but only one can be active at a time.</t>
  </si>
  <si>
    <t xml:space="preserve">Currently Active</t>
  </si>
  <si>
    <t xml:space="preserve">Indicates whether the worker is active as of the current date.  Returns false if the worker is terminated or on certain types of leave.</t>
  </si>
  <si>
    <t xml:space="preserve">Custom Length of Service</t>
  </si>
  <si>
    <t xml:space="preserve">The length of service for the worker. You can select formatting and add or subtract the number of days.</t>
  </si>
  <si>
    <t xml:space="preserve">Service Length Type</t>
  </si>
  <si>
    <t xml:space="preserve">This CRF is setup to receive a Custom Organization 02 or Custom Organization 02 Hierarchy Organization as input and return a Custom Organization 02 or Custom Organization 02 Hierarchy Business Object so that it can be used as a control field in a composite report.</t>
  </si>
  <si>
    <t xml:space="preserve">This CRF is setup to receive a Custom Organization 03 or Custom Organization 03 Hierarchy Organization as input and return a Custom Organization 03 or Custom Organization 03 Hierarchy Business Object so that it can be used as a control field in a composite report.</t>
  </si>
  <si>
    <t xml:space="preserve">This CRF is setup to receive a Custom Organization 04 or Custom Organization 04 Hierarchy Organization as input and return a Custom Organization 04 or Custom Organization 04 Hierarchy Business Object so that it can be used as a control field in a composite report.</t>
  </si>
  <si>
    <t xml:space="preserve">This CRF is setup to receive a Custom Organization 05 or Custom Organization 05 Hierarchy Organization as input and return a Custom Organization 05 or Custom Organization 05 Hierarchy Business Object so that it can be used as a control field in a composite report.</t>
  </si>
  <si>
    <t xml:space="preserve">This CRF is setup to receive a Custom Organization 06 or Custom Organization 06 Hierarchy Organization as input and return a Custom Organization 06 or Custom Organization 06 Hierarchy Business Object so that it can be used as a control field in a composite report.</t>
  </si>
  <si>
    <t xml:space="preserve">This CRF is setup to receive a Custom Organization 07 or Custom Organization 07 Hierarchy Organization as input and return a Custom Organization 07 or Custom Organization 07 Hierarchy Business Object so that it can be used as a control field in a composite report.</t>
  </si>
  <si>
    <t xml:space="preserve">This CRF is setup to receive a Custom Organization 08 or Custom Organization 08 Hierarchy Organization as input and return a Custom Organization 08 or Custom Organization 08 Hierarchy Business Object so that it can be used as a control field in a composite report.</t>
  </si>
  <si>
    <t xml:space="preserve">This CRF is setup to receive a Custom Organization 09 or Custom Organization 09 Hierarchy Organization as input and return a Custom Organization 09 or Custom Organization 09 Hierarchy Business Object so that it can be used as a control field in a composite report.</t>
  </si>
  <si>
    <t xml:space="preserve">This CRF is setup to receive a Custom Organization 10 or Custom Organization 10 Hierarchy Organization as input and return a Custom Organization 10 or Custom Organization 10 Hierarchy Business Object so that it can be used as a control field in a composite report.</t>
  </si>
  <si>
    <t xml:space="preserve">Custom Organization by Type</t>
  </si>
  <si>
    <t xml:space="preserve">The custom organization for the worker's primary position.</t>
  </si>
  <si>
    <t xml:space="preserve">Show Custom Organization Type</t>
  </si>
  <si>
    <t xml:space="preserve">Custom Organizations for Faceted Search</t>
  </si>
  <si>
    <t xml:space="preserve">Custom Time in Job Profile</t>
  </si>
  <si>
    <t xml:space="preserve">The time in the job profile for the worker. You can select formatting and add or subtract the number of days.</t>
  </si>
  <si>
    <t xml:space="preserve">Custom Time in Position</t>
  </si>
  <si>
    <t xml:space="preserve">The time in position for the worker. You can select formatting and add or subtract the number of days.</t>
  </si>
  <si>
    <t xml:space="preserve">Date Added to Talent Pool</t>
  </si>
  <si>
    <t xml:space="preserve">Returns the date that the worker was added to a static talent pool.  This prompts the user for a talent pool parameter.</t>
  </si>
  <si>
    <t xml:space="preserve">Date Entered Workforce</t>
  </si>
  <si>
    <t xml:space="preserve">Returns the date the worker first entered the workforce for any employer. May impact statutory leave entitlements.</t>
  </si>
  <si>
    <t xml:space="preserve">Date of Birth (Locale Sensitive)</t>
  </si>
  <si>
    <t xml:space="preserve">Returns the Date of Birth for the person. Returns value based on the localization setting for Worker</t>
  </si>
  <si>
    <t xml:space="preserve">Date of Birth - Formatted (YYYY-MM-DD)</t>
  </si>
  <si>
    <t xml:space="preserve">Date of Death</t>
  </si>
  <si>
    <t xml:space="preserve">The date of death of the worker</t>
  </si>
  <si>
    <t xml:space="preserve">Date of Death Age</t>
  </si>
  <si>
    <t xml:space="preserve">Age of the worker at their date of death.</t>
  </si>
  <si>
    <t xml:space="preserve">Date State Pension Age is Reached</t>
  </si>
  <si>
    <t xml:space="preserve">The date a worker reaches the state pension payment age in the United Kingdom.</t>
  </si>
  <si>
    <t xml:space="preserve">Day from Date of Birth</t>
  </si>
  <si>
    <t xml:space="preserve">Get Day Part from Worker Date of Birth.</t>
  </si>
  <si>
    <t xml:space="preserve">Day from P45 Leaver Issue Date</t>
  </si>
  <si>
    <t xml:space="preserve">Returns Day from P45 Leaver Issue Date for Worker.</t>
  </si>
  <si>
    <t xml:space="preserve">Day from Termination Date</t>
  </si>
  <si>
    <t xml:space="preserve">Get Day from Termination Date for Worker.</t>
  </si>
  <si>
    <t xml:space="preserve">Returns the days of the week the worker works from home.</t>
  </si>
  <si>
    <t xml:space="preserve">Days Unemployed</t>
  </si>
  <si>
    <t xml:space="preserve">Returns the number of days the worker was unemployed since first entering the workforce. Used only for China. Impacts statutory leave entitlement.</t>
  </si>
  <si>
    <t xml:space="preserve">Deceased</t>
  </si>
  <si>
    <t xml:space="preserve">Returns 'true' if the date of death is entered</t>
  </si>
  <si>
    <t xml:space="preserve">Default Base Standard Cost Rate</t>
  </si>
  <si>
    <t xml:space="preserve">The hourly default standard cost rate for workerfrom the standard cost rate sheet.</t>
  </si>
  <si>
    <t xml:space="preserve">The default payment terms for an independent contractor from the Contract Contingent Worker Event.</t>
  </si>
  <si>
    <t xml:space="preserve">Default Weekly Hours (Benefit Jobs)</t>
  </si>
  <si>
    <t xml:space="preserve">The standard hours for the worker's benefit jobs.  Usually this is equal to the location standard hours but can be overridden at the position level.  This is used in the calculation for Full Time Equivalent: Scheduled Weekly Hours / Standard Weekly Hours. Use for Benefits Eligibility.</t>
  </si>
  <si>
    <t xml:space="preserve">Default Weekly Hours (Benefits)</t>
  </si>
  <si>
    <t xml:space="preserve">The standard hours for the worker's primary position.  Usually this is equal to the location standard hours but can be overridden at the position level.  This is used in the calculation for Full Time Equivalent: Scheduled Weekly Hours / Standard Weekly Hours. Used in Benefits Eligibility.</t>
  </si>
  <si>
    <t xml:space="preserve">Degrees as Text</t>
  </si>
  <si>
    <t xml:space="preserve">Degrees for Committee Candidate</t>
  </si>
  <si>
    <t xml:space="preserve">Returns collegiate degree(s), if they exist, for a committee member candidate.</t>
  </si>
  <si>
    <t xml:space="preserve">Delegation Assignments</t>
  </si>
  <si>
    <t xml:space="preserve">The delegations assigned to the worker.</t>
  </si>
  <si>
    <t xml:space="preserve">Dependent events for this worker. Created by the Dependent Event business process or from a benefit enrollment event.</t>
  </si>
  <si>
    <t xml:space="preserve">Dependents</t>
  </si>
  <si>
    <t xml:space="preserve">Dependents for the worker. Includes first and last name.</t>
  </si>
  <si>
    <t xml:space="preserve">Dependents that Use Tobacco</t>
  </si>
  <si>
    <t xml:space="preserve">Returns list of worker's dependents who are tobacco users.</t>
  </si>
  <si>
    <t xml:space="preserve">Development Item Section</t>
  </si>
  <si>
    <t xml:space="preserve">Returns True when the user has access to the Development Item Section.</t>
  </si>
  <si>
    <t xml:space="preserve">Development Items</t>
  </si>
  <si>
    <t xml:space="preserve">Contains the development items for the worker.  This includes both in progress and completed development items, and does not include development items that have been removed (deleted).</t>
  </si>
  <si>
    <t xml:space="preserve">Development Items (Include Delete and Not Applicable)</t>
  </si>
  <si>
    <t xml:space="preserve">Returns ~ Development Items ~ for a worker, including deleted and not applicable development items.</t>
  </si>
  <si>
    <t xml:space="preserve">Development Items In Progress</t>
  </si>
  <si>
    <t xml:space="preserve">Contains the development items for the worker.  This includes only progress development items, and does not include development items that have been removed (deleted).</t>
  </si>
  <si>
    <t xml:space="preserve">Development Plans in Progress</t>
  </si>
  <si>
    <t xml:space="preserve">The development plans that are in progress for a worker.</t>
  </si>
  <si>
    <t xml:space="preserve">Returns the Difficulty to fill value of the worker's primary position.</t>
  </si>
  <si>
    <t xml:space="preserve">The digital accounts for a payable entity. You can use this field to drill into the details and access the related actions menu.</t>
  </si>
  <si>
    <t xml:space="preserve">The plan Dimension.</t>
  </si>
  <si>
    <t xml:space="preserve">Dimension Hierarchy</t>
  </si>
  <si>
    <t xml:space="preserve">The valid plan Dimension Hierarchies for top level hierarchy parameter.</t>
  </si>
  <si>
    <t xml:space="preserve">Top Level Hierarchy for Plan Dimension</t>
  </si>
  <si>
    <t xml:space="preserve">Dimension Hierarchy for Adaptive Planning Integration</t>
  </si>
  <si>
    <t xml:space="preserve">The plan dimension hierarchies for the plan dimension, based on the top level hierarchy parameter. This report field doesn't return data if the plan dimension is the top level hierarchy.</t>
  </si>
  <si>
    <t xml:space="preserve">Dimension Hierarchy Reference ID</t>
  </si>
  <si>
    <t xml:space="preserve">Returns the Reference ID for the Plan Dimension Hierarchy.</t>
  </si>
  <si>
    <t xml:space="preserve">Dimension Hierarchy Reference ID for Adaptive Planning Integration</t>
  </si>
  <si>
    <t xml:space="preserve">The reference ID for the plan dimension hierarchy. This report field doesn't return data if the plan dimension is the top level hierarchy.</t>
  </si>
  <si>
    <t xml:space="preserve">Dimension Reference ID</t>
  </si>
  <si>
    <t xml:space="preserve">Returns the Reference ID for the Plan Dimension.</t>
  </si>
  <si>
    <t xml:space="preserve">Dimension Reference ID for Adaptive Planning Integration</t>
  </si>
  <si>
    <t xml:space="preserve">Dimension Type</t>
  </si>
  <si>
    <t xml:space="preserve">The Dimension Type.</t>
  </si>
  <si>
    <t xml:space="preserve">Direct Reports Include Contingent Workers</t>
  </si>
  <si>
    <t xml:space="preserve">Returns true if a manager's direct reports include any active contingent workers. This doesn't include positions inherited by the manager.</t>
  </si>
  <si>
    <t xml:space="preserve">Disability (Locale Sensitive and Country Securable)</t>
  </si>
  <si>
    <t xml:space="preserve">The disability of a worker. The value can only be active, and can be specific to a country.</t>
  </si>
  <si>
    <t xml:space="preserve">Disability (Locale Sensitive)</t>
  </si>
  <si>
    <t xml:space="preserve">The disability of the worker. The value can only be active and it can't be secured by country.</t>
  </si>
  <si>
    <t xml:space="preserve">Disability - Active and Inactive (Locale Sensitive and Country Securable)</t>
  </si>
  <si>
    <t xml:space="preserve">The disability of the worker. Possible values can be active and inactive, and can be specific to a country.</t>
  </si>
  <si>
    <t xml:space="preserve">Disability - Active and Inactive (Locale Sensitive)</t>
  </si>
  <si>
    <t xml:space="preserve">The disability of the worker. Possible values can be active and inactive, and it can't be secured by country.</t>
  </si>
  <si>
    <t xml:space="preserve">Disability for Scorecard (Prompt)</t>
  </si>
  <si>
    <t xml:space="preserve">Returns employees in an organization that are disabled either by Self-Identification OR Disability CRF.</t>
  </si>
  <si>
    <t xml:space="preserve">Both</t>
  </si>
  <si>
    <t xml:space="preserve">Disability Statuses (Country Securable)</t>
  </si>
  <si>
    <t xml:space="preserve">The disability status for the worker.</t>
  </si>
  <si>
    <t xml:space="preserve">Disabled Veteran Leave Date</t>
  </si>
  <si>
    <t xml:space="preserve">The Disabled Veteran Leave Date for the person.</t>
  </si>
  <si>
    <t xml:space="preserve">Disabled Veteran Leave Date (Locale Sensitive)</t>
  </si>
  <si>
    <t xml:space="preserve">The Disabled Veteran Leave Date for the person. The value is based on the localization setting for worker.</t>
  </si>
  <si>
    <t xml:space="preserve">Disciplinary Actions in Progress</t>
  </si>
  <si>
    <t xml:space="preserve">The disciplinary actions that are in progress for a worker.</t>
  </si>
  <si>
    <t xml:space="preserve">Display Name for Employee Review</t>
  </si>
  <si>
    <t xml:space="preserve">The name of the worker in Reporting Name Display format as configured in the tenant. If the Reporting Name Display format isn’t configured, then Workday displays the name of the worker in General Name Display format.</t>
  </si>
  <si>
    <t xml:space="preserve">Return all Distribution Records for the Subscriber.</t>
  </si>
  <si>
    <t xml:space="preserve">Division Name</t>
  </si>
  <si>
    <t xml:space="preserve">Do Not Hire</t>
  </si>
  <si>
    <t xml:space="preserve">Returns true if the Candidate is marked Do Not Hire.</t>
  </si>
  <si>
    <t xml:space="preserve">Domestic Assignment Positions (As of Date)</t>
  </si>
  <si>
    <t xml:space="preserve">All domestic assignments for a worker as of the effective date.</t>
  </si>
  <si>
    <t xml:space="preserve">Domestic Partner could have Health Care coverage elsewhere</t>
  </si>
  <si>
    <t xml:space="preserve">This box is checked when the employee has indicated that the domestic partner is eligible for coverage through their own employer.</t>
  </si>
  <si>
    <t xml:space="preserve">Dues Paying Unions as of Period Start Date</t>
  </si>
  <si>
    <t xml:space="preserve">Returns the unions the worker is a dues paying member as of period start date.</t>
  </si>
  <si>
    <t xml:space="preserve">Dues Paying Unions as of Sub Period End Date</t>
  </si>
  <si>
    <t xml:space="preserve">Returns the unions the worker is dues paying member as of the Sub Period End Date, if Sub Period End Date is available; if not available it is as of the Period End Date.</t>
  </si>
  <si>
    <t xml:space="preserve">Duplicate Candidates</t>
  </si>
  <si>
    <t xml:space="preserve">The potential duplicate candidates for a candidate. For optimal performance, don't use this field in the candidate list grid or in calculated fields in custom reports.</t>
  </si>
  <si>
    <t xml:space="preserve">The potential duplicate candidates, pre-hires, Workers (Employee or Contingent Worker), Former Workers, Terminated Workers or retirees for a candidate. This report field excludes confidential candidates. Results are based on the time of the scheduled job and might not reflect the latest duplicates. You can only use this report field with the Duplicate Management Framework.</t>
  </si>
  <si>
    <t xml:space="preserve">Duplicates Found</t>
  </si>
  <si>
    <t xml:space="preserve">True if the candidate has potential duplicate candidates, Workers (Employee or Contingent Worker), Former Workers, Terminated Workers, or retirees for a prospect or job application. For optimal performance, don't use this field in the candidate list grid or in calculated fields in custom reports.</t>
  </si>
  <si>
    <t xml:space="preserve">Duplicates Found for the Candidate</t>
  </si>
  <si>
    <t xml:space="preserve">True if the candidate has potential duplicate candidates, pre-hires, Workers (Employee or Contingent Worker), Former Workers, Terminated Workers or retirees, regardless of whether you run the Find Duplicates report. This report field excludes confidential candidates. For optimal performance, don’t use this field in the Candidate List grid or in calculated fields in custom reports. You can only use this report field with the Duplicate Management Framework. Replaces the Duplicates Found report field on the External or Internal Candidate business object.</t>
  </si>
  <si>
    <t xml:space="preserve">Earliest Absence Date Manager</t>
  </si>
  <si>
    <t xml:space="preserve">Returns the formatted earliest upcoming absence date for the processing manager's team.</t>
  </si>
  <si>
    <t xml:space="preserve">People Experience</t>
  </si>
  <si>
    <t xml:space="preserve">Earliest Absence Date Team</t>
  </si>
  <si>
    <t xml:space="preserve">Returns the formatted earliest upcoming absence date for the processing worker's team.</t>
  </si>
  <si>
    <t xml:space="preserve">Earliest Appointment Date</t>
  </si>
  <si>
    <t xml:space="preserve">Returns the Track Start Date for the worker's first recorded Academic Appointment whether as an Affiliate or Worker.The value is the earliest Appointment Start Date for the Appointment Track or the Track Start Date(Override) when it exists.</t>
  </si>
  <si>
    <t xml:space="preserve">Earliest Hire Date in Location Timezone</t>
  </si>
  <si>
    <t xml:space="preserve">This field is used for this filter: Required Filter (Completed Hire Event Before User Current Moment)</t>
  </si>
  <si>
    <t xml:space="preserve">Earliest Project Plan Task Start Date Defined</t>
  </si>
  <si>
    <t xml:space="preserve">The earliest start date of all project plan tasks assigned to the worker matching the projects passed by the report parameters.  Excludes project plan tasks where the start date is not defined.</t>
  </si>
  <si>
    <t xml:space="preserve">Earliest Project Start Date</t>
  </si>
  <si>
    <t xml:space="preserve">The earliest start date of projects assigned to the worker matching the projects passed by the report parameters.</t>
  </si>
  <si>
    <t xml:space="preserve">Earliest Project Task or Project Start Date</t>
  </si>
  <si>
    <t xml:space="preserve">The earliest start date of all projects the worker is directly or indirectly assigned to. This report field returns the start date for the project task assigned to the worker. If there is no start date for the project task, the report field returns the project start date.</t>
  </si>
  <si>
    <t xml:space="preserve">Earliest Worker Event Effective Date by Worker and Establishment (RUP)</t>
  </si>
  <si>
    <t xml:space="preserve">The effective date of the earliest event of the worker in the selected establishment(s). Workday displays the completed date for the event when there is no effective date available. Worker event types are: Assign Organization, Assign Establishment, Employee Contract, Employee Contract Review, Hire, Move Worker, Position Change, Termination, Add Additional Job, Start International Assignment, End Additional Job, End International Assignment, Personal Information Change, and Legal Name Change.</t>
  </si>
  <si>
    <t xml:space="preserve">Establishment for RUP Report</t>
  </si>
  <si>
    <t xml:space="preserve">Edit Position History - All</t>
  </si>
  <si>
    <t xml:space="preserve">Contains all Edit Position transactions for the worker's primary position.</t>
  </si>
  <si>
    <t xml:space="preserve">Education Attachments</t>
  </si>
  <si>
    <t xml:space="preserve">All the attachments associated with the worker's education.</t>
  </si>
  <si>
    <t xml:space="preserve">Education Last Reviewed Date</t>
  </si>
  <si>
    <t xml:space="preserve">Education Section</t>
  </si>
  <si>
    <t xml:space="preserve">Returns True when the user has access to the Education Section.</t>
  </si>
  <si>
    <t xml:space="preserve">All EEO data records for an employee. For U.S. employment eligibility only.</t>
  </si>
  <si>
    <t xml:space="preserve">EEO External Payroll Data</t>
  </si>
  <si>
    <t xml:space="preserve">True if the EEO-1 Component 2 Employee Report derives pay band from external payroll data.</t>
  </si>
  <si>
    <t xml:space="preserve">Calendar Year</t>
  </si>
  <si>
    <t xml:space="preserve">EEO Race</t>
  </si>
  <si>
    <t xml:space="preserve">The worker's race based on U.S. EEO race categories. Configure values on the Maintain Ethnicities task first.</t>
  </si>
  <si>
    <t xml:space="preserve">EEO Race - Visual Survey</t>
  </si>
  <si>
    <t xml:space="preserve">The employee's race through the Race/Ethnicity field and the employer's visual survey based on U.S. EEO race categories. Configure values on the Maintain Ethnicities task first.</t>
  </si>
  <si>
    <t xml:space="preserve">EEO W-2 Box 1</t>
  </si>
  <si>
    <t xml:space="preserve">The amount reported in Box 1 for the latest completed W-2 or W-2C for Company and Calendar Year for an employee.</t>
  </si>
  <si>
    <t xml:space="preserve">EEO-1 Box 1 Federal Wages, Tips &amp; Other Compensation</t>
  </si>
  <si>
    <t xml:space="preserve">The amount reported in Box 1 for the latest completed W-2 or W-2C for Company and Calendar parms that is effective as of the Completed Moment parm. If no Completed Moment is passed in, the system current moment is used.</t>
  </si>
  <si>
    <t xml:space="preserve">The EEO-1 pay band for an employee specific to a company and calendar year.</t>
  </si>
  <si>
    <t xml:space="preserve">Effective Date for Assigned SSP Work Schedule Calendar</t>
  </si>
  <si>
    <t xml:space="preserve">The effective date of the worker's assigned SSP Work Schedule Calendar, on the selected date.</t>
  </si>
  <si>
    <t xml:space="preserve">Effective Positions in Scheduling Organizations</t>
  </si>
  <si>
    <t xml:space="preserve">Effective Positions of the Worker in the Scheduling Organizations.</t>
  </si>
  <si>
    <t xml:space="preserve">Scheduling Organizations or High-Level Scheduling Organizations</t>
  </si>
  <si>
    <t xml:space="preserve">EGWP Disenrollment Date</t>
  </si>
  <si>
    <t xml:space="preserve">Date on which the worker disenrolled from Medicare Part D EGWP as of Today.</t>
  </si>
  <si>
    <t xml:space="preserve">EGWP Enrollment Date</t>
  </si>
  <si>
    <t xml:space="preserve">Date on which the worker enrolled in Medicare Part D EGWP as of Today.</t>
  </si>
  <si>
    <t xml:space="preserve">Elected Medical Single Coverage Cost in Monthly Frequency</t>
  </si>
  <si>
    <t xml:space="preserve">The total cost of the worker's currently elected medical plan for single coverage.</t>
  </si>
  <si>
    <t xml:space="preserve">Elected Medical Single Coverage Cost in Provided Frequency</t>
  </si>
  <si>
    <t xml:space="preserve">The total cost of the worker's currently elected medical plan for single coverage in a designated frequency.</t>
  </si>
  <si>
    <t xml:space="preserve">Election Credit</t>
  </si>
  <si>
    <t xml:space="preserve">Election Credits are awarded when an employee chooses a specific offering.</t>
  </si>
  <si>
    <t xml:space="preserve">Eligible and Visible Time Off Plans for Worker as of Date</t>
  </si>
  <si>
    <t xml:space="preserve">The eligible time off plans for the worker as of the specified date, where the time off plan balance visibility is not equal to Never show balance and Hide Balance from Worker Self Service is false. You can use this report field in the Body Details field when configuring alerts for employees to receive notifications related to their own time off plan balance information.</t>
  </si>
  <si>
    <t xml:space="preserve">Contains the eligible earnings for a worker.</t>
  </si>
  <si>
    <t xml:space="preserve">Eligible for Benefits</t>
  </si>
  <si>
    <t xml:space="preserve">True if a worker is eligible for benefits as defined by the customer.</t>
  </si>
  <si>
    <t xml:space="preserve">Eligible for Medical</t>
  </si>
  <si>
    <t xml:space="preserve">Indicates if Worker is eligible to enroll in a medical plan as of a reporting date</t>
  </si>
  <si>
    <t xml:space="preserve">Eligible for Talent Highlights</t>
  </si>
  <si>
    <t xml:space="preserve">Returns if the worker is eligible for AI-generated talent highlights. Using this report field for a data source of over 10K workers may impact report performance.</t>
  </si>
  <si>
    <t xml:space="preserve">Eligible Activities for all worker's Positions.</t>
  </si>
  <si>
    <t xml:space="preserve">Eligible Time Off Plans for Worker</t>
  </si>
  <si>
    <t xml:space="preserve">The time off plans the worker is eligible for as of the current date.</t>
  </si>
  <si>
    <t xml:space="preserve">Time Off Plans for Time Off Balance Reporting</t>
  </si>
  <si>
    <t xml:space="preserve">Eligible Time Off Plans For Worker As of Date</t>
  </si>
  <si>
    <t xml:space="preserve">The time off plans the worker is eligible for as of date.</t>
  </si>
  <si>
    <t xml:space="preserve">The time offs and absence tables that a worker is eligible for as of the selected date.</t>
  </si>
  <si>
    <t xml:space="preserve">Coordinated Time Off Types</t>
  </si>
  <si>
    <t xml:space="preserve">Email - Home</t>
  </si>
  <si>
    <t xml:space="preserve">The home email address of the worker</t>
  </si>
  <si>
    <t xml:space="preserve">Email - Primary Home (Indexed)</t>
  </si>
  <si>
    <t xml:space="preserve">The worker's primary home email address. You can use this report field on custom data sources.</t>
  </si>
  <si>
    <t xml:space="preserve">Email - Primary Work (Indexed)</t>
  </si>
  <si>
    <t xml:space="preserve">The worker's primary work email address. You can use this report field on custom data sources.</t>
  </si>
  <si>
    <t xml:space="preserve">Email - Primary Work or Primary Home</t>
  </si>
  <si>
    <t xml:space="preserve">The primary work email address for the worker. If no primary work email address is found, the primary home email address of the worker will be returned.</t>
  </si>
  <si>
    <t xml:space="preserve">Email - Work</t>
  </si>
  <si>
    <t xml:space="preserve">The work email address of the worker</t>
  </si>
  <si>
    <t xml:space="preserve">Email Address</t>
  </si>
  <si>
    <t xml:space="preserve">The email address of the candidate.</t>
  </si>
  <si>
    <t xml:space="preserve">Emails</t>
  </si>
  <si>
    <t xml:space="preserve">Contains all email addresses for the worker.</t>
  </si>
  <si>
    <t xml:space="preserve">Emergency Contacts to Recover from 5/8/2015-5/16/2015</t>
  </si>
  <si>
    <t xml:space="preserve">Returns all Emergency Contacts not attached to the Worker but were not deleted from the dates of 5/8/2015-5/16/2015.</t>
  </si>
  <si>
    <t xml:space="preserve">Identifies the employee and allows you to drill into the details and access related actions.  Will be blank if this worker is not an employee.</t>
  </si>
  <si>
    <t xml:space="preserve">Employee Age as of Date</t>
  </si>
  <si>
    <t xml:space="preserve">Employee Age As Of Date is governed by the Employee As Of Date setting found in the Group Rules of the Benefit Group.</t>
  </si>
  <si>
    <t xml:space="preserve">The employment contracts that are active for the employee. This field applies exclusively to Employee business object(a child of Worker business object) and returns data only for those instances.</t>
  </si>
  <si>
    <t xml:space="preserve">Data Cloud</t>
  </si>
  <si>
    <t xml:space="preserve">Employee Gender</t>
  </si>
  <si>
    <t xml:space="preserve">Returns Employee Gender</t>
  </si>
  <si>
    <t xml:space="preserve">Employee Home Phone</t>
  </si>
  <si>
    <t xml:space="preserve">Return Employee Home Phone Number with no formatting</t>
  </si>
  <si>
    <t xml:space="preserve">Employee Individual Taxpayer Identification Number</t>
  </si>
  <si>
    <t xml:space="preserve">Returns Employee Individual Taxpayer Identification Number</t>
  </si>
  <si>
    <t xml:space="preserve">Employee Mailing Address</t>
  </si>
  <si>
    <t xml:space="preserve">Return primary employee mailing address.</t>
  </si>
  <si>
    <t xml:space="preserve">Employee Marital Status</t>
  </si>
  <si>
    <t xml:space="preserve">Returns Employee Marital Status</t>
  </si>
  <si>
    <t xml:space="preserve">Employee Mobile Phone</t>
  </si>
  <si>
    <t xml:space="preserve">Return Employee Mobile Phone with no formatting</t>
  </si>
  <si>
    <t xml:space="preserve">Employee Notice Period for Employee (Data Cloud)</t>
  </si>
  <si>
    <t xml:space="preserve">The employee notice period unit and duration. This is used in a real time calculation. This field applies exclusively to Employee business object(a child of Worker business object) and returns data only for those instances.</t>
  </si>
  <si>
    <t xml:space="preserve">Employee Party ID</t>
  </si>
  <si>
    <t xml:space="preserve">Returns the Employee Party ID for the worker</t>
  </si>
  <si>
    <t xml:space="preserve">Employee PAYE Reference</t>
  </si>
  <si>
    <t xml:space="preserve">Displays HMRC Office Number / Employer PAYE Ref for Worker</t>
  </si>
  <si>
    <t xml:space="preserve">Employee Payslip Print Indicator</t>
  </si>
  <si>
    <t xml:space="preserve">Returns true if the employee is currently receiving a hard-copy payslip, else returns false. If the employee has a Payslip Printing Election, that is used. If not, we take default information based on the configuration in Company Payroll Payslip Options (for the Company the employee's primary job).</t>
  </si>
  <si>
    <t xml:space="preserve">Employee Receiving Paper Copy of 1095-C</t>
  </si>
  <si>
    <t xml:space="preserve">Returns true if the employee is currently receiving a paper copy of 1095-C, else returns false.</t>
  </si>
  <si>
    <t xml:space="preserve">Employee Tobacco Use Code</t>
  </si>
  <si>
    <t xml:space="preserve">Return employee tobacco use code</t>
  </si>
  <si>
    <t xml:space="preserve">Employee Type - All Positions</t>
  </si>
  <si>
    <t xml:space="preserve">All employee types associated with the employee. Includes employee types from primary and additional positions and jobs.</t>
  </si>
  <si>
    <t xml:space="preserve">Employee Type - Primary Position</t>
  </si>
  <si>
    <t xml:space="preserve">Returns the employee type for an employee's primary position. No value will be returned for a contingent worker.  Does not return a value if the worker has more than one position (multiple jobs).  Search only.</t>
  </si>
  <si>
    <t xml:space="preserve">Employee Types</t>
  </si>
  <si>
    <t xml:space="preserve">Returns the employee type for an employee's primary position. No value will be returned for a contingent worker.</t>
  </si>
  <si>
    <t xml:space="preserve">Employee Types (Benefit Jobs)</t>
  </si>
  <si>
    <t xml:space="preserve">Returns the employee type for an employee's benefit jobs. No value will be returned for a contingent worker.</t>
  </si>
  <si>
    <t xml:space="preserve">Employee W-2 Print Indicator</t>
  </si>
  <si>
    <t xml:space="preserve">Returns true if the employee is currently receiving a paper copy W-2, else returns false.</t>
  </si>
  <si>
    <t xml:space="preserve">Employee Work Phone</t>
  </si>
  <si>
    <t xml:space="preserve">Return Employee Work Phone with no formatting</t>
  </si>
  <si>
    <t xml:space="preserve">Employees</t>
  </si>
  <si>
    <t xml:space="preserve">Used for prompting for multiple Employees. Will be blank if the workers are not employees.</t>
  </si>
  <si>
    <t xml:space="preserve">Employer Address for Income Withholding Orders</t>
  </si>
  <si>
    <t xml:space="preserve">The company name and address for Income Withholding Orders.</t>
  </si>
  <si>
    <t xml:space="preserve">Employer HMRC Office Number</t>
  </si>
  <si>
    <t xml:space="preserve">Company HMRC Office Number for Worker Primary Job.</t>
  </si>
  <si>
    <t xml:space="preserve">Employer Notice Period (Data Cloud)</t>
  </si>
  <si>
    <t xml:space="preserve">The employer notice period unit and duration. This is used in a real time calculation. This field applies exclusively to Employee business object(a child of Worker business object) and returns data only for those instances.</t>
  </si>
  <si>
    <t xml:space="preserve">Employer PAYE Reference</t>
  </si>
  <si>
    <t xml:space="preserve">Company PAYE Reference for Worker Primary Job.</t>
  </si>
  <si>
    <t xml:space="preserve">Employer State EIN</t>
  </si>
  <si>
    <t xml:space="preserve">The employer's State Employer Identification Number</t>
  </si>
  <si>
    <t xml:space="preserve">Contains all active Employments on International Assignments for an Employee as of a specified date.</t>
  </si>
  <si>
    <t xml:space="preserve">Contains all end additional job events for the worker that the processing person is able to view.  The ability to view the event is based on the event's security policy.</t>
  </si>
  <si>
    <t xml:space="preserve">End Assignment Date</t>
  </si>
  <si>
    <t xml:space="preserve">Returns the End Assignment Date of Collective Agreement for the Worker's primary position</t>
  </si>
  <si>
    <t xml:space="preserve">End Date for Convenience of Employer Rule</t>
  </si>
  <si>
    <t xml:space="preserve">Returns the end date of the convenience of employer rule.</t>
  </si>
  <si>
    <t xml:space="preserve">End Employment Date</t>
  </si>
  <si>
    <t xml:space="preserve">The end employment date for a fixed term employee's primary position.</t>
  </si>
  <si>
    <t xml:space="preserve">Enrolled in Medical</t>
  </si>
  <si>
    <t xml:space="preserve">Indicates if Worker is enrolled in a medical plan as of a reporting date.</t>
  </si>
  <si>
    <t xml:space="preserve">Erroneously Has Exempt Reason or Domicile State</t>
  </si>
  <si>
    <t xml:space="preserve">Self-service tax elections where the worker did not elect an Exempt Reason or Domicile State, but an Exempt Reason or Domicile state exists. The worker must re-enter a new tax election, or a new tax election must be recorded for the worker.</t>
  </si>
  <si>
    <t xml:space="preserve">Erroneously Has MSRR Exempt or Exempt</t>
  </si>
  <si>
    <t xml:space="preserve">Self-service tax elections where the worker did not elect Exempt or MSRR Exempt status, but it is recorded as Exempt or MSRR exempt. The worker must re-enter a new tax election, or a new tax election must be recorded for the worker.</t>
  </si>
  <si>
    <t xml:space="preserve">Erroneously Has Spouse Indicator, Marital Status, or Reciprocity Tax Credit</t>
  </si>
  <si>
    <t xml:space="preserve">Self-service tax elections where the worker did not elect a Spouse Indicator, Marital Status, or Reciprocity Tax Credit, but one of these exists on the tax election. The worker must re-enter a new tax election, or a new tax election must be recorded for the worker.</t>
  </si>
  <si>
    <t xml:space="preserve">Essential Worker</t>
  </si>
  <si>
    <t xml:space="preserve">The establishment associated with worker's primary position.</t>
  </si>
  <si>
    <t xml:space="preserve">Establishment Entry Date</t>
  </si>
  <si>
    <t xml:space="preserve">Worker's first day assigned to their primary position in the establishment. If the worker was assigned multiple times to the same establishment, this will return the date of the first Assign Establishment event.</t>
  </si>
  <si>
    <t xml:space="preserve">Estimated Base Pay</t>
  </si>
  <si>
    <t xml:space="preserve">Calculates the estimated base pay for a worker within a date range taking compensation plan assignment start and end dates into consideration.</t>
  </si>
  <si>
    <t xml:space="preserve">Estimated Primary Compensation Basis</t>
  </si>
  <si>
    <t xml:space="preserve">Calculates the estimated primary compensation basis amount for a worker within a date range taking compensation plan assignment start and end dates into consideration.</t>
  </si>
  <si>
    <t xml:space="preserve">Estimated Salary and Allowances</t>
  </si>
  <si>
    <t xml:space="preserve">Calculates the estimated salary and allowances amount for a worker within a date range taking compensation plan assignment start and end dates into consideration.</t>
  </si>
  <si>
    <t xml:space="preserve">Ethnicities (multiple allowed - locale sensitive)</t>
  </si>
  <si>
    <t xml:space="preserve">The ethnicity or ethnicities for the person (Note: Ensure values are set in maintain ethnicities). This field may contain multiple values only for people associated with a country where Allow Multiple Ethnicities is in effect.</t>
  </si>
  <si>
    <t xml:space="preserve">Ethnicity Code</t>
  </si>
  <si>
    <t xml:space="preserve">The ethnicity code for the worker. This report field cannot be secured by country.</t>
  </si>
  <si>
    <t xml:space="preserve">Ethnicity Code (Country Securable)</t>
  </si>
  <si>
    <t xml:space="preserve">The ethnicity code for the worker.</t>
  </si>
  <si>
    <t xml:space="preserve">Evaluation Ratings from Last Completed Review</t>
  </si>
  <si>
    <t xml:space="preserve">The overall rating for the last completed employee review.  The overall rating comes from the overall section in the manager's evaluation.</t>
  </si>
  <si>
    <t xml:space="preserve">Evaluations - All Completed</t>
  </si>
  <si>
    <t xml:space="preserve">Contains all employee review evaluations where the status is Completed regardless of the review period.</t>
  </si>
  <si>
    <t xml:space="preserve">Evaluations - All Statuses</t>
  </si>
  <si>
    <t xml:space="preserve">Contains all employee review evaluations, including In Progress and Completed regardless of the review period.</t>
  </si>
  <si>
    <t xml:space="preserve">Attachments uploaded on events related to worker.</t>
  </si>
  <si>
    <t xml:space="preserve">Comments entered on business process tool bar for events related to worker.</t>
  </si>
  <si>
    <t xml:space="preserve">Reports generated and distributed to worker as part of a Review Documents step for events related to worker.</t>
  </si>
  <si>
    <t xml:space="preserve">The event target that was affected by this transaction log. This report field returns the event target for transactions, which can be: workers, positions, organizations, or other primary objects.</t>
  </si>
  <si>
    <t xml:space="preserve">Documents uploaded on Review Documents steps or with Distribute Documents for events related to worker.</t>
  </si>
  <si>
    <t xml:space="preserve">This field returns any Evidence of Insurability instances associated with this worker.</t>
  </si>
  <si>
    <t xml:space="preserve">Exact Duplicate Match</t>
  </si>
  <si>
    <t xml:space="preserve">Indicates whether duplicate candidate, worker, or prehire records were found for the candidate. Candidate matches are based on records that have the same Name (first and last) and Phone, Name (first and last) and Email, or Name (first and last) and Social Network.</t>
  </si>
  <si>
    <t xml:space="preserve">Exclude from Headcount</t>
  </si>
  <si>
    <t xml:space="preserve">Worker not included in Headcount calculation</t>
  </si>
  <si>
    <t xml:space="preserve">Exempt from Public Records</t>
  </si>
  <si>
    <t xml:space="preserve">Exempt Status for FLSA Calendar Membership</t>
  </si>
  <si>
    <t xml:space="preserve">Returns TRUE if the worker is exempt (based on all active employments) as of both the pay period end date and pay period start date.  This is the only field valid for determining FLSA Exempt status in the FLSA Calendar membership rules. (If Period is not available system returns Exempt status as of current moment)</t>
  </si>
  <si>
    <t xml:space="preserve">Expected Date of Return</t>
  </si>
  <si>
    <t xml:space="preserve">The date the Canadian worker is expected to return as specified on the most recent termination transaction for the worker.This field is specific to Canadian employment.</t>
  </si>
  <si>
    <t xml:space="preserve">Expected Retirement Date (Data Cloud)</t>
  </si>
  <si>
    <t xml:space="preserve">The expected retirement date for the worker. This field applies exclusively to Employee business object(a child of Worker business object) and returns data only for those instances.</t>
  </si>
  <si>
    <t xml:space="preserve">Expense Participant as Worker</t>
  </si>
  <si>
    <t xml:space="preserve">Returns Expense Participant Worker</t>
  </si>
  <si>
    <t xml:space="preserve">Expense Payee as Worker</t>
  </si>
  <si>
    <t xml:space="preserve">Expense Payee Has Active Credit Card</t>
  </si>
  <si>
    <t xml:space="preserve">True if the expense payee has 1 or more active credit cards.</t>
  </si>
  <si>
    <t xml:space="preserve">Expense Payee Public Work Address - Full with Country</t>
  </si>
  <si>
    <t xml:space="preserve">The full primary work address for the expense payee as worker with country. This will be blank for expense payee as pre-hire</t>
  </si>
  <si>
    <t xml:space="preserve">Expense Payee Receivable Balance</t>
  </si>
  <si>
    <t xml:space="preserve">Receivable balance that an expense payee owes the company due to negative reimbursable expense reports.</t>
  </si>
  <si>
    <t xml:space="preserve">Expense Reports - All Statuses</t>
  </si>
  <si>
    <t xml:space="preserve">All Expense Reports for Worker</t>
  </si>
  <si>
    <t xml:space="preserve">Expense Reports for Worker Available for Purge</t>
  </si>
  <si>
    <t xml:space="preserve">Returns expense reports for worker that are eligible for purging based on the financial data retention period</t>
  </si>
  <si>
    <t xml:space="preserve">Expired Certification Achievements</t>
  </si>
  <si>
    <t xml:space="preserve">Worker's Expired Certifications as of today.</t>
  </si>
  <si>
    <t xml:space="preserve">Returns all the accruals for a worker with an expiration date on or after the as of date.</t>
  </si>
  <si>
    <t xml:space="preserve">Time Off Plan For Expiring Accrual Reporting</t>
  </si>
  <si>
    <t xml:space="preserve">External Candidate for Business Process</t>
  </si>
  <si>
    <t xml:space="preserve">The external candidate who doesn't have a Worker record.</t>
  </si>
  <si>
    <t xml:space="preserve">The external compensation benchmark composite for the primary position of the displayed employee. This is an adapter field and can only be used in conjunction with external benchmark fields such as Benchmark Profile for Target and Spread, Minimum, Midpoint, Maximum, Target Percentile, Range Spread, Currency, and Frequency. Compensation component is a required parameter.   Workday recommends building reports using the Workers for HCM Reporting data source and the Workers by Job Profile and Compensation Grade data source filter.   For reports with a data source utilizing Worker as the primary business object, selecting this field for the Business Object column enables you to access external benchmark fields.  For calculated fields based off of the Worker business object, using this field as the Source Field enables you to identify a specific compensation component for use as a report parameter.</t>
  </si>
  <si>
    <t xml:space="preserve">Compensation Component</t>
  </si>
  <si>
    <t xml:space="preserve">The external compensation benchmark for the primary position of the displayed employee. This is an adapter field and can only be used in conjunction with external benchmark fields such as Benchmark Value, Benchmark Profile for Benchmark Cycle, Currency, and Frequency. Compensation component is a required parameter.   Workday recommends building reports using the Workers for HCM Reporting data source and the Workers by Job Profile and Compensation Grade data source filter.   For reports with a data source utilizing Worker as the primary business object, selecting this field for the Business Object column enables you to access external benchmark fields.  For calculated fields based off of the Worker business object, using this field as the Source Field enables you to identify a specific compensation component for use as a report parameter.</t>
  </si>
  <si>
    <t xml:space="preserve">External Disability (SF-256) All Records</t>
  </si>
  <si>
    <t xml:space="preserve">Returns all external disability invitation (SF-256) and response records for a worker. For U.S. Federal Agencies only.</t>
  </si>
  <si>
    <t xml:space="preserve">External Disability All Records</t>
  </si>
  <si>
    <t xml:space="preserve">Returns all external disability invitation and response records for a worker. For U.S. employment eligibility only.</t>
  </si>
  <si>
    <t xml:space="preserve">External Ethnicity &amp; Race (SF-181) All Records</t>
  </si>
  <si>
    <t xml:space="preserve">Returns all external Ethnicity &amp; Race invitation (SF-181) and response records for a worker. For U.S. Federal Agencies only.</t>
  </si>
  <si>
    <t xml:space="preserve">External ID for System ID</t>
  </si>
  <si>
    <t xml:space="preserve">The External ID of this integratable object for the System ID passed to the report as parameter.</t>
  </si>
  <si>
    <t xml:space="preserve">External Pay Group</t>
  </si>
  <si>
    <t xml:space="preserve">The pay group for an employee's position and is used by payroll.</t>
  </si>
  <si>
    <t xml:space="preserve">External Pay Group as of Period End Date</t>
  </si>
  <si>
    <t xml:space="preserve">Position External Pay Group of the Worker as of the Period End Date</t>
  </si>
  <si>
    <t xml:space="preserve">External Pay Group as of Period Start Date</t>
  </si>
  <si>
    <t xml:space="preserve">Position External Pay Group of the Worker as of the Period Start Date</t>
  </si>
  <si>
    <t xml:space="preserve">External Pay Group ID</t>
  </si>
  <si>
    <t xml:space="preserve">The pay group ID for an employee's external pay group. The relationship between employee and external pay group is defined by the payroll interface data for the position.</t>
  </si>
  <si>
    <t xml:space="preserve">External Pay Groups (Benefit Jobs)</t>
  </si>
  <si>
    <t xml:space="preserve">The pay groups for an employee's benefit jobs.</t>
  </si>
  <si>
    <t xml:space="preserve">External Payroll Actual Hours Worked (All Periods for Worker) as of Period End Date</t>
  </si>
  <si>
    <t xml:space="preserve">Returns the sum of hours worked for all external payroll actuals for the worker having a reference date less than or equal to the Period End Date.   This CRF is for Worker business object.</t>
  </si>
  <si>
    <t xml:space="preserve">External Payroll Actual Hours Worked (All Periods for Worker) as of Period Start Date</t>
  </si>
  <si>
    <t xml:space="preserve">Returns the sum of hours worked for all external payroll actuals for the worker having a reference date less than or equal to the Period Start Date.   This CRF is for Worker business object.</t>
  </si>
  <si>
    <t xml:space="preserve">External Payroll Actual Hours Worked (Completed Periods for Worker) as of Period End Date</t>
  </si>
  <si>
    <t xml:space="preserve">Returns the sum of hours worked for all external payroll actuals for the worker that are associated with a completed payroll period and have a reference date less than or equal to the Period End Date.  This CRF is for Worker business object.</t>
  </si>
  <si>
    <t xml:space="preserve">External Payroll Actual Hours Worked (Completed Periods for Worker) as of Period Start Date</t>
  </si>
  <si>
    <t xml:space="preserve">Returns the sum of hours worked for all external payroll actuals for the worker that are associated with a completed payroll period and have a reference date less than or equal to the Period Start Date.  This CRF is for Worker business object.</t>
  </si>
  <si>
    <t xml:space="preserve">External Payroll Actuals (All for Primary Job)</t>
  </si>
  <si>
    <t xml:space="preserve">Returns all external Payroll actuals loaded for the worker's primary job.</t>
  </si>
  <si>
    <t xml:space="preserve">External Payroll Actuals (All for Worker)</t>
  </si>
  <si>
    <t xml:space="preserve">Returns all external Payroll actuals loaded for the worker.</t>
  </si>
  <si>
    <t xml:space="preserve">External Payroll Actuals (Completed for Primary Job)</t>
  </si>
  <si>
    <t xml:space="preserve">Returns all external Payroll actuals loaded for the worker's primary job and that are associated with a completed payroll Period.</t>
  </si>
  <si>
    <t xml:space="preserve">External Payroll Actuals (Completed for Worker)</t>
  </si>
  <si>
    <t xml:space="preserve">Returns all external Payroll actuals loaded for the worker and that are associated with a completed payroll Period.</t>
  </si>
  <si>
    <t xml:space="preserve">External Payroll Entity ID</t>
  </si>
  <si>
    <t xml:space="preserve">The Payroll Entity ID for an employee's position</t>
  </si>
  <si>
    <t xml:space="preserve">External Payroll Inputs</t>
  </si>
  <si>
    <t xml:space="preserve">Contains External Payroll Inputs belonging to worker</t>
  </si>
  <si>
    <t xml:space="preserve">All external payroll results for the worker within the date range and period.</t>
  </si>
  <si>
    <t xml:space="preserve">Date Range</t>
  </si>
  <si>
    <t xml:space="preserve">All external payroll result lines associated with the Worker within the specified date range and period.</t>
  </si>
  <si>
    <t xml:space="preserve">Earnings/Deductions</t>
  </si>
  <si>
    <t xml:space="preserve">External Payslip Attachments</t>
  </si>
  <si>
    <t xml:space="preserve">Contains External Payslip Attachments for a worker's External Payslip</t>
  </si>
  <si>
    <t xml:space="preserve">The external student instance for the worker.</t>
  </si>
  <si>
    <t xml:space="preserve">FAM CF CC Total Base Pay in USD</t>
  </si>
  <si>
    <t xml:space="preserve">FAM CF CT FirstName, LastName</t>
  </si>
  <si>
    <t xml:space="preserve">FAM CF DD Years of Service</t>
  </si>
  <si>
    <t xml:space="preserve">FAM CF EE Worker Status</t>
  </si>
  <si>
    <t xml:space="preserve">FAM CF ESI First Job</t>
  </si>
  <si>
    <t xml:space="preserve">Organization Types to Compare</t>
  </si>
  <si>
    <t xml:space="preserve">FAM CF FD Format Hire Date</t>
  </si>
  <si>
    <t xml:space="preserve">FAM CF FN Total Base Pay as Text</t>
  </si>
  <si>
    <t xml:space="preserve">FAM CF FT Name in UpperCase</t>
  </si>
  <si>
    <t xml:space="preserve">FAM CF Hire Pay Period Semi-Monthly Period</t>
  </si>
  <si>
    <t xml:space="preserve">Pay Period when hired</t>
  </si>
  <si>
    <t xml:space="preserve">FAM CF LRB Lenght of Service</t>
  </si>
  <si>
    <t xml:space="preserve">FAM CF ST Cost Center Number</t>
  </si>
  <si>
    <t xml:space="preserve">FAM CF TF High Comp</t>
  </si>
  <si>
    <t xml:space="preserve">FAM CF TL Length of City</t>
  </si>
  <si>
    <t xml:space="preserve">FAM School - College</t>
  </si>
  <si>
    <t xml:space="preserve">The enforcement legislation under which the withholding order was issued: Family Maintenance Enforcement Act or Court Order Enforcement Act.</t>
  </si>
  <si>
    <t xml:space="preserve">Father's Name</t>
  </si>
  <si>
    <t xml:space="preserve">Worker Father Name</t>
  </si>
  <si>
    <t xml:space="preserve">Federal Withholding W-4 - Last Updated Date</t>
  </si>
  <si>
    <t xml:space="preserve">Federal Withholding: W-4 - Last Updated Date</t>
  </si>
  <si>
    <t xml:space="preserve">Federal Withholding: AEIC - As of Date</t>
  </si>
  <si>
    <t xml:space="preserve">Federal Withholding: AEIC - Last Updated</t>
  </si>
  <si>
    <t xml:space="preserve">Returns the Federal Withholding AEIC - Last Updated Date for Worker Tax Elections</t>
  </si>
  <si>
    <t xml:space="preserve">Federal Withholding: AEIC - Marital Status</t>
  </si>
  <si>
    <t xml:space="preserve">Federal Withholding: AEIC - Spouse Certificate</t>
  </si>
  <si>
    <t xml:space="preserve">True if the Federal AEIC Spouse Certificate applies for the worker.</t>
  </si>
  <si>
    <t xml:space="preserve">Federal Withholding: AEIC - W-5 Active</t>
  </si>
  <si>
    <t xml:space="preserve">True if the AEIC W-5 withholding applies for the worker.</t>
  </si>
  <si>
    <t xml:space="preserve">Federal Withholding: Company</t>
  </si>
  <si>
    <t xml:space="preserve">Returns the Federal: Withholding Company for Worker Tax Elections</t>
  </si>
  <si>
    <t xml:space="preserve">Federal Withholding: FEIN</t>
  </si>
  <si>
    <t xml:space="preserve">Federal Withholding: FICA - Medicare Exempt</t>
  </si>
  <si>
    <t xml:space="preserve">True if the worker is exempt from FICA Medicare.</t>
  </si>
  <si>
    <t xml:space="preserve">Federal Withholding: FICA - Medicare Exempt Reasons</t>
  </si>
  <si>
    <t xml:space="preserve">Returns the FICA Medicare Exempt Reasons for a Worker (primary position)</t>
  </si>
  <si>
    <t xml:space="preserve">Federal Withholding: FICA - OASDI ER - HIRE Act Affidavit</t>
  </si>
  <si>
    <t xml:space="preserve">Returns OASDI (ER) – Hire Act Affidavit for a Worker as of Date.</t>
  </si>
  <si>
    <t xml:space="preserve">Federal Withholding: FICA - OASDI Exempt</t>
  </si>
  <si>
    <t xml:space="preserve">True if the worker is exempt from FICA OASDI.</t>
  </si>
  <si>
    <t xml:space="preserve">Federal Withholding: FICA - OASDI Exempt Reasons</t>
  </si>
  <si>
    <t xml:space="preserve">Returns the FICA OASDI Exempt Reasons for a Worker (primary position)</t>
  </si>
  <si>
    <t xml:space="preserve">Federal Withholding: FICA Medicare - Effective As of Date</t>
  </si>
  <si>
    <t xml:space="preserve">Returns the Payroll Payee FICA Medicare - Effective As Of Date for Worker Tax Elections</t>
  </si>
  <si>
    <t xml:space="preserve">Federal Withholding: FICA Medicare - Last Updated Date</t>
  </si>
  <si>
    <t xml:space="preserve">Returns the Federal Withholding: FICA Medicare - Last Updated Date for Worker Tax Elections</t>
  </si>
  <si>
    <t xml:space="preserve">Federal Withholding: FICA Medicare Apply to Worker Exempt Flag</t>
  </si>
  <si>
    <t xml:space="preserve">Returns Yes if the Apply to Worker field is selected on Federal Withholding: Medicare.</t>
  </si>
  <si>
    <t xml:space="preserve">Federal Withholding: FICA Medicare or OASDI - As of Date</t>
  </si>
  <si>
    <t xml:space="preserve">Returns the latest FICA Medicare or FICA OASDI - Effective as of Date for Worker Tax Elections</t>
  </si>
  <si>
    <t xml:space="preserve">Federal Withholding: FICA Medicare or OASDI - Last Updated Date</t>
  </si>
  <si>
    <t xml:space="preserve">Returns the latest FICA Medicare or FICA OASDI - Last Updated Date for Worker Tax Elections</t>
  </si>
  <si>
    <t xml:space="preserve">Federal Withholding: FICA OASDI - Effective As of Date</t>
  </si>
  <si>
    <t xml:space="preserve">Returns the Federal Withholding: FICA OASDI - As of Date for Worker Tax Elections</t>
  </si>
  <si>
    <t xml:space="preserve">Federal Withholding: FICA OASDI - Last Updated Date</t>
  </si>
  <si>
    <t xml:space="preserve">Returns the Federal Withholding: FICA OASDI - Last Updated Date for Worker Tax Elections</t>
  </si>
  <si>
    <t xml:space="preserve">Federal Withholding: FICA OASDI Apply to Worker Exempt Flag</t>
  </si>
  <si>
    <t xml:space="preserve">Returns Yes if the Apply to Worker field is selected on Federal Withholding: OASDI.</t>
  </si>
  <si>
    <t xml:space="preserve">Federal Withholding: FUI - As of Date</t>
  </si>
  <si>
    <t xml:space="preserve">Federal Withholding: FUI - Exempt</t>
  </si>
  <si>
    <t xml:space="preserve">True if the worker is exempt from FUI withholding.</t>
  </si>
  <si>
    <t xml:space="preserve">Federal Withholding: FUI - Last Updated</t>
  </si>
  <si>
    <t xml:space="preserve">Returns the Federal Withholding FUI - Last Updated Date for Worker Tax Elections</t>
  </si>
  <si>
    <t xml:space="preserve">Federal Withholding: W-4 - Additional Amount</t>
  </si>
  <si>
    <t xml:space="preserve">Federal Withholding: W-4 - Additional AmountFederal Withholding: W-4 - Additional Amount</t>
  </si>
  <si>
    <t xml:space="preserve">Federal Withholding: W-4 - As of Date</t>
  </si>
  <si>
    <t xml:space="preserve">Federal Withholding: W-4 - Deductions</t>
  </si>
  <si>
    <t xml:space="preserve">Returns a Federal annual Deductions amount if the election date is on or after January 1, 2020.</t>
  </si>
  <si>
    <t xml:space="preserve">Federal Withholding: W-4 - Exempt</t>
  </si>
  <si>
    <t xml:space="preserve">True if the worker is exempt from Federal W-4 withholding.</t>
  </si>
  <si>
    <t xml:space="preserve">Federal Withholding: W-4 - Exempt from NRA Additional Amount</t>
  </si>
  <si>
    <t xml:space="preserve">True if worker selected Exempt from NRA Additional Amount on the federal tax election.</t>
  </si>
  <si>
    <t xml:space="preserve">Federal Withholding: W-4 - Lock in Letter</t>
  </si>
  <si>
    <t xml:space="preserve">True if Federal W-4 withholding Lock in letter applies for the worker.</t>
  </si>
  <si>
    <t xml:space="preserve">Federal Withholding: W-4 - Marital Status</t>
  </si>
  <si>
    <t xml:space="preserve">Federal Withholding: W-4 - Multiple Jobs or Spouse Works</t>
  </si>
  <si>
    <t xml:space="preserve">Returns Yes if you selected the Multiple Jobs or Spouse Works check box on the ~worker’s~ Federal tax election effective on or after 2020-01-01.</t>
  </si>
  <si>
    <t xml:space="preserve">Federal Withholding: W-4 - No Wage No Tax Exempt</t>
  </si>
  <si>
    <t xml:space="preserve">Returns true if the worker is exempt from wages or taxes for federal withholding based on their W-4 elections.</t>
  </si>
  <si>
    <t xml:space="preserve">Federal Withholding: W-4 - Nonresident Alien</t>
  </si>
  <si>
    <t xml:space="preserve">True if worker selected Non Resident Alien on Federal W-4 withholding.</t>
  </si>
  <si>
    <t xml:space="preserve">Federal Withholding: W-4 - Number Of Allowances</t>
  </si>
  <si>
    <t xml:space="preserve">Federal Withholding: W-4 - Other Income</t>
  </si>
  <si>
    <t xml:space="preserve">Returns a Federal annual Other Income amount if the election date is on or after January 1, 2020.</t>
  </si>
  <si>
    <t xml:space="preserve">Federal Withholding: W-4 - Total Dependent Amount</t>
  </si>
  <si>
    <t xml:space="preserve">Returns a Federal annual Total Dependent Amount if the election date is on or after January 1, 2020.</t>
  </si>
  <si>
    <t xml:space="preserve">Federal Worker Part A</t>
  </si>
  <si>
    <t xml:space="preserve">The federal worker's benefits information corresponding to Part A of form SF 2809.</t>
  </si>
  <si>
    <t xml:space="preserve">Federal Worker Part B</t>
  </si>
  <si>
    <t xml:space="preserve">The federal worker's FEHB plan corresponding to Part B of form SF 2809.</t>
  </si>
  <si>
    <t xml:space="preserve">Federal Worker Part D</t>
  </si>
  <si>
    <t xml:space="preserve">The federal worker's event code corresponding to Part D of form SF 2809.</t>
  </si>
  <si>
    <t xml:space="preserve">Returns all Feedback Responses given about a worker.</t>
  </si>
  <si>
    <t xml:space="preserve">The feedback that the worker gave to someone else.</t>
  </si>
  <si>
    <t xml:space="preserve">Feedback Received</t>
  </si>
  <si>
    <t xml:space="preserve">The feedback that was given to a worker (i.e. feedback that the worker received from someone else).</t>
  </si>
  <si>
    <t xml:space="preserve">Feedback Received - Anytime</t>
  </si>
  <si>
    <t xml:space="preserve">The anytime feedback that was given to a worker. This does not include requested feedback.</t>
  </si>
  <si>
    <t xml:space="preserve">Relates To</t>
  </si>
  <si>
    <t xml:space="preserve">FEHB Other Health Care Insurance</t>
  </si>
  <si>
    <t xml:space="preserve">This is the CRF for FEHB Other Health Care Insurance for Worker</t>
  </si>
  <si>
    <t xml:space="preserve">Female - Reporting Gender</t>
  </si>
  <si>
    <t xml:space="preserve">The workers whose reporting gender is mapped to female.</t>
  </si>
  <si>
    <t xml:space="preserve">Female Gender</t>
  </si>
  <si>
    <t xml:space="preserve">Gets 'Is Female' boolean attribute for Gender, which is a tenanted class.</t>
  </si>
  <si>
    <t xml:space="preserve">Fields of Study</t>
  </si>
  <si>
    <t xml:space="preserve">The fields of study for the worker.</t>
  </si>
  <si>
    <t xml:space="preserve">Fields of Study as Text</t>
  </si>
  <si>
    <t xml:space="preserve">File Number</t>
  </si>
  <si>
    <t xml:space="preserve">The payroll file number, which is a unique identifier for the position in the ADP mainframe payroll.</t>
  </si>
  <si>
    <t xml:space="preserve">First Day of SSP On or Before Employment Start Date</t>
  </si>
  <si>
    <t xml:space="preserve">Displays "Yes" if Workers First Day of SSP is on or before their Employment Start Date, "No" if not.</t>
  </si>
  <si>
    <t xml:space="preserve">6 Weeks or Less of SSP Entitlement</t>
  </si>
  <si>
    <t xml:space="preserve">First Day of Work</t>
  </si>
  <si>
    <t xml:space="preserve">The worker's first day of work.</t>
  </si>
  <si>
    <t xml:space="preserve">First Name</t>
  </si>
  <si>
    <t xml:space="preserve">The first name of a candidate.</t>
  </si>
  <si>
    <t xml:space="preserve">All flex team memberships for the worker.</t>
  </si>
  <si>
    <t xml:space="preserve">Time Commitment available for a flex team worker.</t>
  </si>
  <si>
    <t xml:space="preserve">Flex Teams</t>
  </si>
  <si>
    <t xml:space="preserve">Every flex team that the flex team worker is an approved member of.</t>
  </si>
  <si>
    <t xml:space="preserve">Flexible Work Arrangement Requests</t>
  </si>
  <si>
    <t xml:space="preserve">The completed Request Flexible Work Arrangement events for a worker.</t>
  </si>
  <si>
    <t xml:space="preserve">The worker's active flexible work arrangements.</t>
  </si>
  <si>
    <t xml:space="preserve">Form I-9 Is Viewable When Completed</t>
  </si>
  <si>
    <t xml:space="preserve">Returns Yes to indicate that you can retain the Form I-9 indefinitely, and don't need to purge it. We recommend that you review USCIS guidelines to determine when and if data needs to be purged, and confirm you have selected accurate criteria to reflect USCIS guideline retention periods when selecting worker data for purging. This field is for U.S. employment eligibility only.</t>
  </si>
  <si>
    <t xml:space="preserve">Form I-9s</t>
  </si>
  <si>
    <t xml:space="preserve">Returns all Form I-9s created from the Complete Form I-9 business process. The field returns data from the most current version of the form considering any amended content. For U.S. employment eligibility only.</t>
  </si>
  <si>
    <t xml:space="preserve">Returns the Former Worker for this Role.</t>
  </si>
  <si>
    <t xml:space="preserve">Former Worker ID matches non-Former Worker ID</t>
  </si>
  <si>
    <t xml:space="preserve">True if the worker isn’t a former worker but the ~worker’s~ ID is the same as a former worker ID and your tenant is configured to reuse former worker IDs (the Reuse Former Worker ID check box on the Edit Tenant Setup – HCM task is selected)</t>
  </si>
  <si>
    <t xml:space="preserve">The time off entries used for custom payroll absence calculations. This report field applies only to time offs that have an ACRC associated with the FRA Time Off Entries for Custom Payroll Absence Calculations pay component group.</t>
  </si>
  <si>
    <t xml:space="preserve">The most recent withholding tax amount for the worker.</t>
  </si>
  <si>
    <t xml:space="preserve">FRA Worker: APE Company Industry Code (Payslip)</t>
  </si>
  <si>
    <t xml:space="preserve">The APE code of the company related to the worker's primary position.</t>
  </si>
  <si>
    <t xml:space="preserve">FRA Worker: APE Establishment (Payslip)</t>
  </si>
  <si>
    <t xml:space="preserve">The industry code from the worker's establishment.</t>
  </si>
  <si>
    <t xml:space="preserve">FRA Worker: Business Title (Payslip)</t>
  </si>
  <si>
    <t xml:space="preserve">The business title for the worker's position as of Payroll Processing Moment. If no business title is defined for a position, the position title is returned back.</t>
  </si>
  <si>
    <t xml:space="preserve">FRA Worker: Collective Agreement Name (Payslip)</t>
  </si>
  <si>
    <t xml:space="preserve">The name of the worker's collective agreement.</t>
  </si>
  <si>
    <t xml:space="preserve">FRA Worker: Establishment Address (Payslip)</t>
  </si>
  <si>
    <t xml:space="preserve">The primary business address of the worker's establishment.</t>
  </si>
  <si>
    <t xml:space="preserve">FRA Worker: Establishment Address City (Payslip)</t>
  </si>
  <si>
    <t xml:space="preserve">The city of the establishement's primary business address.</t>
  </si>
  <si>
    <t xml:space="preserve">FRA Worker: Hire Date (Payslip)</t>
  </si>
  <si>
    <t xml:space="preserve">The most recent hire date for a worker as of Payroll Process Moment.</t>
  </si>
  <si>
    <t xml:space="preserve">FRA Worker: INSEE Code</t>
  </si>
  <si>
    <t xml:space="preserve">The INSEE Code (SSN) for the worker.</t>
  </si>
  <si>
    <t xml:space="preserve">FRA Worker: Last Company Assignment Date as of Sub-Period Begin Date</t>
  </si>
  <si>
    <t xml:space="preserve">Returns the last company assignment date as of sub period begin date</t>
  </si>
  <si>
    <t xml:space="preserve">FRA Worker: Seniority Date (Payslip)</t>
  </si>
  <si>
    <t xml:space="preserve">The seniority date for the worker as of Payroll Processing Moment.</t>
  </si>
  <si>
    <t xml:space="preserve">FRA Worker: SIRET Establishment (Payslip)</t>
  </si>
  <si>
    <t xml:space="preserve">The SIRET of the worker's establishment.</t>
  </si>
  <si>
    <t xml:space="preserve">FRA Worker: Title and Name for Payslip Printing</t>
  </si>
  <si>
    <t xml:space="preserve">The worker title and name for payslip printing. This field displays the legal or preferred name based on the selected payslip printing options.</t>
  </si>
  <si>
    <t xml:space="preserve">Frequency - Payroll</t>
  </si>
  <si>
    <t xml:space="preserve">The target frequency for a pay rate type. It drives the conversion of the base pay that is sent to payroll.</t>
  </si>
  <si>
    <t xml:space="preserve">Frequency for Primary Position</t>
  </si>
  <si>
    <t xml:space="preserve">The frequency for the contingent worker's primary position.</t>
  </si>
  <si>
    <t xml:space="preserve">FTE %</t>
  </si>
  <si>
    <t xml:space="preserve">The full time equivalent percentage for the worker's primary position.</t>
  </si>
  <si>
    <t xml:space="preserve">FTE Dimension: Total Blended FTE</t>
  </si>
  <si>
    <t xml:space="preserve">Returns the Total FTE Dimension evaluating the sum of FTE's across all of the worker's jobs.  This incorporates the percent of year factor setting from Academic Pay's  Annual Work Period. Will also  return proper results when worker has just one job and/or a full year work period.</t>
  </si>
  <si>
    <t xml:space="preserve">FTE Dimension: Total FTE</t>
  </si>
  <si>
    <t xml:space="preserve">Returns the Total FTE Dimension evaluating the sum of FTE's across all of the worker's positions.  Will also  return results when worker has just one job.</t>
  </si>
  <si>
    <t xml:space="preserve">Fulfills Qualification Equivalence Rule</t>
  </si>
  <si>
    <t xml:space="preserve">True if the worker has the certifications that meet the qualification equivalence rule on their job profile. If the job profile has no qualification equivalence rule, this field returns true.</t>
  </si>
  <si>
    <t xml:space="preserve">Full Name</t>
  </si>
  <si>
    <t xml:space="preserve">The full name of the candidate.</t>
  </si>
  <si>
    <t xml:space="preserve">Full Time Off Days</t>
  </si>
  <si>
    <t xml:space="preserve">Returns for a pay period, the number of entire days of the absence counted according to the "Days to include" option of the time off plan configuration​. Days are calculated when the pay component includes either the related calculation "FRA Days" or another one associated with the PCG "FRA Payslip – Displayed Time Off Dates" and associated with an Absence Component Related Calculations defined in days. If only part of the day is taken, the time off entry is not taken into account.</t>
  </si>
  <si>
    <t xml:space="preserve">Sub Period End Date</t>
  </si>
  <si>
    <t xml:space="preserve">The full-service equivalent (FSE) worker category of a worker.</t>
  </si>
  <si>
    <t xml:space="preserve">Full-Service Equivalent Worker Category Weight</t>
  </si>
  <si>
    <t xml:space="preserve">The full-service equivalent (FSE) weight within an FSE worker category.</t>
  </si>
  <si>
    <t xml:space="preserve">Fully Composed Preferred or Legal Name for Payslip Printing</t>
  </si>
  <si>
    <t xml:space="preserve">The full preferred name or the full legal name in the reporting display format, as indicated by the payslip printing option.</t>
  </si>
  <si>
    <t xml:space="preserve">Fully Vaccinated</t>
  </si>
  <si>
    <t xml:space="preserve">Returns true if the person's latest vaccination for the vaccine type parameter has a status that indicates they are fully vaccinated. If the type parameter is omitted, the person's latest vaccination of any type is inspected.</t>
  </si>
  <si>
    <t xml:space="preserve">Vaccine Type</t>
  </si>
  <si>
    <t xml:space="preserve">This CRF is setup to receive a Fund or Fund Hierarchy Organization as input and return a Fund or Fund Hierarchy Business Object so that it can be used as a control field in a composite report.</t>
  </si>
  <si>
    <t xml:space="preserve">Funds</t>
  </si>
  <si>
    <t xml:space="preserve">The fund for the worker's primary job.</t>
  </si>
  <si>
    <t xml:space="preserve">Contains the future payment plan assignments for this worker's primary position.</t>
  </si>
  <si>
    <t xml:space="preserve">FV CT Worker Last Base Pay Increase Details</t>
  </si>
  <si>
    <t xml:space="preserve">FV CT Worker Time Type and FTE Percent</t>
  </si>
  <si>
    <t xml:space="preserve">FV FN Worker Last Base Pay Increase Percentage</t>
  </si>
  <si>
    <t xml:space="preserve">FV LRV Worker Last Base Pay Percentage</t>
  </si>
  <si>
    <t xml:space="preserve">GBR IR35 Comments</t>
  </si>
  <si>
    <t xml:space="preserve">Comments related to the UK Worker. Example: The outcome of their IR35 assessment.</t>
  </si>
  <si>
    <t xml:space="preserve">GBR IR35 Effective Date</t>
  </si>
  <si>
    <t xml:space="preserve">The same date as the current contract start date for the UK Worker. This date should be on or after 2021-04-06.</t>
  </si>
  <si>
    <t xml:space="preserve">GBR IR35 Reference ID</t>
  </si>
  <si>
    <t xml:space="preserve">The date and time that you assessed the UK Worker.</t>
  </si>
  <si>
    <t xml:space="preserve">GBR IR35 Status</t>
  </si>
  <si>
    <t xml:space="preserve">The IR35 status of the UK Worker.</t>
  </si>
  <si>
    <t xml:space="preserve">GBR P45: Company Name</t>
  </si>
  <si>
    <t xml:space="preserve">For UK Payroll P45, returns the company name for worker's primary job.</t>
  </si>
  <si>
    <t xml:space="preserve">GBR P45: Header ID Code</t>
  </si>
  <si>
    <t xml:space="preserve">For UK Payroll, returns the P45 Header Code.</t>
  </si>
  <si>
    <t xml:space="preserve">GBR P45: Print Header Page</t>
  </si>
  <si>
    <t xml:space="preserve">For UK Workday Payroll, Returns true if P45 header page is required during print run.</t>
  </si>
  <si>
    <t xml:space="preserve">Payroll Payee Tax Report Printing Run</t>
  </si>
  <si>
    <t xml:space="preserve">GBR P45: Worker Address Left</t>
  </si>
  <si>
    <t xml:space="preserve">For UK Payroll, returns the P45 Header Page Position for the Worker's Address from the left in millimetre.</t>
  </si>
  <si>
    <t xml:space="preserve">GBR P45: Worker Address Top</t>
  </si>
  <si>
    <t xml:space="preserve">For UK Payroll, returns the P45 Header Page Position for the Worker's Address from the top in millimetre.</t>
  </si>
  <si>
    <t xml:space="preserve">GBR P45: Worker Name for Header Page</t>
  </si>
  <si>
    <t xml:space="preserve">For UK Payroll, Returns Worker's Name for P45 Header Page.</t>
  </si>
  <si>
    <t xml:space="preserve">GBR Pen AE: Assessment Result - Enrol Worker</t>
  </si>
  <si>
    <t xml:space="preserve">GBR Pen AE: Assessment Result - Enrol Worker. This CRF is used by customers to enroll the Worker into a Benefit Plan based on their passive events.</t>
  </si>
  <si>
    <t xml:space="preserve">GBR Pen AE: Comments</t>
  </si>
  <si>
    <t xml:space="preserve">Any comments relating to a worker's pension auto-enrolment.</t>
  </si>
  <si>
    <t xml:space="preserve">GBR Pen AE: Don't Assess Until</t>
  </si>
  <si>
    <t xml:space="preserve">Returns pensions auto enrolment - Deferral Date for payroll result.</t>
  </si>
  <si>
    <t xml:space="preserve">GBR Pen AE: Effective Date</t>
  </si>
  <si>
    <t xml:space="preserve">Returns pensions auto enrolment - Effective Date for payroll result.</t>
  </si>
  <si>
    <t xml:space="preserve">GBR Pen AE: Eligible for Tax Relief</t>
  </si>
  <si>
    <t xml:space="preserve">Returns pensions auto enrolment - Eligible for Tax Relief for payroll result.</t>
  </si>
  <si>
    <t xml:space="preserve">GBR Pen AE: Exception from Employer Duties</t>
  </si>
  <si>
    <t xml:space="preserve">Returns pensions auto enrolment - Exception from Employer Duties for payroll result.</t>
  </si>
  <si>
    <t xml:space="preserve">GBR Pen AE: Opt In</t>
  </si>
  <si>
    <t xml:space="preserve">Returns pensions auto enrolment - Opt In for payroll result.</t>
  </si>
  <si>
    <t xml:space="preserve">GBR Pen AE: Opt Out</t>
  </si>
  <si>
    <t xml:space="preserve">Returns pensions auto enrolment - Opt Out during Postponement for payroll result.</t>
  </si>
  <si>
    <t xml:space="preserve">GBR Pen AE: Reason for Exception</t>
  </si>
  <si>
    <t xml:space="preserve">Returns pensions auto enrolment - Reason for Exception for payroll result.</t>
  </si>
  <si>
    <t xml:space="preserve">GBR Pen AE: Reason for Opt Out</t>
  </si>
  <si>
    <t xml:space="preserve">The reason for opting out of a pension scheme.</t>
  </si>
  <si>
    <t xml:space="preserve">GBR Pen AE: Resume Employer Duties</t>
  </si>
  <si>
    <t xml:space="preserve">Returns pensions auto enrolment - Exception Removed for payroll result.</t>
  </si>
  <si>
    <t xml:space="preserve">Gender (Locale Sensitive)</t>
  </si>
  <si>
    <t xml:space="preserve">Indicates the Gender for the person. Returns value based on the localization setting for Worker</t>
  </si>
  <si>
    <t xml:space="preserve">Gender for Committee Candidate</t>
  </si>
  <si>
    <t xml:space="preserve">Returns the gender, if available, for a committee member candidate.</t>
  </si>
  <si>
    <t xml:space="preserve">Gender Identities (Locale Sensitive)</t>
  </si>
  <si>
    <t xml:space="preserve">The gender identities for the person. Returns values based on the localization setting for Worker</t>
  </si>
  <si>
    <t xml:space="preserve">Returns the ~worker’s~ generation using the ~worker’s~ birth date.</t>
  </si>
  <si>
    <t xml:space="preserve">Lists all the Get Feedback events requested for the worker. Includes: Get Feedback on Employee and Get Feedback on Self.</t>
  </si>
  <si>
    <t xml:space="preserve">This CRF is setup to receive a Gift or Gift Hierarchy Organization as input and return a Gift or Gift Hierarchy Business Object so that it can be used as a control field in a composite report.</t>
  </si>
  <si>
    <t xml:space="preserve">Gifts</t>
  </si>
  <si>
    <t xml:space="preserve">The gift for the worker's primary job.</t>
  </si>
  <si>
    <t xml:space="preserve">Give Feedback URL</t>
  </si>
  <si>
    <t xml:space="preserve">Deep Link to Give Feedback Task for the worker</t>
  </si>
  <si>
    <t xml:space="preserve">Global Person Names</t>
  </si>
  <si>
    <t xml:space="preserve">Used in faceted search only.</t>
  </si>
  <si>
    <t xml:space="preserve">Global Person Names in Local Script</t>
  </si>
  <si>
    <t xml:space="preserve">Used in faceted search for name in local script</t>
  </si>
  <si>
    <t xml:space="preserve">Provides all the events where a goal was added or edited for a worker.</t>
  </si>
  <si>
    <t xml:space="preserve">Goal Review Rating - Most Recent</t>
  </si>
  <si>
    <t xml:space="preserve">The goal rating for the most recent performance review with a review period start date on or before today (reviews with no Overall section and without ratings enabled are excluded). The performance review may be in progress or completed and view able by the processing worker and delegate.</t>
  </si>
  <si>
    <t xml:space="preserve">Goals - Most Recent Completed Event</t>
  </si>
  <si>
    <t xml:space="preserve">The ~worker’s~ goals based on the most recent completed Manage Goals or employee review business process event.</t>
  </si>
  <si>
    <t xml:space="preserve">Government ID</t>
  </si>
  <si>
    <t xml:space="preserve">The government IDs for the external candidate.</t>
  </si>
  <si>
    <t xml:space="preserve">Government ID Exists</t>
  </si>
  <si>
    <t xml:space="preserve">True if the candidate provided a government ID during the recruiting process.</t>
  </si>
  <si>
    <t xml:space="preserve">Government ID Type</t>
  </si>
  <si>
    <t xml:space="preserve">True if the worker's ID recorded in the Edit Government IDs task is a Tax File Number (TFN).</t>
  </si>
  <si>
    <t xml:space="preserve">Government Identifiers</t>
  </si>
  <si>
    <t xml:space="preserve">Contains governmental ids for the worker.</t>
  </si>
  <si>
    <t xml:space="preserve">Government Identifiers Displayed With ID Only</t>
  </si>
  <si>
    <t xml:space="preserve">Government IDs for the Worker displayed as ID only.</t>
  </si>
  <si>
    <t xml:space="preserve">This CRF is setup to receive a Grant or Grant Hierarchy Organization as input and return a Grant or Grant Hierarchy Business Object so that it can be used as a control field in a composite report.</t>
  </si>
  <si>
    <t xml:space="preserve">Grants</t>
  </si>
  <si>
    <t xml:space="preserve">Grants for the worker's primary job.</t>
  </si>
  <si>
    <t xml:space="preserve">Group Credit</t>
  </si>
  <si>
    <t xml:space="preserve">Group Credits are awarded to each employee who is a member of a Benefit Group.</t>
  </si>
  <si>
    <t xml:space="preserve">Guaranteed Compensation Basis - Amount</t>
  </si>
  <si>
    <t xml:space="preserve">The guaranteed compensation basis amount for an employee, where the guaranteed compensation basis is the one used by the employee's primary compensation basis.  The number is represented in the currency and frequency of the employee's compensation grade profile, or compensation grade if no compensation grade profile exists.</t>
  </si>
  <si>
    <t xml:space="preserve">Has Academic Appointment</t>
  </si>
  <si>
    <t xml:space="preserve">True, if the committee member candidate has a currently active academic appointment.</t>
  </si>
  <si>
    <t xml:space="preserve">Has Active Flexible Work Arrangement</t>
  </si>
  <si>
    <t xml:space="preserve">True if a worker has an active flexible work arrangement.</t>
  </si>
  <si>
    <t xml:space="preserve">Has Critical Skill</t>
  </si>
  <si>
    <t xml:space="preserve">Indicates if the Worker has a critical skill.</t>
  </si>
  <si>
    <t xml:space="preserve">Has Emeritus</t>
  </si>
  <si>
    <t xml:space="preserve">Returns true if any of the Worker's current Academic Appointment has a Academic Rank indicating Emeritus.  The "effective date" can be specified to return data that is current as of that date.  If not specified, the current date is used.</t>
  </si>
  <si>
    <t xml:space="preserve">Has Employee Movement</t>
  </si>
  <si>
    <t xml:space="preserve">Returns if the worker has moved within the org.</t>
  </si>
  <si>
    <t xml:space="preserve">Include Hire Events</t>
  </si>
  <si>
    <t xml:space="preserve">Has Form I-9</t>
  </si>
  <si>
    <t xml:space="preserve">Returns Yes if Worker has a Complete Form I-9. For U.S. employment eligibility only</t>
  </si>
  <si>
    <t xml:space="preserve">Has In Progress Benefit Event</t>
  </si>
  <si>
    <t xml:space="preserve">Returns a boolean that is true if the worker has an in progress enrollment event and false otherwise.</t>
  </si>
  <si>
    <t xml:space="preserve">Has MSRR Exempt, But Tax Still Withheld</t>
  </si>
  <si>
    <t xml:space="preserve">Self service tax elections where the worker elected MSRR Exempt, but state taxes will still be withheld due to an error recording these elections. The worker must re-enter a new tax election, or a new tax election must be recorded for the worker.</t>
  </si>
  <si>
    <t xml:space="preserve">Has National Identifier</t>
  </si>
  <si>
    <t xml:space="preserve">Whether a dependent has a National ID (SSN) assigned or not.</t>
  </si>
  <si>
    <t xml:space="preserve">Has On-Hold Compensation Review Event due to Leave</t>
  </si>
  <si>
    <t xml:space="preserve">Returns Yes if the employee has an on-hold compensation review event due to being on Leave of Absence, and on-hold event needs to be manually released.</t>
  </si>
  <si>
    <t xml:space="preserve">Has Payment Elections with more than one balance option.</t>
  </si>
  <si>
    <t xml:space="preserve">This signifies if the worker has more than one balance election for the same payment election rule.</t>
  </si>
  <si>
    <t xml:space="preserve">Has Provisioning Group Assignments</t>
  </si>
  <si>
    <t xml:space="preserve">This field returns true if the worker has any provisioning group assignments, regardless of their status.</t>
  </si>
  <si>
    <t xml:space="preserve">Has Tenure</t>
  </si>
  <si>
    <t xml:space="preserve">Returns true if the employee has an academic tenure date set.</t>
  </si>
  <si>
    <t xml:space="preserve">Has Workday Account</t>
  </si>
  <si>
    <t xml:space="preserve">Returns true if the worker has been set up with a Workday account (i.e. logon username and password).</t>
  </si>
  <si>
    <t xml:space="preserve">Headcount Plan Template Contingent Worker Type Filters</t>
  </si>
  <si>
    <t xml:space="preserve">The Contingent Worker Type filters for the selected Headcount Plan Template.</t>
  </si>
  <si>
    <t xml:space="preserve">Headcount Plan Template for Headcount Plan to Financial Budget Reporting Headcount Plan Template (Secured by CSR to Headcount Plan Versions for Headcount Plan Template)</t>
  </si>
  <si>
    <t xml:space="preserve">Headcount Plan Template Cost Center Filters</t>
  </si>
  <si>
    <t xml:space="preserve">The Cost Center filters for the selected Headcount Plan Template.</t>
  </si>
  <si>
    <t xml:space="preserve">Headcount Plan Template Country Filters</t>
  </si>
  <si>
    <t xml:space="preserve">The Country filters for the selected Headcount Plan Template.</t>
  </si>
  <si>
    <t xml:space="preserve">Headcount Plan Template Employee Type Filters</t>
  </si>
  <si>
    <t xml:space="preserve">The Employee Type filters for the selected Headcount Plan Template.</t>
  </si>
  <si>
    <t xml:space="preserve">Headcount Plan Template Location Filters</t>
  </si>
  <si>
    <t xml:space="preserve">The Location filters for the selected Headcount Plan Template.</t>
  </si>
  <si>
    <t xml:space="preserve">Headcount Plan Template Region Filters</t>
  </si>
  <si>
    <t xml:space="preserve">The Region filters for the selected Headcount Plan Template.</t>
  </si>
  <si>
    <t xml:space="preserve">Headcount Plan Template Worker Type Filters</t>
  </si>
  <si>
    <t xml:space="preserve">The Worker Type filters for the selected Headcount Plan Template.</t>
  </si>
  <si>
    <t xml:space="preserve">Contains all health care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</si>
  <si>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 xml:space="preserve">Health Care Waiver Credit</t>
  </si>
  <si>
    <t xml:space="preserve">Returns true if the employee has waived coverage for all elections for a given Health Care Coverage Plan Type.</t>
  </si>
  <si>
    <t xml:space="preserve">Contains all Health Savings Account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</si>
  <si>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 xml:space="preserve">Hierarchic Parents</t>
  </si>
  <si>
    <t xml:space="preserve">The plan dimension Hierarchic Parents.</t>
  </si>
  <si>
    <t xml:space="preserve">Hierarchy for Adaptive Planning Integration</t>
  </si>
  <si>
    <t xml:space="preserve">True if the Plan Dimension is a hierarchy.</t>
  </si>
  <si>
    <t xml:space="preserve">Hierarchy for Planning</t>
  </si>
  <si>
    <t xml:space="preserve">True if the Plan Dimension including Customer, Supplier and Sponsor Dimension are hierarchies.</t>
  </si>
  <si>
    <t xml:space="preserve">Highest Degree</t>
  </si>
  <si>
    <t xml:space="preserve">The highest level of education for a worker.  The degree and last year attended are used to determine what education is considered the highest level.</t>
  </si>
  <si>
    <t xml:space="preserve">Highest Degree CIP Code</t>
  </si>
  <si>
    <t xml:space="preserve">The CIP code assigned to the Field of Study of the highest level of education for a worker. The degree and last year attended are used to determine what education is considered the highest level.</t>
  </si>
  <si>
    <t xml:space="preserve">Highest Degree First Day Attended</t>
  </si>
  <si>
    <t xml:space="preserve">Returns the first day attended for the worker's highest degree.</t>
  </si>
  <si>
    <t xml:space="preserve">Highest Degree Last Day Attended</t>
  </si>
  <si>
    <t xml:space="preserve">Returns the last day attended for the worker's highest degree.</t>
  </si>
  <si>
    <t xml:space="preserve">Highest Degree Received</t>
  </si>
  <si>
    <t xml:space="preserve">The highest level of education for which a worker has received a degree.  The degree and last year attended are used to determine what education is considered the highest level.</t>
  </si>
  <si>
    <t xml:space="preserve">Hire as of Processing Moment</t>
  </si>
  <si>
    <t xml:space="preserve">The worker's most recent hire date as of effective moment.</t>
  </si>
  <si>
    <t xml:space="preserve">Hire Effective Date</t>
  </si>
  <si>
    <t xml:space="preserve">Contains all approved hire employee transactions for the worker.</t>
  </si>
  <si>
    <t xml:space="preserve">Hire Year</t>
  </si>
  <si>
    <t xml:space="preserve">The year from the most recent hire date for a worker.</t>
  </si>
  <si>
    <t xml:space="preserve">Hire Year (Effective)</t>
  </si>
  <si>
    <t xml:space="preserve">The year from the most recent hire date for a worker.  This field will respect the effective moment of the report, so any hire events after the report effective moment will not be considered.</t>
  </si>
  <si>
    <t xml:space="preserve">Hired Before Previous 12 Months</t>
  </si>
  <si>
    <t xml:space="preserve">Returns whether the worker was hired within previous 12 months.</t>
  </si>
  <si>
    <t xml:space="preserve">Include Employees Hired in Previous 12 Months</t>
  </si>
  <si>
    <t xml:space="preserve">The hiring restrictions for the organization for the worker's primary position.</t>
  </si>
  <si>
    <t xml:space="preserve">Hiring Source</t>
  </si>
  <si>
    <t xml:space="preserve">Hiring source for Employee.</t>
  </si>
  <si>
    <t xml:space="preserve">Hispanic or Latino (Country Securable)</t>
  </si>
  <si>
    <t xml:space="preserve">Yes if the worker indicates they are Hispanic or Latino.</t>
  </si>
  <si>
    <t xml:space="preserve">Hispanic or Latino - Visual Survey</t>
  </si>
  <si>
    <t xml:space="preserve">'Yes' if the employer indicates that the employee is Hispanic or Latino. This report field cannot be secured by country.</t>
  </si>
  <si>
    <t xml:space="preserve">Hispanic or Latino - Visual Survey (Country Securable)</t>
  </si>
  <si>
    <t xml:space="preserve">Yes if the employer indicates the employee is  Hispanic or Latino.</t>
  </si>
  <si>
    <t xml:space="preserve">Historical Memberships - Committees</t>
  </si>
  <si>
    <t xml:space="preserve">The committees the person was a member of in the past. Memberships to private committees aren't included.</t>
  </si>
  <si>
    <t xml:space="preserve">The holiday calendars the worker is eligible for.</t>
  </si>
  <si>
    <t xml:space="preserve">Holidays in Date Range</t>
  </si>
  <si>
    <t xml:space="preserve">Holiday Calendar Events for worker within the date range.</t>
  </si>
  <si>
    <t xml:space="preserve">Home Phones</t>
  </si>
  <si>
    <t xml:space="preserve">The home phone numbers for the worker.</t>
  </si>
  <si>
    <t xml:space="preserve">Home Position (As of Date)</t>
  </si>
  <si>
    <t xml:space="preserve">The home position for a Worker as of the effective date.</t>
  </si>
  <si>
    <t xml:space="preserve">Hourly Plan Assignment Details</t>
  </si>
  <si>
    <t xml:space="preserve">This field provides a text representation of the Hourly plans assigned to the worker.</t>
  </si>
  <si>
    <t xml:space="preserve">Hourly Plan Assignments</t>
  </si>
  <si>
    <t xml:space="preserve">Provides the context link between the worker and compensation plan assignment business objects. This field specifically provides a link to the hourly plans assigned to an employee. Linked fields cannot be used in reports as fields, and should only be used as related business objects in reports.</t>
  </si>
  <si>
    <t xml:space="preserve">Hourly Rate - Currency</t>
  </si>
  <si>
    <t xml:space="preserve">Returns the currency for an hourly employee.  If the employee is not paid hourly then the field returns nothing.</t>
  </si>
  <si>
    <t xml:space="preserve">Hourly Rate Amount</t>
  </si>
  <si>
    <t xml:space="preserve">Returns the hourly rate for an hourly employee based on the payroll period end date. If the employee is not paid hourly then the field displays 0.</t>
  </si>
  <si>
    <t xml:space="preserve">HR Business Partner</t>
  </si>
  <si>
    <t xml:space="preserve">Contains one or more workers who have been granted the  HR Business Partner role for this worker's primary position.</t>
  </si>
  <si>
    <t xml:space="preserve">HR Partner</t>
  </si>
  <si>
    <t xml:space="preserve">Contains one or more workers who have been granted the  HR Partner role for this worker's primary position.</t>
  </si>
  <si>
    <t xml:space="preserve">Hukou Locality</t>
  </si>
  <si>
    <t xml:space="preserve">The locality from the worker Hukou. This report field cannot be secured by country.</t>
  </si>
  <si>
    <t xml:space="preserve">Hukou Locality (Country Securable)</t>
  </si>
  <si>
    <t xml:space="preserve">The locality from the worker Hukou.</t>
  </si>
  <si>
    <t xml:space="preserve">Hukou Postal Code</t>
  </si>
  <si>
    <t xml:space="preserve">The postal code from the worker Hukou. This report field cannot be secured by country.</t>
  </si>
  <si>
    <t xml:space="preserve">Hukou Postal Code (Country Securable)</t>
  </si>
  <si>
    <t xml:space="preserve">The postal code from the worker Hukou.</t>
  </si>
  <si>
    <t xml:space="preserve">Hukou Region</t>
  </si>
  <si>
    <t xml:space="preserve">The country region from the worker Hukou. This report field cannot be secured by country.</t>
  </si>
  <si>
    <t xml:space="preserve">Hukou Region (Country Securable)</t>
  </si>
  <si>
    <t xml:space="preserve">The country region from the worker Hukou.</t>
  </si>
  <si>
    <t xml:space="preserve">Hukou Region as of Period End Date</t>
  </si>
  <si>
    <t xml:space="preserve">Worker's Hukou Region as of Period End Date.</t>
  </si>
  <si>
    <t xml:space="preserve">Hukou Region as of Period Start Date</t>
  </si>
  <si>
    <t xml:space="preserve">Worker's Hukou Region as of Period Start Date.</t>
  </si>
  <si>
    <t xml:space="preserve">Hukou Subregion</t>
  </si>
  <si>
    <t xml:space="preserve">The country subregion from the worker Hukou. This report field cannot be secured by country.</t>
  </si>
  <si>
    <t xml:space="preserve">Hukou Subregion (Country Securable)</t>
  </si>
  <si>
    <t xml:space="preserve">The country subregion from the worker Hukou.</t>
  </si>
  <si>
    <t xml:space="preserve">Hukou Subregion as of Period End Date</t>
  </si>
  <si>
    <t xml:space="preserve">Worker's Hukou Subregion as of Period End Date.</t>
  </si>
  <si>
    <t xml:space="preserve">Hukou Subregion as of Period Start Date</t>
  </si>
  <si>
    <t xml:space="preserve">Worker's Hukou Subregion as of Period Start Date.</t>
  </si>
  <si>
    <t xml:space="preserve">The type of Hukou for the worker. This report field cannot be secured by country.</t>
  </si>
  <si>
    <t xml:space="preserve">Hukou Type (Country Securable)</t>
  </si>
  <si>
    <t xml:space="preserve">The type of Hukou for the worker.</t>
  </si>
  <si>
    <t xml:space="preserve">Hukou Type as of Period End Date</t>
  </si>
  <si>
    <t xml:space="preserve">The worker's Hukou Type as of the period end date. This report field cannot be secured by country.</t>
  </si>
  <si>
    <t xml:space="preserve">Hukou Type as of Period Start Date</t>
  </si>
  <si>
    <t xml:space="preserve">The worker's Hukou Type as of the period start date. This report field cannot be secured by country.</t>
  </si>
  <si>
    <t xml:space="preserve">Identifiers on Supervisory Organization</t>
  </si>
  <si>
    <t xml:space="preserve">The Identification # in the Identifier tab of a supervisory organization.</t>
  </si>
  <si>
    <t xml:space="preserve">The candidate's image.</t>
  </si>
  <si>
    <t xml:space="preserve">The notification categories that display an incorrect notification preference.</t>
  </si>
  <si>
    <t xml:space="preserve">The Implementers security group.</t>
  </si>
  <si>
    <t xml:space="preserve">The Importance Rating for the initiative with the most time logged in the last 12 months.</t>
  </si>
  <si>
    <t xml:space="preserve">The imported learning records for a worker</t>
  </si>
  <si>
    <t xml:space="preserve">In Organization on Effective Date</t>
  </si>
  <si>
    <t xml:space="preserve">Returns if the worker was in the organization for a given time frame using a start date or end date, depending on the selected Is Starting Scorecard Timeframe parameter.</t>
  </si>
  <si>
    <t xml:space="preserve">Include Worker on Termination Date</t>
  </si>
  <si>
    <t xml:space="preserve">In Organization on Effective Date for End Headcount</t>
  </si>
  <si>
    <t xml:space="preserve">Is Starting Scorecard Timeframe</t>
  </si>
  <si>
    <t xml:space="preserve">The in progress mentorship events for the worker.</t>
  </si>
  <si>
    <t xml:space="preserve">The in-progress referral event for a candidate. This report field should only be used for data purging.</t>
  </si>
  <si>
    <t xml:space="preserve">Inactive Prospect</t>
  </si>
  <si>
    <t xml:space="preserve">True if the prospect is inactive as of the effective date.</t>
  </si>
  <si>
    <t xml:space="preserve">Independent Contingent Worker</t>
  </si>
  <si>
    <t xml:space="preserve">Is the worker an Independent Contingent Worker.</t>
  </si>
  <si>
    <t xml:space="preserve">Indicates if a worker is European Economic Area citizen</t>
  </si>
  <si>
    <t xml:space="preserve">The European Economic Area citizenship status of the international assignment worker.</t>
  </si>
  <si>
    <t xml:space="preserve">Indicates if a worker is of an EPM 6 (modified) scheme</t>
  </si>
  <si>
    <t xml:space="preserve">The EPM 6 (modified) scheme status of the international assignment worker.</t>
  </si>
  <si>
    <t xml:space="preserve">Industry</t>
  </si>
  <si>
    <t xml:space="preserve">The industries associated with the job history company for the worker or candidate job history based on their most recent job application or prospect record. This also supports facets for Find Workers, My Candidates or Find Candidates reports.</t>
  </si>
  <si>
    <t xml:space="preserve">Initial Measurement Period Start Date</t>
  </si>
  <si>
    <t xml:space="preserve">This CRF is specific for ACA IRS Reporting. Returns the Initial Measurement Period Start Date for the Worker</t>
  </si>
  <si>
    <t xml:space="preserve">Instance ID for Worktag and Dimension</t>
  </si>
  <si>
    <t xml:space="preserve">Returns the Instance ID for a given Accounting Worktag and Aggregation Dimension.</t>
  </si>
  <si>
    <t xml:space="preserve">Contains all the instant messengers for the worker</t>
  </si>
  <si>
    <t xml:space="preserve">Insurance Election Changes</t>
  </si>
  <si>
    <t xml:space="preserve">Returns the insurance election changes of the worker that ended benefit plan coverage</t>
  </si>
  <si>
    <t xml:space="preserve">Contains all insurance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</si>
  <si>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 xml:space="preserve">INT EE Worker Pay Group</t>
  </si>
  <si>
    <t xml:space="preserve">INT EE Worker Pay Group for INT Studio Payroll Input Processor Inbound</t>
  </si>
  <si>
    <t xml:space="preserve">INT EE Worker Position</t>
  </si>
  <si>
    <t xml:space="preserve">INT EE Worker Position for INT Studio Payroll Input Processor Inbound</t>
  </si>
  <si>
    <t xml:space="preserve">INT EE Worker Reference Type for INT Studio Payroll Input Processor Inbound</t>
  </si>
  <si>
    <t xml:space="preserve">INT EE Worker Studio Payroll Input Processor Inbound Pay Group</t>
  </si>
  <si>
    <t xml:space="preserve">INT EE Worker Studio Payroll Input Processor Inbound Reference Type</t>
  </si>
  <si>
    <t xml:space="preserve">INT LRV Worker STD DEMO CCW Location WID</t>
  </si>
  <si>
    <t xml:space="preserve">INT LVD Worker Pay Group as of Termination Date</t>
  </si>
  <si>
    <t xml:space="preserve">INT LVD Worker Pay Group as of Termination Date for INT Studio Payroll Input Processor Inbound</t>
  </si>
  <si>
    <t xml:space="preserve">INT LVD Worker Position as of Termination Date</t>
  </si>
  <si>
    <t xml:space="preserve">INT LVD Worker Position as of Termination for INT Studio Payroll Input Processor Inbound</t>
  </si>
  <si>
    <t xml:space="preserve">INT LVD Worker Studio Payroll Input Processor Inbound Pay Group as of Termination Date</t>
  </si>
  <si>
    <t xml:space="preserve">INT TC Worker Contingent_Worker_ID</t>
  </si>
  <si>
    <t xml:space="preserve">INT TC Worker Employee_ID</t>
  </si>
  <si>
    <t xml:space="preserve">The integration identifier for this integratable object.</t>
  </si>
  <si>
    <t xml:space="preserve">Interested Flex Teams</t>
  </si>
  <si>
    <t xml:space="preserve">flex teams that the flex team Worker is interested in.</t>
  </si>
  <si>
    <t xml:space="preserve">Interests - Last Updated</t>
  </si>
  <si>
    <t xml:space="preserve">The date the Interest information was last updated for an employee.</t>
  </si>
  <si>
    <t xml:space="preserve">The internal compensation benchmark for primary or secondary positions with active employees that share the same job profile, compensation grade, and compensation grade profile as the primary position of the displayed employee. This is an adapter field and can only be used in conjunction with internal benchmark fields such as Compensation Basis, Basis Amount, Average, Minimum, Maximum, Position Count, Currency, and Frequency.  Three report parameters are made available with this field: compensation basis, currency, and frequency. Compensation basis is a required parameter. The internal benchmark excludes positions that are ineligible for the specified compensation basis. Currency and frequency are optional parameters. When not specified, Workday bases internal benchmark values on the currency and frequency of the applicable pay range.  Workday recommends building reports using the Workers for HCM Reporting data source and the Workers by Job Profile and Compensation Grade data source filter.   For reports with a data source utilizing Worker as the primary business object, selecting this field for the Business Object column enables access to internal benchmark fields.  For calculated fields based off of the Worker business object, using this field as the Source Field enables you to identify a specific compensation basis (delivered or configured), currency, or frequency for use as a report parameter.</t>
  </si>
  <si>
    <t xml:space="preserve">Internal Job History Section</t>
  </si>
  <si>
    <t xml:space="preserve">Returns True when the user has access to the Internal Job History Section.</t>
  </si>
  <si>
    <t xml:space="preserve">Internal Primary Compensation Basis Benchmark for Worker</t>
  </si>
  <si>
    <t xml:space="preserve">The internal compensation benchmark for primary or secondary positions with active employees that share the same job profile, compensation grade, compensation grade profile, and primary compensation basis as the primary position of the displayed employee. This is an adapter field and can only be used in conjunction with internal benchmark fields such as Compensation Basis, Basis Amount, Average, Minimum, Maximum, Position Count, Currency, and Frequency.  Two optional report parameters are made available with this field: currency and frequency. When not specified, Workday uses internal benchmark values based on the currency and frequency of the applicable pay range.  Workday recommends building reports using the Workers for HCM Reporting data source and the Workers by Job Profile and Compensation Grade data source filter.   For reports with a data source utilizing Worker as the primary business object, selecting this field for the Business Object column enables access to internal benchmark fields.  For calculated fields based off of the Worker business object, using this field as the Source Field enables you to identify a specific currency or frequency for use as a report parameter.  Large volumes of compensation bases and complex eligibility rules increases report run times. Workday recommends that you minimize the number of workers selected for each report run in order to improve run times.</t>
  </si>
  <si>
    <t xml:space="preserve">Internal Project Section</t>
  </si>
  <si>
    <t xml:space="preserve">Returns True when the user has access to the Internal Project Section.</t>
  </si>
  <si>
    <t xml:space="preserve">Contains the internal projects that a worker has been a part of.</t>
  </si>
  <si>
    <t xml:space="preserve">Internal Projects as Text</t>
  </si>
  <si>
    <t xml:space="preserve">Internal Skills</t>
  </si>
  <si>
    <t xml:space="preserve">All active and inactive Internal Skills that are in the Maintain Skills table for a worker.  This field does not include skill cloud skills or crowdsourced skills.</t>
  </si>
  <si>
    <t xml:space="preserve">International Assignment Countries</t>
  </si>
  <si>
    <t xml:space="preserve">Returns for each assignment the country of the location to which the employee is assigned while on international assignment as of the current processing date.</t>
  </si>
  <si>
    <t xml:space="preserve">International Assignment Location Addresses - All</t>
  </si>
  <si>
    <t xml:space="preserve">Returns all the International Assignment Location Addresses from a worker as of a specified date.</t>
  </si>
  <si>
    <t xml:space="preserve">International Assignment Types</t>
  </si>
  <si>
    <t xml:space="preserve">The types of international assignments in effect for an employee as of the current processing date</t>
  </si>
  <si>
    <t xml:space="preserve">International Assignment Types - All</t>
  </si>
  <si>
    <t xml:space="preserve">The ~worker’s~ international assignment types based on their active international assignments as of the current date. You can only use this report field on a custom data source.</t>
  </si>
  <si>
    <t xml:space="preserve">International Assignment Types as of Period End Date</t>
  </si>
  <si>
    <t xml:space="preserve">Returns the types of international assignments as defined by your organization as of the period end date.</t>
  </si>
  <si>
    <t xml:space="preserve">International Assignment Types as of Period Start Date</t>
  </si>
  <si>
    <t xml:space="preserve">Returns the types of international assignments as defined by your organization as of the period start date.</t>
  </si>
  <si>
    <t xml:space="preserve">International Assignment Work Address</t>
  </si>
  <si>
    <t xml:space="preserve">The work address of the first active international assignment. The international assignment work address is the IA location address unless an alternate address has been entered with an effective date that is greater than or equal to the IA start date and less than the IA end date (or there is no IA end date).</t>
  </si>
  <si>
    <t xml:space="preserve">International Assignment Work Addresses - All</t>
  </si>
  <si>
    <t xml:space="preserve">Returns all the International Assignment Work Addresses from a worker as of a specified date. The international assignment work address is the IA location address unless an alternate address has been entered with an effective date that is greater than or equal to the IA start date and less than the IA end date (or there is no IA end date).</t>
  </si>
  <si>
    <t xml:space="preserve">International Assignment Work Addresses - Public</t>
  </si>
  <si>
    <t xml:space="preserve">Returns all the International Assignment Work Addresses from a worker as of a specified date. The international assignment work address is the IA location address unless an alternate address has been entered with an effective date that is greater than or equal to the IA start date and less than the IA end date (or there is no IA end date). The alternate address is retrieved only if it is PUBLIC.</t>
  </si>
  <si>
    <t xml:space="preserve">All of the ~worker’s~ International Assignments. You can only use this report field on a custom data source.</t>
  </si>
  <si>
    <t xml:space="preserve">International Assignments - All</t>
  </si>
  <si>
    <t xml:space="preserve">Contains all active International Assignments for an Employee as of a specified date.</t>
  </si>
  <si>
    <t xml:space="preserve">International Assignments As of Date</t>
  </si>
  <si>
    <t xml:space="preserve">Contains all International Assignments for a Worker as of the effective date passed in from report.</t>
  </si>
  <si>
    <t xml:space="preserve">Invitee Attended?</t>
  </si>
  <si>
    <t xml:space="preserve">Returns yes when the invitee is also a meeting attendee. Invitees included via the Invitees - All Members checkbox are included.</t>
  </si>
  <si>
    <t xml:space="preserve">IPEDS Job Classification Mapping</t>
  </si>
  <si>
    <t xml:space="preserve">Returns the job classification metadata value for the job classification that belongs to the IPEDS job classification group (metadata) on the worker's primary position.</t>
  </si>
  <si>
    <t xml:space="preserve">Current instance of the Employer Registration Number, as of effective date.</t>
  </si>
  <si>
    <t xml:space="preserve">Is Academic Affiliate</t>
  </si>
  <si>
    <t xml:space="preserve">True, if the committee member candidate is an active academic affiliate, even if the person has another active role.</t>
  </si>
  <si>
    <t xml:space="preserve">Is Active Student</t>
  </si>
  <si>
    <t xml:space="preserve">True if the worker is an active student.</t>
  </si>
  <si>
    <t xml:space="preserve">Is Admissions Counselor</t>
  </si>
  <si>
    <t xml:space="preserve">True, if the committee member candidate is an active admissions counselor, even if the person has another active role.</t>
  </si>
  <si>
    <t xml:space="preserve">Is Aggregation Dimension</t>
  </si>
  <si>
    <t xml:space="preserve">This Field will return True if the context instance is Aggregation Dimension</t>
  </si>
  <si>
    <t xml:space="preserve">Returns an At Risk or Not At Risk value depending on if the employee is in the High Retention Risk Bucket. For usage only on the Retention Risk Dashboard.</t>
  </si>
  <si>
    <t xml:space="preserve">Is Candidate</t>
  </si>
  <si>
    <t xml:space="preserve">Internal use only.  Returns true if the Candidate is an external candidate.</t>
  </si>
  <si>
    <t xml:space="preserve">Is Domestic Assignee</t>
  </si>
  <si>
    <t xml:space="preserve">True if a worker is on a domestic assignment.</t>
  </si>
  <si>
    <t xml:space="preserve">Is Eligible For Active Purge</t>
  </si>
  <si>
    <t xml:space="preserve">This active Worker is purgeable.</t>
  </si>
  <si>
    <t xml:space="preserve">Is Eligible for Purge</t>
  </si>
  <si>
    <t xml:space="preserve">This role is purgeable.</t>
  </si>
  <si>
    <t xml:space="preserve">Is Employee's Primary Position Fixed Term</t>
  </si>
  <si>
    <t xml:space="preserve">Indicates whether the employee type for the primary position is fixed term.  This is only relevant for employees.</t>
  </si>
  <si>
    <t xml:space="preserve">Is Employee's Primary Position Seasonal</t>
  </si>
  <si>
    <t xml:space="preserve">Indicates whether the employee type for the primary position is seasonal.  This is only relevant for employees.</t>
  </si>
  <si>
    <t xml:space="preserve">Is Employee's Primary Position Trainee</t>
  </si>
  <si>
    <t xml:space="preserve">Indicates whether the employee type for the primary position is trainee.  This is only relevant for employees.</t>
  </si>
  <si>
    <t xml:space="preserve">Is External Committee Member</t>
  </si>
  <si>
    <t xml:space="preserve">Returns True if the committee member candidate is an external committee member.</t>
  </si>
  <si>
    <t xml:space="preserve">Is Hierarchy</t>
  </si>
  <si>
    <t xml:space="preserve">Indicates if Plan Dimension is a hierarchy.</t>
  </si>
  <si>
    <t xml:space="preserve">Is High Loss Impact Risk</t>
  </si>
  <si>
    <t xml:space="preserve">Returns true if the employee is high loss impact risk. Only returns a value for employees as contingent workers do not have retention risk tracked.</t>
  </si>
  <si>
    <t xml:space="preserve">Is International Assignee</t>
  </si>
  <si>
    <t xml:space="preserve">Identifies if a worker is on an international assignment.</t>
  </si>
  <si>
    <t xml:space="preserve">Is Job Filled or Frozen or Closed</t>
  </si>
  <si>
    <t xml:space="preserve">True if all job requisitions the candidate has applied to or has been referred to are closed, filled, or frozen.</t>
  </si>
  <si>
    <t xml:space="preserve">Is Manager with Manager Direct Reports</t>
  </si>
  <si>
    <t xml:space="preserve">Identifies if the worker has a manager role and has any direct reports who also have a manager role.</t>
  </si>
  <si>
    <t xml:space="preserve">Is Overlap Worker</t>
  </si>
  <si>
    <t xml:space="preserve">Returns true if the worker is an overlap worker .Only reports on Primary Position from the worker level</t>
  </si>
  <si>
    <t xml:space="preserve">Is Part-Time According To Affordable Care Act Standard</t>
  </si>
  <si>
    <t xml:space="preserve">Returns true if part-time (for primary position) according to Affordable Care Act standard settings for the Affordable Care Act configuration.</t>
  </si>
  <si>
    <t xml:space="preserve">Is Part-Time According To Affordable Care Act Standard (Multi Job)</t>
  </si>
  <si>
    <t xml:space="preserve">Returns true if part-time (taking all positions into account) according to Affordable Care Act standard settings for the Affordable Care Act configuration.</t>
  </si>
  <si>
    <t xml:space="preserve">Is People Manager (with prompts)</t>
  </si>
  <si>
    <t xml:space="preserve">True if the worker is a manager with at least 1 direct report. This field has optional built-in prompts that you can use to narrow your results to only managers of employees, specific employee types, contingent workers, specific contingent worker types, or unfilled positions. Workday recommends you use this report field in worker trending reports or on custom data sources where you create a Lookup Field with Prompts calculated field based on this report field. Note: If you use this field in custom reports, the field prompts will become prompts on your custom report.</t>
  </si>
  <si>
    <t xml:space="preserve">Include managers of employees</t>
  </si>
  <si>
    <t xml:space="preserve">Is Student</t>
  </si>
  <si>
    <t xml:space="preserve">True, if the committee member candidate is an active student, even if the person has another active role.</t>
  </si>
  <si>
    <t xml:space="preserve">Is Top Hierarchy</t>
  </si>
  <si>
    <t xml:space="preserve">This Field will return True if the context instance is the Top level Dimension</t>
  </si>
  <si>
    <t xml:space="preserve">Hierarchy</t>
  </si>
  <si>
    <t xml:space="preserve">Is US Citizen</t>
  </si>
  <si>
    <t xml:space="preserve">Identifies US citizenship of the worker.</t>
  </si>
  <si>
    <t xml:space="preserve">Is Worker</t>
  </si>
  <si>
    <t xml:space="preserve">Internal use only.  Returns true if the Candidate is an internal worker.</t>
  </si>
  <si>
    <t xml:space="preserve">True, if the committee member candidate is an active worker, even if the person has another active role.</t>
  </si>
  <si>
    <t xml:space="preserve">Is Worker Terminated on the End Date (Turnover Filter)</t>
  </si>
  <si>
    <t xml:space="preserve">Returns if the worker is terminated on the end date if Include worker on Termination Date parameter is true.</t>
  </si>
  <si>
    <t xml:space="preserve">Issued Business Assets</t>
  </si>
  <si>
    <t xml:space="preserve">The business assets issued to the worker.</t>
  </si>
  <si>
    <t xml:space="preserve">Job Application For Hire Singular</t>
  </si>
  <si>
    <t xml:space="preserve">The job application which led to the worker's hire.</t>
  </si>
  <si>
    <t xml:space="preserve">The offer status of the latest job application in the Offer or Employment Agreement stage.</t>
  </si>
  <si>
    <t xml:space="preserve">Job Applications</t>
  </si>
  <si>
    <t xml:space="preserve">Returns the job applications for a worker, excluding those where the worker applies as an external candidate.</t>
  </si>
  <si>
    <t xml:space="preserve">Job Applications with Staffing Events</t>
  </si>
  <si>
    <t xml:space="preserve">The job applications moved into a staffing event.</t>
  </si>
  <si>
    <t xml:space="preserve">Job Classification - All Positions</t>
  </si>
  <si>
    <t xml:space="preserve">All job classifications associated with the worker. Includes job classifications from primary and additional positions and jobs.</t>
  </si>
  <si>
    <t xml:space="preserve">Contains the job classification groups for the job classifications from the job profile and additional job classifications from the worker's primary position.</t>
  </si>
  <si>
    <t xml:space="preserve">The job classification mapping for a worker's positions.</t>
  </si>
  <si>
    <t xml:space="preserve">Job Classification Mapping - Primary Position</t>
  </si>
  <si>
    <t xml:space="preserve">The job classification mapping for a worker's primary position. If the position has multiple job classifications, the field reports the alphanumerically lowest job classification.</t>
  </si>
  <si>
    <t xml:space="preserve">Job Classifications</t>
  </si>
  <si>
    <t xml:space="preserve">Contains the job classifications from the job profile and additional job classifications from the worker's primary position. When applying security during filtering, grouping, aggregation operations, this field will honor security for the worker rather than the ~worker’s~ primary position.</t>
  </si>
  <si>
    <t xml:space="preserve">Job Classifications (Benefit Jobs)</t>
  </si>
  <si>
    <t xml:space="preserve">Contains the job classifications from the job profile and additional job classifications from the worker's benefit jobs. Used for Benefit Eligibility.</t>
  </si>
  <si>
    <t xml:space="preserve">Job Classifications (Benefits)</t>
  </si>
  <si>
    <t xml:space="preserve">Contains the job classifications from the job profile and additional job classifications from the worker's primary position. Used in Benefits Eligibility.</t>
  </si>
  <si>
    <t xml:space="preserve">Job Classifications - Job Profile</t>
  </si>
  <si>
    <t xml:space="preserve">The job classifications from the job profile and additional job classifications from the worker's primary position.</t>
  </si>
  <si>
    <t xml:space="preserve">Job Classifications - Job Profile (Benefit Jobs)</t>
  </si>
  <si>
    <t xml:space="preserve">The Job Classifications in the Job Profiles of the worker's jobs that are being used as benefit jobs. Workday considers the worker's primary job as a benefit job by default. You can designate additional jobs as benefit jobs if they need to be assessed to determine the worker's benefit eligibility.</t>
  </si>
  <si>
    <t xml:space="preserve">Job Classifications - Position</t>
  </si>
  <si>
    <t xml:space="preserve">Returns the job classifications of the worker's primary position or benefit jobs.</t>
  </si>
  <si>
    <t xml:space="preserve">Job Classifications - Position (Benefit Jobs)</t>
  </si>
  <si>
    <t xml:space="preserve">Job classification of the worker's benefits jobs.</t>
  </si>
  <si>
    <t xml:space="preserve">Job Details Section</t>
  </si>
  <si>
    <t xml:space="preserve">Returns True when the user has access to the Job Details Section.</t>
  </si>
  <si>
    <t xml:space="preserve">Job Exempt Applies</t>
  </si>
  <si>
    <t xml:space="preserve">Returns true if the Worker's Primary Position has a job profile and location combination where the concept of Job Exempt is valid.  If this field is true, then the 'No' value returned by the field Exempt means that the position is Non-Exempt. If the field is false, then the 'No' value returned by the field Exempt can be ignored.</t>
  </si>
  <si>
    <t xml:space="preserve">Job Families (Benefit Jobs)</t>
  </si>
  <si>
    <t xml:space="preserve">The job family for the worker's benefit jobs, which are jobs that can be used to determine benefits eligibility.</t>
  </si>
  <si>
    <t xml:space="preserve">Job Family (Benefits)</t>
  </si>
  <si>
    <t xml:space="preserve">The job family for the worker's primary position or benefit jobs.</t>
  </si>
  <si>
    <t xml:space="preserve">Job Family Group (Benefit Jobs)</t>
  </si>
  <si>
    <t xml:space="preserve">The job family group for the worker's benefit jobs.</t>
  </si>
  <si>
    <t xml:space="preserve">Job Family Group (Benefits)</t>
  </si>
  <si>
    <t xml:space="preserve">The job family group for the worker's primary position. Use this for Benefit Eligibility.</t>
  </si>
  <si>
    <t xml:space="preserve">Job History - Skills and Experience</t>
  </si>
  <si>
    <t xml:space="preserve">Contains the prior jobs held for the worker outside of the current company.</t>
  </si>
  <si>
    <t xml:space="preserve">Job History Companies</t>
  </si>
  <si>
    <t xml:space="preserve">Contains the company for the prior jobs held for the worker outside of the current company.</t>
  </si>
  <si>
    <t xml:space="preserve">Job History Companies as Text</t>
  </si>
  <si>
    <t xml:space="preserve">Job History Companies In Common</t>
  </si>
  <si>
    <t xml:space="preserve">Companies in common for the current user with the worker.</t>
  </si>
  <si>
    <t xml:space="preserve">Job History Displayed With Company Name</t>
  </si>
  <si>
    <t xml:space="preserve">Contains the prior jobs held for the worker outside of the current company displayed as the company name.</t>
  </si>
  <si>
    <t xml:space="preserve">Contains the job history for the worker from previous system.</t>
  </si>
  <si>
    <t xml:space="preserve">Job History Responsibilities and Achievements</t>
  </si>
  <si>
    <t xml:space="preserve">Returns the workers Job History Responsibilities and Achievements</t>
  </si>
  <si>
    <t xml:space="preserve">Job History Section</t>
  </si>
  <si>
    <t xml:space="preserve">Returns True when the user has access to the External Job History Section.</t>
  </si>
  <si>
    <t xml:space="preserve">Job Interests</t>
  </si>
  <si>
    <t xml:space="preserve">The jobs for which the employee expressed interest.</t>
  </si>
  <si>
    <t xml:space="preserve">Job Interests - Last Updated</t>
  </si>
  <si>
    <t xml:space="preserve">The date the job interest information was last updated.</t>
  </si>
  <si>
    <t xml:space="preserve">Job Interests Section</t>
  </si>
  <si>
    <t xml:space="preserve">Returns True when the user has access to the Worker Data Job Interests domain.</t>
  </si>
  <si>
    <t xml:space="preserve">Job Profile (Benefits)</t>
  </si>
  <si>
    <t xml:space="preserve">Returns the Job Profile from the worker's primary position</t>
  </si>
  <si>
    <t xml:space="preserve">Job Profile (Current, Last or Future)</t>
  </si>
  <si>
    <t xml:space="preserve">The worker job profile for Current or Last Held or Future Fill Position of Employment.</t>
  </si>
  <si>
    <t xml:space="preserve">Job Profile (Primary)</t>
  </si>
  <si>
    <t xml:space="preserve">The job profile for the worker's primary position. When applying security during filtering, grouping, aggregation operations, this field will honor security for the worker rather than the ~worker’s~ primary position.</t>
  </si>
  <si>
    <t xml:space="preserve">Job Profile - All Positions</t>
  </si>
  <si>
    <t xml:space="preserve">All job profiles associated with the worker. Includes job profiles from primary and additional positions and jobs.</t>
  </si>
  <si>
    <t xml:space="preserve">Job Profile - Primary Position</t>
  </si>
  <si>
    <t xml:space="preserve">The job profile for the worker's primary position.  Does not return a value if the worker has more than one position (multiple jobs).  Search only.</t>
  </si>
  <si>
    <t xml:space="preserve">Job Profile Change</t>
  </si>
  <si>
    <t xml:space="preserve">Contains the job profile changes for a worker's primary position.</t>
  </si>
  <si>
    <t xml:space="preserve">Job Profile Change History</t>
  </si>
  <si>
    <t xml:space="preserve">Contains the job profile changes for a worker's primary position. Does not include future-dated changes.</t>
  </si>
  <si>
    <t xml:space="preserve">Job Profile for Committee Candidate</t>
  </si>
  <si>
    <t xml:space="preserve">Returns the Job Profile, if it exists, for a committee member candidate.</t>
  </si>
  <si>
    <t xml:space="preserve">Job Profile Name</t>
  </si>
  <si>
    <t xml:space="preserve">The job profile title for the worker's primary position.</t>
  </si>
  <si>
    <t xml:space="preserve">Job Profiles</t>
  </si>
  <si>
    <t xml:space="preserve">The job profile for the worker's primary position or the job profile for the job requisition the candidate has most recently applied to.</t>
  </si>
  <si>
    <t xml:space="preserve">Job Profiles (Benefit Jobs)</t>
  </si>
  <si>
    <t xml:space="preserve">Job profiles from the worker's benefit jobs.</t>
  </si>
  <si>
    <t xml:space="preserve">The job requisition filled for the worker's primary position.</t>
  </si>
  <si>
    <t xml:space="preserve">Job Title - Current</t>
  </si>
  <si>
    <t xml:space="preserve">The most recent business title of a candidate. This is a checkbox marked on the job application as "currently works here."</t>
  </si>
  <si>
    <t xml:space="preserve">Contains all job titles for a candidate's current and past experience.</t>
  </si>
  <si>
    <t xml:space="preserve">Job Titles as Text</t>
  </si>
  <si>
    <t xml:space="preserve">Internal use only.  The job titles that the candidate has had as a text string with spaces between each job title.  This is used when text based searching for a candidate by a job title and is not exposed in report writer for a customer to directly use.</t>
  </si>
  <si>
    <t xml:space="preserve">Returns all job based security groups for the current user.</t>
  </si>
  <si>
    <t xml:space="preserve">Jobs Applied For</t>
  </si>
  <si>
    <t xml:space="preserve">All of the job requisitions that the candidate applied to.</t>
  </si>
  <si>
    <t xml:space="preserve">Jobs Used for Eligibility</t>
  </si>
  <si>
    <t xml:space="preserve">The jobs used to determine a worker's eligibility for benefits. Workday uses jobs that you manually select, or the benefit job selction rule you assign to the worker's benefit group. If the worker has no benefit jobs, this field displays the worker's primary job.</t>
  </si>
  <si>
    <t xml:space="preserve">Languages for candidate. This is used as a facet for Find Candidates.</t>
  </si>
  <si>
    <t xml:space="preserve">Contains the languages that a worker speaks, writes, or reads.</t>
  </si>
  <si>
    <t xml:space="preserve">Languages for Committee Candidate</t>
  </si>
  <si>
    <t xml:space="preserve">Returns language(s), if they exist, for a committee member candidate.</t>
  </si>
  <si>
    <t xml:space="preserve">Languages Section</t>
  </si>
  <si>
    <t xml:space="preserve">Returns True when the user has access to the Languages Section.</t>
  </si>
  <si>
    <t xml:space="preserve">Last Base Pay Increase</t>
  </si>
  <si>
    <t xml:space="preserve">Contains the business process for the last compensation change, with a base pay change for the employee.</t>
  </si>
  <si>
    <t xml:space="preserve">Last Base Pay Increase - Currency</t>
  </si>
  <si>
    <t xml:space="preserve">The currency associated with the employee's last base pay change.</t>
  </si>
  <si>
    <t xml:space="preserve">Last Base Pay Increase in Reporting Currency - Amount</t>
  </si>
  <si>
    <t xml:space="preserve">The amount of the last change to the employee's base pay, which may be future-dated, represented in the reporting currency.</t>
  </si>
  <si>
    <t xml:space="preserve">Last Base Pay Increase in Reporting Currency - Currency</t>
  </si>
  <si>
    <t xml:space="preserve">The reporting currency for the Workday system.</t>
  </si>
  <si>
    <t xml:space="preserve">Last Bonus Or One-Time Payment - Amount</t>
  </si>
  <si>
    <t xml:space="preserve">The amount of the most recent bonus or one-time payment, based on scheduled payment date and event effective date, regardless of event status.</t>
  </si>
  <si>
    <t xml:space="preserve">Last Bonus Or One-Time Payment - Date</t>
  </si>
  <si>
    <t xml:space="preserve">The effective date of the last bonus payment paid to a employee.  This includes both recurring bonus payments, as well as one-time bonus payments.</t>
  </si>
  <si>
    <t xml:space="preserve">Last Bonus Or One-Time Payment - Percent</t>
  </si>
  <si>
    <t xml:space="preserve">The percent of the last bonus payment paid to a employee.  This includes both recurring bonus payments, as well as one-time bonus payments.</t>
  </si>
  <si>
    <t xml:space="preserve">Last Bonus Or One-Time Payment - Plan</t>
  </si>
  <si>
    <t xml:space="preserve">Returns the plan for last recurring bonus payments or one-time bonus payments paid to an employee, regardless if there are one or multiple payments on the same date.</t>
  </si>
  <si>
    <t xml:space="preserve">Last Bonus Payment - Currency</t>
  </si>
  <si>
    <t xml:space="preserve">The currency associated with the employee's last bonus payment.</t>
  </si>
  <si>
    <t xml:space="preserve">Last Bonus Payment in Reporting Currency - Amount</t>
  </si>
  <si>
    <t xml:space="preserve">The amount of the last bonus payment paid to a employee, represented in the reporting currency for the Workday system.  This includes both recurring bonus payments, as well as one-time bonus payments.</t>
  </si>
  <si>
    <t xml:space="preserve">Last Bonus Payment in Reporting Currency - Currency</t>
  </si>
  <si>
    <t xml:space="preserve">Last Candidate Update Moment</t>
  </si>
  <si>
    <t xml:space="preserve">Tracks functional updates to the candidate or worker.  These updates include changes to the government and national IDs,  job applications or prospect.  Returns last updated date/time.</t>
  </si>
  <si>
    <t xml:space="preserve">Last Compensation Change</t>
  </si>
  <si>
    <t xml:space="preserve">Contains the business process for the last compensation change for the employee.</t>
  </si>
  <si>
    <t xml:space="preserve">Last Date for Which Paid</t>
  </si>
  <si>
    <t xml:space="preserve">The last date for which the Canadian worker is paid as specified on the most recent termination transaction for the worker. This field is specific to Canadian employment.</t>
  </si>
  <si>
    <t xml:space="preserve">Last Day in Pay Status Date</t>
  </si>
  <si>
    <t xml:space="preserve">Date on which the employee was last in the Default Pay Status Code for Active Workers.</t>
  </si>
  <si>
    <t xml:space="preserve">Last Day of Leave - Actual</t>
  </si>
  <si>
    <t xml:space="preserve">The actual last day of leave for a worker, if today or in the future.</t>
  </si>
  <si>
    <t xml:space="preserve">Last Day of Work for Leave</t>
  </si>
  <si>
    <t xml:space="preserve">Returns the last day of work prior to an employee going on leave.  Only returns a date if the employee is currently on a leave and has not been returned from leave yet.</t>
  </si>
  <si>
    <t xml:space="preserve">Last Degree Received</t>
  </si>
  <si>
    <t xml:space="preserve">The most recent degree received by the candidate.</t>
  </si>
  <si>
    <t xml:space="preserve">Last Expense Report Submitted</t>
  </si>
  <si>
    <t xml:space="preserve">The last expense report submitted by the worker.</t>
  </si>
  <si>
    <t xml:space="preserve">Last Expense Report Submitted Date</t>
  </si>
  <si>
    <t xml:space="preserve">The submit date of he last expense report submitted by the worker.</t>
  </si>
  <si>
    <t xml:space="preserve">Last Medical Exam Comments (Locale Sensitive)</t>
  </si>
  <si>
    <t xml:space="preserve">Notes on the last medical exam for the worker</t>
  </si>
  <si>
    <t xml:space="preserve">Last Medical Exam Date (Locale Sensitive)</t>
  </si>
  <si>
    <t xml:space="preserve">Track medical exam information for workers Default Areas</t>
  </si>
  <si>
    <t xml:space="preserve">Last Medical Exam Valid To (Locale Sensitive)</t>
  </si>
  <si>
    <t xml:space="preserve">Expiration date of the last medical exam for the worker</t>
  </si>
  <si>
    <t xml:space="preserve">Last Name</t>
  </si>
  <si>
    <t xml:space="preserve">The last name of a candidate.</t>
  </si>
  <si>
    <t xml:space="preserve">Last Payment Date</t>
  </si>
  <si>
    <t xml:space="preserve">The date of the most recent payroll payment for a worker. This field returns data for only Workday generated payments.</t>
  </si>
  <si>
    <t xml:space="preserve">Last Payroll Payment Date</t>
  </si>
  <si>
    <t xml:space="preserve">The date of the most recent payroll payment for a worker. This field returns data for all payments.</t>
  </si>
  <si>
    <t xml:space="preserve">Last Period Completed</t>
  </si>
  <si>
    <t xml:space="preserve">Last Completed Period of Regular Pay Group Detail for worker</t>
  </si>
  <si>
    <t xml:space="preserve">Last Promotion Effective Date</t>
  </si>
  <si>
    <t xml:space="preserve">Returns most recent promotion event for worker's primary job on or before processing effective moment.</t>
  </si>
  <si>
    <t xml:space="preserve">Last Regular Payroll Payment Date</t>
  </si>
  <si>
    <t xml:space="preserve">The date of the most recent on-cycle regular payroll payment for the worker. The payment date is in the past or on the current date.</t>
  </si>
  <si>
    <t xml:space="preserve">Last Review - Manager</t>
  </si>
  <si>
    <t xml:space="preserve">The manager for the last completed employee review.</t>
  </si>
  <si>
    <t xml:space="preserve">Last Review - Organization</t>
  </si>
  <si>
    <t xml:space="preserve">The supervisory organization for the last completed employee review.</t>
  </si>
  <si>
    <t xml:space="preserve">Last Review - Overall Calculated Decimal Rating</t>
  </si>
  <si>
    <t xml:space="preserve">The overall calculated rating from the worker's most recently completed ~employee review~ with the Overall section and ratings configured based on this order: Period Review End Date, Complete Date, and Reference ID. The rating comes from the Overall section in the manager's evaluation, and what gets displayed is based on the processing user's access to the review. Select either Items Rated or choose Section Rated. Items Rated requires at least 1 or more sections with item ratings and the Calculated Rating uses Item Averaging option enabled on the Overall section. Alternatively, to use the  review template sections, enable the Section Rating option for 1 or more sections. Select an eligible rating for calculations. We don’t return results for ratings with Exclude from Calculations enabled on a rating scale. The field returns 0 if the review doesn't meet these conditions. This report field has a precision of two decimal places.</t>
  </si>
  <si>
    <t xml:space="preserve">Last Review - Period Begin Date</t>
  </si>
  <si>
    <t xml:space="preserve">The period begin date for the last completed employee review.</t>
  </si>
  <si>
    <t xml:space="preserve">Last School Attended</t>
  </si>
  <si>
    <t xml:space="preserve">The most recent school of the candidate or blank if not recognized in the Schools table.</t>
  </si>
  <si>
    <t xml:space="preserve">Last School Attended as Text</t>
  </si>
  <si>
    <t xml:space="preserve">The most recent school of the candidate (both unrecognized or recognized in the Schools table)</t>
  </si>
  <si>
    <t xml:space="preserve">Last Termination Event</t>
  </si>
  <si>
    <t xml:space="preserve">Latest Effective Worker Event of Business Process Type</t>
  </si>
  <si>
    <t xml:space="preserve">Returns the latest completed Worker Event viewable by the processing Person where the event Business Process Type equals one of the Business Process Types provided in the external parameter. The latest event is based on the event effective date. If the event effective date doesn't exist, the latest event is based on the completed date, including future dated events. If more than one event meets the criteria, the event with the latest create moment is returned.</t>
  </si>
  <si>
    <t xml:space="preserve">Business Process Types for Worker Events</t>
  </si>
  <si>
    <t xml:space="preserve">Latest External  Racial Category Response (SF-181)</t>
  </si>
  <si>
    <t xml:space="preserve">The latest response from the external Ethnicity &amp; Race self-identification Racial Category (SF-181) for this worker. For U.S. Federal Agencies only.</t>
  </si>
  <si>
    <t xml:space="preserve">Latest External Disability Code (SF-256)</t>
  </si>
  <si>
    <t xml:space="preserve">The latest code from the external disability self-identification (SF-256) records for this worker. For U.S. Federal Agencies only.</t>
  </si>
  <si>
    <t xml:space="preserve">Latest External Disability Response Record</t>
  </si>
  <si>
    <t xml:space="preserve">The latest external disability response for this worker based on response date. For U.S. employment eligibility only.</t>
  </si>
  <si>
    <t xml:space="preserve">Latest External Disability Response Record (SF-256)</t>
  </si>
  <si>
    <t xml:space="preserve">The latest external disability (SF-256) response for this worker based on response date. For U.S. Federal Agencies only.</t>
  </si>
  <si>
    <t xml:space="preserve">Latest External Disability Status</t>
  </si>
  <si>
    <t xml:space="preserve">The latest status from the external disability self-identification records for this worker. For U.S. employment eligibility only.</t>
  </si>
  <si>
    <t xml:space="preserve">Latest External Ethnicity &amp; Race Response Record (SF-181)</t>
  </si>
  <si>
    <t xml:space="preserve">The latest external Ethnicity &amp; Race (SF-181) response for this worker based on response date. For U.S. Federal Agencies only.</t>
  </si>
  <si>
    <t xml:space="preserve">The latest response from the external Ethnicity &amp; Race self-identification Hispanic or Latino (SF-181) for this worker. For U.S. Federal Agencies only.</t>
  </si>
  <si>
    <t xml:space="preserve">Latest External Invitation Date of Disability Self-identification</t>
  </si>
  <si>
    <t xml:space="preserve">The latest invitation date from the external disability self-identification records for this worker. For U.S. employment eligibility only.</t>
  </si>
  <si>
    <t xml:space="preserve">Latest External Invitation Date of Disability Self-identification (SF-256)</t>
  </si>
  <si>
    <t xml:space="preserve">The latest invitation date from the external disability self-identification (SF-256) records for this worker. For U.S. Federal Agencies only.</t>
  </si>
  <si>
    <t xml:space="preserve">Latest External Invitation Date of Ethnicity &amp; Race Self-Identification (SF-181)</t>
  </si>
  <si>
    <t xml:space="preserve">The latest invitation date from the external Ethnicity &amp; Race self-identification (SF-181) records for this worker. For U.S. Federal Agencies only.</t>
  </si>
  <si>
    <t xml:space="preserve">Latest External Response Date of Disability Self-Identification</t>
  </si>
  <si>
    <t xml:space="preserve">The latest response date from the external disability self-identification records for this worker. For U.S. employment eligibility only.</t>
  </si>
  <si>
    <t xml:space="preserve">Latest External Response Date of Disability Self-Identification (SF-256)</t>
  </si>
  <si>
    <t xml:space="preserve">The latest response date from the external disability self-identification (SF-256) records for this worker. For U.S. Federal Agencies only.</t>
  </si>
  <si>
    <t xml:space="preserve">Latest External Response Date of Ethnicity &amp; Race Self-Identification (SF-181)</t>
  </si>
  <si>
    <t xml:space="preserve">The latest response date from the external Ethnicity &amp; Race self-identification (SF-181) records for this worker. For U.S. Federal Agencies only.</t>
  </si>
  <si>
    <t xml:space="preserve">Latest Invitation to Disability Self-Identification Date</t>
  </si>
  <si>
    <t xml:space="preserve">The latest date this worker has received an invitation for disability self-identification.</t>
  </si>
  <si>
    <t xml:space="preserve">Latest Learning Enrollments</t>
  </si>
  <si>
    <t xml:space="preserve">The learner's most recently successfully completed learning enrollments.</t>
  </si>
  <si>
    <t xml:space="preserve">Latest Project End Date</t>
  </si>
  <si>
    <t xml:space="preserve">The latest end date of projects assigned to the worker matching the projects passed by the report parameters.</t>
  </si>
  <si>
    <t xml:space="preserve">Latest Project or Task End Date</t>
  </si>
  <si>
    <t xml:space="preserve">The latest end date from all projects the worker is directly or indirectly assigned.  If there is no end date for the project task that is assigned to the worker, the project end date is returned.  Includes only projects within the date range passed by the report parameters.</t>
  </si>
  <si>
    <t xml:space="preserve">Latest Project Plan Task End Date Defined</t>
  </si>
  <si>
    <t xml:space="preserve">The latest end date of all project plan tasks assigned to the worker matching the projects passed by the report parameters.  Excludes project plan tasks where the end date is not defined.</t>
  </si>
  <si>
    <t xml:space="preserve">Latest Response Date for Ethnicity &amp; Race Self-Identification (SF-181)</t>
  </si>
  <si>
    <t xml:space="preserve">The latest date this worker has self-identified their Ethnicity &amp; Race (SF-181). For U.S. Federal Agencies only.</t>
  </si>
  <si>
    <t xml:space="preserve">Latest Response for Disability Self-Identification Date</t>
  </si>
  <si>
    <t xml:space="preserve">The latest date this worker has self-identified their disability status.</t>
  </si>
  <si>
    <t xml:space="preserve">Latest Vaccination</t>
  </si>
  <si>
    <t xml:space="preserve">The latest vaccination for the worker, based on the vaccination type. The date used for sorting is the Vaccination Event Type Date. If that date is blank, the completion date of the event is used. If the Vaccination Event Type Date and completion date are the same (day precision), the latest creation date-time is used as a tie-breaker (millisecond precision).</t>
  </si>
  <si>
    <t xml:space="preserve">Latest Worker Project or Task End Date</t>
  </si>
  <si>
    <t xml:space="preserve">The latest end date from all projects with end dates greater than the current date in which the worker is directly or indirectly assigned.  If there is no end date for the project task that is assigned to the worker, the project end date is returned.</t>
  </si>
  <si>
    <t xml:space="preserve">Latest Workplace Test</t>
  </si>
  <si>
    <t xml:space="preserve">The latest workplace health and safety test for the worker, based on the workplace test type.</t>
  </si>
  <si>
    <t xml:space="preserve">Workplace Test Type</t>
  </si>
  <si>
    <t xml:space="preserve">Leadership Roles</t>
  </si>
  <si>
    <t xml:space="preserve">Returns the ~worker’s~ leadership roles.</t>
  </si>
  <si>
    <t xml:space="preserve">The learning assignments for the learner.</t>
  </si>
  <si>
    <t xml:space="preserve">Learning Enrollments</t>
  </si>
  <si>
    <t xml:space="preserve">The learning enrollments for a worker</t>
  </si>
  <si>
    <t xml:space="preserve">The learning equivalency records for a worker</t>
  </si>
  <si>
    <t xml:space="preserve">Leave Request with Benefits Effect</t>
  </si>
  <si>
    <t xml:space="preserve">Returns true if there is an active leave request for the employee on the event date and the leave type has a benefits effect.  Both conditions must be met to return true.</t>
  </si>
  <si>
    <t xml:space="preserve">Leave Request with Benefits Effect (Benefit Jobs)</t>
  </si>
  <si>
    <t xml:space="preserve">Returns true if there is an active leave request for the employee on the event date and the leave type has a benefits effect.  Both conditions must be met to return true. Evaluation is based on benefit jobs.</t>
  </si>
  <si>
    <t xml:space="preserve">Contains all leave status history for an employee.</t>
  </si>
  <si>
    <t xml:space="preserve">Leave Types for Worker</t>
  </si>
  <si>
    <t xml:space="preserve">Returns Leave Types for Worker and Date Range parms that have a payroll effect.</t>
  </si>
  <si>
    <t xml:space="preserve">Returns the Ledger Account.</t>
  </si>
  <si>
    <t xml:space="preserve">Returns the Ledger Account Summary.</t>
  </si>
  <si>
    <t xml:space="preserve">Ledger Account Identifier or Ledger Account Summary ID</t>
  </si>
  <si>
    <t xml:space="preserve">The Ledger Account Identifier or Ledger Account Summary Reference ID.</t>
  </si>
  <si>
    <t xml:space="preserve">Ledger Account Normal Credit or Debit Balance</t>
  </si>
  <si>
    <t xml:space="preserve">Indicates if Ledger Account has a Normal Credit or Debit Balance by specifically displaying either "Credit" or "Debit" (non-translated) text.</t>
  </si>
  <si>
    <t xml:space="preserve">The Ledger Account or Ledger Account Summary.</t>
  </si>
  <si>
    <t xml:space="preserve">The Ledger Account or Ledger Account Summary Types.</t>
  </si>
  <si>
    <t xml:space="preserve">Legal First Name</t>
  </si>
  <si>
    <t xml:space="preserve">The legal first name of the candidate.</t>
  </si>
  <si>
    <t xml:space="preserve">Legal Full Name</t>
  </si>
  <si>
    <t xml:space="preserve">The full legal name of the candidate.</t>
  </si>
  <si>
    <t xml:space="preserve">Legal Last Name</t>
  </si>
  <si>
    <t xml:space="preserve">The legal last name of the candidate.</t>
  </si>
  <si>
    <t xml:space="preserve">Returns the worker's legal name as of the effective date</t>
  </si>
  <si>
    <t xml:space="preserve">Legal Name - First Name and Middle Name</t>
  </si>
  <si>
    <t xml:space="preserve">Worker Legal First Name and Middle Name.</t>
  </si>
  <si>
    <t xml:space="preserve">Legal Name - Salutation</t>
  </si>
  <si>
    <t xml:space="preserve">The salutation from the worker's full legal name.</t>
  </si>
  <si>
    <t xml:space="preserve">Legal Name - Secondary Last Name</t>
  </si>
  <si>
    <t xml:space="preserve">The  worker's legal secondary family name.</t>
  </si>
  <si>
    <t xml:space="preserve">Legal Name - Social Suffix</t>
  </si>
  <si>
    <t xml:space="preserve">The social suffix from the worker's full legal name</t>
  </si>
  <si>
    <t xml:space="preserve">Legal Name - Title</t>
  </si>
  <si>
    <t xml:space="preserve">The title from the worker's legal name.</t>
  </si>
  <si>
    <t xml:space="preserve">Legal Name in General Display Format</t>
  </si>
  <si>
    <t xml:space="preserve">The full legal name in the general display format.</t>
  </si>
  <si>
    <t xml:space="preserve">Legal Name in Reporting Display Format</t>
  </si>
  <si>
    <t xml:space="preserve">The full legal name in the reporting display format.</t>
  </si>
  <si>
    <t xml:space="preserve">Legal Name is Preferred Name</t>
  </si>
  <si>
    <t xml:space="preserve">Returns the current state of the 'Use Legal Name as Preferred Name' flag for this Worker. This field will return True when the Legal Name is being used as the Preferred Name or when there is only a Legal Name. Returns False when there is a Legal Name and Preferred Name and the 'Use Legal Name as Preferred Name' flag is set to off.</t>
  </si>
  <si>
    <t xml:space="preserve">Length of Service - Position</t>
  </si>
  <si>
    <t xml:space="preserve">The worker's length of service in years, months, and days.</t>
  </si>
  <si>
    <t xml:space="preserve">Length of Service - Worker - By Tenure Category</t>
  </si>
  <si>
    <t xml:space="preserve">The length of service of the worker by tenure category. Examples: Less than 1 year, 1-2 years, 3-4 years. You can view values for this report field if you have access to the worker.</t>
  </si>
  <si>
    <t xml:space="preserve">Length of Service in Months from Benefits Service Date</t>
  </si>
  <si>
    <t xml:space="preserve">The length of service in months from the worker's benefits service date.</t>
  </si>
  <si>
    <t xml:space="preserve">Length of Service in Months from Company Service Date</t>
  </si>
  <si>
    <t xml:space="preserve">Returns the length of service, in months, from this Worker's Company Service Date.</t>
  </si>
  <si>
    <t xml:space="preserve">Length of Service in Months from Continuous Service Date</t>
  </si>
  <si>
    <t xml:space="preserve">The number of months of service for the worker, including breaks in service.</t>
  </si>
  <si>
    <t xml:space="preserve">Length of Service in Months from Hire Date</t>
  </si>
  <si>
    <t xml:space="preserve">The number of months of service for the worker since the most recent hire date.</t>
  </si>
  <si>
    <t xml:space="preserve">Length of Service in Months from Original Hire Date</t>
  </si>
  <si>
    <t xml:space="preserve">The number of months of service for the worker, since the date when the employee was first hired.</t>
  </si>
  <si>
    <t xml:space="preserve">Length of Service in Months from Seniority Date</t>
  </si>
  <si>
    <t xml:space="preserve">The number of months of service for the worker since the seniority date if available, else since earliest hire date.</t>
  </si>
  <si>
    <t xml:space="preserve">Length of Service in Years including Partial Year - Position</t>
  </si>
  <si>
    <t xml:space="preserve">The years of service for the worker including partial years. Represented in 2 decimals.</t>
  </si>
  <si>
    <t xml:space="preserve">Length of Service in Years including Partial Year - Worker</t>
  </si>
  <si>
    <t xml:space="preserve">The years of service for the worker including a partial year represented in 2 decimals. Values for this report field will be displayed if you have access to the worker.</t>
  </si>
  <si>
    <t xml:space="preserve">Less than 8 weeks SSP AWE</t>
  </si>
  <si>
    <t xml:space="preserve">Displays “Yes” if Average Weekly Earnings calculated is for a period of less than 8 weeks, blank if not.</t>
  </si>
  <si>
    <t xml:space="preserve">The lesson trackings for a worker</t>
  </si>
  <si>
    <t xml:space="preserve">Contains the licenses for the worker (e.g. driver's license).</t>
  </si>
  <si>
    <t xml:space="preserve">Licenses Displayed With ID Only</t>
  </si>
  <si>
    <t xml:space="preserve">Contains the licenses for the worker (e.g. driver's license) displayed as ID only</t>
  </si>
  <si>
    <t xml:space="preserve">Linked Pre-Hire</t>
  </si>
  <si>
    <t xml:space="preserve">The pre-hire that a candidate has been linked to.</t>
  </si>
  <si>
    <t xml:space="preserve">Linked Prior Worker (Former)</t>
  </si>
  <si>
    <t xml:space="preserve">The former worker  that a candidate has been linked to.</t>
  </si>
  <si>
    <t xml:space="preserve">Linked Prior Worker (Terminated)</t>
  </si>
  <si>
    <t xml:space="preserve">The terminated worker that a candidate has been linked to.</t>
  </si>
  <si>
    <t xml:space="preserve">LinkedIn Profile URL</t>
  </si>
  <si>
    <t xml:space="preserve">The LinkedIn profile URL for a prospect or candidate retrieved through the LinkedIn Recruiter System Connect (RSC) integration. This report field only returns data imported through the LinkedIn RSC integration.</t>
  </si>
  <si>
    <t xml:space="preserve">LinkedIn Recruiter System Connect - First Exported By</t>
  </si>
  <si>
    <t xml:space="preserve">The LinkedIn Recruiter seat who first exported this prospect or candidate into Workday through LinkedIn Recruiter System Connect One-Click Export.</t>
  </si>
  <si>
    <t xml:space="preserve">LinkedIn Recruiter System Connect - First Exported Date</t>
  </si>
  <si>
    <t xml:space="preserve">The date when prospect or candidate was first exported into Workday through LinkedIn Recruiter System Connect One-Click Export.</t>
  </si>
  <si>
    <t xml:space="preserve">LinkedIn Recruiter System Connect - Has Contact Information</t>
  </si>
  <si>
    <t xml:space="preserve">True if prospect or candidate was synced through LinkedIn Recruiter System Connect and has contact information such as email or phone number.</t>
  </si>
  <si>
    <t xml:space="preserve">The job postings for which this prospect or candidate was exported  through LinkedIn Recruiter System Connect One-Click Export.</t>
  </si>
  <si>
    <t xml:space="preserve">LinkedIn Recruiter System Connect - Jobs Exported For</t>
  </si>
  <si>
    <t xml:space="preserve">The job requisitions or evergreen requisitions for which this prospect or candidate was exported  through LinkedIn Recruiter System Connect One-Click Export.</t>
  </si>
  <si>
    <t xml:space="preserve">LinkedIn Recruiter System Connect - Recruiter Seats Who Exported</t>
  </si>
  <si>
    <t xml:space="preserve">The LinkedIn Recruiter seats who exported this prospect or candidate through LinkedIn Recruiter System Connect One-Click Export.</t>
  </si>
  <si>
    <t xml:space="preserve">LinkedIn Recruiter System Connect One-Click Export</t>
  </si>
  <si>
    <t xml:space="preserve">True if the prospect or candidate was exported into Workday through LinkedIn Recruiter System Connect One-Click Export.</t>
  </si>
  <si>
    <t xml:space="preserve">Local City PA Withholding (Work) - Amount Previously Paid</t>
  </si>
  <si>
    <t xml:space="preserve">Returns Local City PA Withholding (Work) - Amount Previously Paid for Worker Tax Elections</t>
  </si>
  <si>
    <t xml:space="preserve">Local City PA Withholding (Work) - Low Income Threshold</t>
  </si>
  <si>
    <t xml:space="preserve">Returns Local City PA Withholding (Work) - Low Income Threshold for Worker Tax Elections</t>
  </si>
  <si>
    <t xml:space="preserve">Local City Withholding (Resident) - City</t>
  </si>
  <si>
    <t xml:space="preserve">Local City Withholding (Resident) - City PSD Code</t>
  </si>
  <si>
    <t xml:space="preserve">Returns PSD for Local City Withholding (Resident) for Worker</t>
  </si>
  <si>
    <t xml:space="preserve">Local City Withholding (Resident) - City Tax Code</t>
  </si>
  <si>
    <t xml:space="preserve">Returns Tax code for Local City Withholding (Resident) for Worker</t>
  </si>
  <si>
    <t xml:space="preserve">Local City Withholding (Resident) - Effective As Of Date</t>
  </si>
  <si>
    <t xml:space="preserve">Returns the Local City Withholding (Resident) - Effective As Of Date for Worker Tax Elections</t>
  </si>
  <si>
    <t xml:space="preserve">Local City Withholding (Resident) - Exempt Indicator</t>
  </si>
  <si>
    <t xml:space="preserve">Returns the Local City Withholding (Resident) - Exempt Indicator for Worker Tax Elections</t>
  </si>
  <si>
    <t xml:space="preserve">Local City Withholding (Resident) - Exempt Reason</t>
  </si>
  <si>
    <t xml:space="preserve">Returns the Local City Withholding (Resident) - Exempt Reason for Worker Tax Elections</t>
  </si>
  <si>
    <t xml:space="preserve">Local City Withholding (Resident) - Exemptions</t>
  </si>
  <si>
    <t xml:space="preserve">Returns the Local City Withholding (Resident) - Exemptions for Worker Tax Elections</t>
  </si>
  <si>
    <t xml:space="preserve">Local City Withholding (Resident) - Inactive Indicator</t>
  </si>
  <si>
    <t xml:space="preserve">Returns the Local City Withholding (Resident) - Inactive Indicator for Worker Tax Elections</t>
  </si>
  <si>
    <t xml:space="preserve">Local City Withholding (Resident) - Last Updated Date</t>
  </si>
  <si>
    <t xml:space="preserve">Returns the Local City Withholding (Resident) - Last Updated Date for Worker Tax Elections</t>
  </si>
  <si>
    <t xml:space="preserve">Local City Withholding (Resident) - Withholding Percent</t>
  </si>
  <si>
    <t xml:space="preserve">Returns the Local City Withholding (Resident) - Withholding Percent for Worker Tax Elections</t>
  </si>
  <si>
    <t xml:space="preserve">Local City Withholding (Work) - Allocation Percent</t>
  </si>
  <si>
    <t xml:space="preserve">The allocation percent for the current Local City Withholding (Work) worker tax election.</t>
  </si>
  <si>
    <t xml:space="preserve">Local City Withholding (Work) - Certificate of Non-Residence</t>
  </si>
  <si>
    <t xml:space="preserve">True if Certificate of Non-Residence applies for the current Local City Withholding (Work) worker tax election.</t>
  </si>
  <si>
    <t xml:space="preserve">Local City Withholding (Work) - City</t>
  </si>
  <si>
    <t xml:space="preserve">Local City Withholding (Work) - City PSD Code</t>
  </si>
  <si>
    <t xml:space="preserve">Returns PSD for Local City Withholding (Work) for Worker</t>
  </si>
  <si>
    <t xml:space="preserve">Local City Withholding (Work) - City Tax Code</t>
  </si>
  <si>
    <t xml:space="preserve">Returns Tax Code for Local City Withholding (Work) for Worker</t>
  </si>
  <si>
    <t xml:space="preserve">Local City Withholding (Work) - Effective As Of Date</t>
  </si>
  <si>
    <t xml:space="preserve">Returns the Local City Withholding (Work) - Effective As Of Date for Worker Tax Elections</t>
  </si>
  <si>
    <t xml:space="preserve">Local City Withholding (Work) - Exempt Indicator</t>
  </si>
  <si>
    <t xml:space="preserve">Returns the Local City Withholding (Work) - Exempt Indicator for Worker Tax Elections</t>
  </si>
  <si>
    <t xml:space="preserve">Local City Withholding (Work) - Exempt Reason</t>
  </si>
  <si>
    <t xml:space="preserve">Returns the Local City Withholding (Work) - Exempt Reason for Worker Tax Elections</t>
  </si>
  <si>
    <t xml:space="preserve">Local City Withholding (Work) - Exemptions</t>
  </si>
  <si>
    <t xml:space="preserve">Returns the Local City Withholding (Work) - Exemptions for Worker Tax Elections</t>
  </si>
  <si>
    <t xml:space="preserve">Local City Withholding (Work) - Inactive Indicator</t>
  </si>
  <si>
    <t xml:space="preserve">Returns the Local City Withholding (Work) - Inactive Indicator for Worker Tax Elections</t>
  </si>
  <si>
    <t xml:space="preserve">Local City Withholding (Work) - Last Updated Date</t>
  </si>
  <si>
    <t xml:space="preserve">Returns the Local City Withholding (Work) - Last Updated Date for Worker Tax Elections</t>
  </si>
  <si>
    <t xml:space="preserve">Local City Withholding (Work) - Primary PA EIT</t>
  </si>
  <si>
    <t xml:space="preserve">Returns Yes if the Primary PA EIT field is selected on the worker's tax election for Pennsylvania.</t>
  </si>
  <si>
    <t xml:space="preserve">Local City Withholding (Work) - Withholding Percent</t>
  </si>
  <si>
    <t xml:space="preserve">Returns the Local City Withholding (Work) - Withholding Percent for Worker Tax Elections</t>
  </si>
  <si>
    <t xml:space="preserve">Local County Withholding (Resident) - Additional Amount</t>
  </si>
  <si>
    <t xml:space="preserve">Returns the Local County Withholding (Resident) - Additional Amount for Worker Tax Elections</t>
  </si>
  <si>
    <t xml:space="preserve">Local County Withholding (Resident) - County</t>
  </si>
  <si>
    <t xml:space="preserve">Local County Withholding (Resident) - County Tax Code</t>
  </si>
  <si>
    <t xml:space="preserve">Returns Tax Code for Local County Withholding (Resident) for Worker</t>
  </si>
  <si>
    <t xml:space="preserve">Local County Withholding (Resident) - Effective As Of Date</t>
  </si>
  <si>
    <t xml:space="preserve">Returns the Local County Withholding (Resident) - Effective As Of Date for Worker Tax Elections</t>
  </si>
  <si>
    <t xml:space="preserve">Local County Withholding (Resident) - Inactive Indicator</t>
  </si>
  <si>
    <t xml:space="preserve">Returns the Local County Withholding (Resident) - Inactive Indicator for Worker Tax Elections</t>
  </si>
  <si>
    <t xml:space="preserve">Local County Withholding (Resident) - Last Updated Date</t>
  </si>
  <si>
    <t xml:space="preserve">Returns the Local County Withholding (Resident) - Last Updated Date for Worker Tax Elections</t>
  </si>
  <si>
    <t xml:space="preserve">Local County Withholding (Resident) Authority Name</t>
  </si>
  <si>
    <t xml:space="preserve">Returns the Local County Withholding (Resident) Authority Name</t>
  </si>
  <si>
    <t xml:space="preserve">Local County Withholding (Work) - Additional Amount</t>
  </si>
  <si>
    <t xml:space="preserve">Returns the Local County Withholding (Work) - Additional Amount for Worker Tax Elections</t>
  </si>
  <si>
    <t xml:space="preserve">Local County Withholding (Work) - County</t>
  </si>
  <si>
    <t xml:space="preserve">Local County Withholding (Work) - County Tax Code</t>
  </si>
  <si>
    <t xml:space="preserve">Returns Tax code for Local County Withholding (Work) for Worker</t>
  </si>
  <si>
    <t xml:space="preserve">Local County Withholding (Work) - Effective As Of Date</t>
  </si>
  <si>
    <t xml:space="preserve">Returns the Local County Withholding (Work) - Effective As Of Date for Worker Tax Elections</t>
  </si>
  <si>
    <t xml:space="preserve">Local County Withholding (Work) - Inactive Indicator</t>
  </si>
  <si>
    <t xml:space="preserve">Returns the Local County Withholding (Work) - Inactive Indicator for Worker Tax Elections</t>
  </si>
  <si>
    <t xml:space="preserve">Local County Withholding (Work) - Last Updated Date</t>
  </si>
  <si>
    <t xml:space="preserve">Returns the Local County Withholding (Work) - Last Updated Date for Worker Tax Elections</t>
  </si>
  <si>
    <t xml:space="preserve">Local Date for Worker</t>
  </si>
  <si>
    <t xml:space="preserve">This field returns the timezone, determined by the following hierarchy: the worker’s preferred timezone (if set), then the timezone based on the worker’s position, then the tenant’s default timezone, and finally, US Pacific Time.</t>
  </si>
  <si>
    <t xml:space="preserve">Local Hukou</t>
  </si>
  <si>
    <t xml:space="preserve">True if the country subregion from the worker's Hukou is considered local by the worker's primary location. This report field cannot be secured by country.</t>
  </si>
  <si>
    <t xml:space="preserve">Local Hukou (Country Securable)</t>
  </si>
  <si>
    <t xml:space="preserve">True if the country subregion from the worker's Hukou is considered local by the worker's primary location.</t>
  </si>
  <si>
    <t xml:space="preserve">Local Hukou as of Period End Date</t>
  </si>
  <si>
    <t xml:space="preserve">The worker's Local Hukou as of the period end date. This report field cannot be secured by country.</t>
  </si>
  <si>
    <t xml:space="preserve">Local Hukou as of Period Start Date</t>
  </si>
  <si>
    <t xml:space="preserve">The worker's Local Hukou as of the period start date. This report field cannot be secured by country.</t>
  </si>
  <si>
    <t xml:space="preserve">Local Other Withholding (Work) - Local Other Tax Code</t>
  </si>
  <si>
    <t xml:space="preserve">Returns Tax code of Local Other Withholding (Work) for Worker</t>
  </si>
  <si>
    <t xml:space="preserve">Local Other Withholding - Flat Amount - Metro Non-Resident</t>
  </si>
  <si>
    <t xml:space="preserve">The flat amount for the current Metro Non-Resident worker tax election.</t>
  </si>
  <si>
    <t xml:space="preserve">Local Other Withholding - Flat Amount - Metro Resident</t>
  </si>
  <si>
    <t xml:space="preserve">The flat amount for the current Metro Resident worker tax election.</t>
  </si>
  <si>
    <t xml:space="preserve">Local Other Withholding - Flat Amount - Multnomah Non-Resident</t>
  </si>
  <si>
    <t xml:space="preserve">The flat amount for the current Multnomah Non-Resident worker tax election.</t>
  </si>
  <si>
    <t xml:space="preserve">Local Other Withholding - Flat Amount - Multnomah Resident</t>
  </si>
  <si>
    <t xml:space="preserve">The flat amount for the current Multnomah Resident worker tax election.</t>
  </si>
  <si>
    <t xml:space="preserve">Local School District Withholding (Resident) - Effective As Of Date</t>
  </si>
  <si>
    <t xml:space="preserve">The effective date for the Local School District Withholding (Resident)</t>
  </si>
  <si>
    <t xml:space="preserve">Local School District Withholding (Resident) - Exempt Indicator</t>
  </si>
  <si>
    <t xml:space="preserve">Returns the Local School District Withholding (Resident) - Exempt Indicator for Worker Tax Elections</t>
  </si>
  <si>
    <t xml:space="preserve">Local School District Withholding (Resident) - Exempt Reason</t>
  </si>
  <si>
    <t xml:space="preserve">Returns the Local School District Withholding (Resident) - Exempt Reason for Worker Tax Elections</t>
  </si>
  <si>
    <t xml:space="preserve">Local School District Withholding (Resident) - Inactive Indicator</t>
  </si>
  <si>
    <t xml:space="preserve">Returns the Local School District Withholding (Resident) - Inactive Indicator for Worker Tax Elections</t>
  </si>
  <si>
    <t xml:space="preserve">Local School District Withholding (Resident) - Last Updated Date</t>
  </si>
  <si>
    <t xml:space="preserve">The Last Updated Date for the Local School District Withholding (Resident)</t>
  </si>
  <si>
    <t xml:space="preserve">Local School District Withholding (Resident) - Previous Employer Deducted Amount (Pennsylvania)</t>
  </si>
  <si>
    <t xml:space="preserve">Returns the Local School District Withholding (Resident) - Previous Employer Deducted Amount (Pennsylvania) for Worker Tax Elections</t>
  </si>
  <si>
    <t xml:space="preserve">Local School District Withholding (Resident) - PSD Code</t>
  </si>
  <si>
    <t xml:space="preserve">Returns PSD of Local School District Withholding (Resident) for Worker</t>
  </si>
  <si>
    <t xml:space="preserve">Local School District Withholding (Resident) - School District</t>
  </si>
  <si>
    <t xml:space="preserve">Returns the Local School District Withholding (Resident) - School District for Worker Tax Elections</t>
  </si>
  <si>
    <t xml:space="preserve">Local School District Withholding (Resident) - School District Tax Code</t>
  </si>
  <si>
    <t xml:space="preserve">Returns Tax code of Local School District Withholding (Resident) for Worker</t>
  </si>
  <si>
    <t xml:space="preserve">Location (Benefits)</t>
  </si>
  <si>
    <t xml:space="preserve">Location (USA)</t>
  </si>
  <si>
    <t xml:space="preserve">The primary location for the worker. Only returns locations in the USA.</t>
  </si>
  <si>
    <t xml:space="preserve">Location - Effective Dated</t>
  </si>
  <si>
    <t xml:space="preserve">Location - Integration Identifiers</t>
  </si>
  <si>
    <t xml:space="preserve">The Integration Identifiers for the Location for the worker's primary position.</t>
  </si>
  <si>
    <t xml:space="preserve">Location - Long Term Areas</t>
  </si>
  <si>
    <t xml:space="preserve">Returns the long term locations that a worker has expressed interest in.</t>
  </si>
  <si>
    <t xml:space="preserve">Location - Public Email</t>
  </si>
  <si>
    <t xml:space="preserve">The public email address for the location of the worker.</t>
  </si>
  <si>
    <t xml:space="preserve">Location - Public Phone</t>
  </si>
  <si>
    <t xml:space="preserve">The public phone of the location of the worker.</t>
  </si>
  <si>
    <t xml:space="preserve">Location - Scheduled Hours</t>
  </si>
  <si>
    <t xml:space="preserve">The scheduled hours for the location for the worker's primary position.</t>
  </si>
  <si>
    <t xml:space="preserve">Location - Short Term Areas</t>
  </si>
  <si>
    <t xml:space="preserve">Returns the short term locations that a worker has expressed interest in.</t>
  </si>
  <si>
    <t xml:space="preserve">Location Address - Country (for Trended Workers)</t>
  </si>
  <si>
    <t xml:space="preserve">Country where the ~Worker’s~ Job is located.</t>
  </si>
  <si>
    <t xml:space="preserve">Location Address - Postal Code</t>
  </si>
  <si>
    <t xml:space="preserve">Returns the postal code of the Location for this worker.</t>
  </si>
  <si>
    <t xml:space="preserve">Location Address - Province (Canada)</t>
  </si>
  <si>
    <t xml:space="preserve">Returns the province of this Worker's Location.  This only applies to Provinces in Canada, and does not return values for Provinces in other countries.</t>
  </si>
  <si>
    <t xml:space="preserve">Location Address - Region (Any Country)</t>
  </si>
  <si>
    <t xml:space="preserve">The region for this worker's location address.</t>
  </si>
  <si>
    <t xml:space="preserve">Location Address - State (United States)</t>
  </si>
  <si>
    <t xml:space="preserve">Returns the State of this Worker's Location Address.  This only applies to States in the United States, and does not return values for States in other countries.</t>
  </si>
  <si>
    <t xml:space="preserve">Location Hierarchy for Worker as of Period End Date</t>
  </si>
  <si>
    <t xml:space="preserve">The Location Hierarchy for the Worker as of Period End Date.</t>
  </si>
  <si>
    <t xml:space="preserve">Location Hierarchy for Worker as of Period Start Date</t>
  </si>
  <si>
    <t xml:space="preserve">The Location Hierarchy for the Worker as of Period Start Date.</t>
  </si>
  <si>
    <t xml:space="preserve">Location Name</t>
  </si>
  <si>
    <t xml:space="preserve">Returns the candidate's most recent work experience location.</t>
  </si>
  <si>
    <t xml:space="preserve">This CRF is setup to receive a Location or Location Hierarchy Organization as input and return a Location or Location Hierarchy Business Object so that it can be used as a control field in a composite report.</t>
  </si>
  <si>
    <t xml:space="preserve">Locations</t>
  </si>
  <si>
    <t xml:space="preserve">Returns locations for worker's primary and additional positions. This includes only active locations. For returning active and inactive locations, use the report field All Locations.</t>
  </si>
  <si>
    <t xml:space="preserve">Locations (Benefit Jobs)</t>
  </si>
  <si>
    <t xml:space="preserve">Returns locations for worker's benefit jobs. This includes only active locations.For returning active and inactive locations, use the report field All Locations. Use for Benefits Eligibility.</t>
  </si>
  <si>
    <t xml:space="preserve">Locations (Benefits)</t>
  </si>
  <si>
    <t xml:space="preserve">Returns locations for worker's primary and additional positions. This includes only active locations.For returning active and inactive locations, use the report field All Locations. Use for Benefits Eligibility.</t>
  </si>
  <si>
    <t xml:space="preserve">Louisiana State Withholding - Increase or Decrease Withholding Amount</t>
  </si>
  <si>
    <t xml:space="preserve">The Increase or Decrease Withholding Amount for Louisiana State.</t>
  </si>
  <si>
    <t xml:space="preserve">LRV Global Worker is HR Administrator</t>
  </si>
  <si>
    <t xml:space="preserve">Male - Reporting Gender</t>
  </si>
  <si>
    <t xml:space="preserve">The workers whose reporting gender is mapped to male.</t>
  </si>
  <si>
    <t xml:space="preserve">Male Gender</t>
  </si>
  <si>
    <t xml:space="preserve">Gets 'Is Male' boolean attribute for Gender, which is a tenanted class.</t>
  </si>
  <si>
    <t xml:space="preserve">Managed by Basis Total</t>
  </si>
  <si>
    <t xml:space="preserve">The Employee has their total compensation managed by their primary compensation basis total.</t>
  </si>
  <si>
    <t xml:space="preserve">Data Source Filter (Internal)</t>
  </si>
  <si>
    <t xml:space="preserve">Managed Talent Highlights</t>
  </si>
  <si>
    <t xml:space="preserve">The list of Talent Highlights associated to the worker viewing worker business object. Typically the manager.</t>
  </si>
  <si>
    <t xml:space="preserve">Management Chain - Level 01</t>
  </si>
  <si>
    <t xml:space="preserve">The manager at the top level of the worker's primary position's supervisory organization hierarchy.</t>
  </si>
  <si>
    <t xml:space="preserve">Management Chain - Level 02</t>
  </si>
  <si>
    <t xml:space="preserve">The manager at the second level of the worker's primary position's supervisory organization hierarchy.</t>
  </si>
  <si>
    <t xml:space="preserve">Management Chain - Level 03</t>
  </si>
  <si>
    <t xml:space="preserve">The manager at the third level of the worker's primary position's supervisory organization hierarchy.</t>
  </si>
  <si>
    <t xml:space="preserve">Management Chain - Level 04</t>
  </si>
  <si>
    <t xml:space="preserve">The manager at the fourth level of the worker's primary position's supervisory organization hierarchy.</t>
  </si>
  <si>
    <t xml:space="preserve">Management Chain - Level 05</t>
  </si>
  <si>
    <t xml:space="preserve">The manager at the fifth level of the worker's primary position's supervisory organization hierarchy.</t>
  </si>
  <si>
    <t xml:space="preserve">Management Chain - Level 06</t>
  </si>
  <si>
    <t xml:space="preserve">The manager at the sixth level of the worker's primary position's supervisory organization hierarchy.</t>
  </si>
  <si>
    <t xml:space="preserve">Management Chain - Level 07</t>
  </si>
  <si>
    <t xml:space="preserve">The manager at the seventh level of the worker's primary position's supervisory organization hierarchy.</t>
  </si>
  <si>
    <t xml:space="preserve">Management Chain - Level 08</t>
  </si>
  <si>
    <t xml:space="preserve">The manager at the eighth level of the worker's primary position's supervisory organization hierarchy.</t>
  </si>
  <si>
    <t xml:space="preserve">Management Chain - Level 09</t>
  </si>
  <si>
    <t xml:space="preserve">The manager at the ninth level of the worker's primary position's supervisory organization hierarchy.</t>
  </si>
  <si>
    <t xml:space="preserve">Management Chain - Level 10</t>
  </si>
  <si>
    <t xml:space="preserve">The manager at the tenth level of the worker's primary position's supervisory organization hierarchy.</t>
  </si>
  <si>
    <t xml:space="preserve">Management Level (Benefits)</t>
  </si>
  <si>
    <t xml:space="preserve">Management Level for the worker. It is retrieved from the job profile associated with the worker's primary position.</t>
  </si>
  <si>
    <t xml:space="preserve">Management Level - All Positions</t>
  </si>
  <si>
    <t xml:space="preserve">All management levels associated with the worker. Includes management levels from primary and additional positions and jobs.</t>
  </si>
  <si>
    <t xml:space="preserve">Management Level - Primary Position</t>
  </si>
  <si>
    <t xml:space="preserve">Management Level for the worker from the job profile associated with the worker's primary position.  Does not return a value if the worker has more than one position (multiple jobs).  Search only.</t>
  </si>
  <si>
    <t xml:space="preserve">Management Level for Committee Candidate</t>
  </si>
  <si>
    <t xml:space="preserve">Returns the management level, if it exists, for a committee member candidate.</t>
  </si>
  <si>
    <t xml:space="preserve">Management Levels (Benefit Jobs)</t>
  </si>
  <si>
    <t xml:space="preserve">Management Level for the worker. It is retrieved from the job profile associated with the worker's benefit jobs.</t>
  </si>
  <si>
    <t xml:space="preserve">Manager - Effective Dated</t>
  </si>
  <si>
    <t xml:space="preserve">Grabs the manager at the time of the review. Uses a GRA with Review Initiation End Date as an Entry Moment.</t>
  </si>
  <si>
    <t xml:space="preserve">Manager - Level 03</t>
  </si>
  <si>
    <t xml:space="preserve">The manager of the organization three levels up from the worker's primary position's supervisory organization.  Example: Worker A is in Organization 1 which has a superior Organization 2.  Organization 2 has superior Organization 3.  Organization 3 is managed by Worker D.  This will return Worker D.</t>
  </si>
  <si>
    <t xml:space="preserve">Manager - Level 04</t>
  </si>
  <si>
    <t xml:space="preserve">The manager of the organization four levels up from the worker's primary position's supervisory organization.</t>
  </si>
  <si>
    <t xml:space="preserve">Manager - Level 05</t>
  </si>
  <si>
    <t xml:space="preserve">The manager of the organization five levels up from the worker's primary position's supervisory organization.</t>
  </si>
  <si>
    <t xml:space="preserve">Manager - Level 06</t>
  </si>
  <si>
    <t xml:space="preserve">The manager of the organization six levels up from the worker's primary position's supervisory organization.</t>
  </si>
  <si>
    <t xml:space="preserve">Manager - Level 07</t>
  </si>
  <si>
    <t xml:space="preserve">The manager of the organization seven levels up from the worker's primary position's supervisory organization.</t>
  </si>
  <si>
    <t xml:space="preserve">Manager - Level 08</t>
  </si>
  <si>
    <t xml:space="preserve">The manager of the organization eight levels up from the worker's primary position's supervisory organization.</t>
  </si>
  <si>
    <t xml:space="preserve">Manager - Level 09</t>
  </si>
  <si>
    <t xml:space="preserve">The manager of the organization nine levels up from the worker's primary position's supervisory organization.</t>
  </si>
  <si>
    <t xml:space="preserve">Manager - Level 10</t>
  </si>
  <si>
    <t xml:space="preserve">The manager of the organization ten levels up from the worker's primary position's supervisory organization.</t>
  </si>
  <si>
    <t xml:space="preserve">Manager Change</t>
  </si>
  <si>
    <t xml:space="preserve">All manager changes for the worker's primary position regardless of effective date. To view manager changes as of a specific date, use the Manager Change as of Effective Date report field instead.</t>
  </si>
  <si>
    <t xml:space="preserve">Manager Change as of Effective Date</t>
  </si>
  <si>
    <t xml:space="preserve">All manager changes for the worker's primary position as of the current date or the effective date parameter value, if provided.</t>
  </si>
  <si>
    <t xml:space="preserve">Manager ID</t>
  </si>
  <si>
    <t xml:space="preserve">The Employee ID of the worker's manager.</t>
  </si>
  <si>
    <t xml:space="preserve">Manager Preferred Name in General Display Format</t>
  </si>
  <si>
    <t xml:space="preserve">The full preferred name of the manager in the general display format.</t>
  </si>
  <si>
    <t xml:space="preserve">Manager Preferred Name in Reporting Display Format</t>
  </si>
  <si>
    <t xml:space="preserve">The full preferred name of the manager in the reporting display format.</t>
  </si>
  <si>
    <t xml:space="preserve">Manager's Assigned Position</t>
  </si>
  <si>
    <t xml:space="preserve">The filled positions or unfilled position restrictions explicitly assigned as the manager of this worker's primary position. This excludes inherited or defaulted managers.</t>
  </si>
  <si>
    <t xml:space="preserve">Manager's Assigned Position(s)</t>
  </si>
  <si>
    <t xml:space="preserve">The filled position(s) or unfilled position(s) restrictions explicitly assigned as the manager(s) of this worker's primary position. This excludes inherited or defaulted manager(s).</t>
  </si>
  <si>
    <t xml:space="preserve">Manager's Default Supervisory Organization</t>
  </si>
  <si>
    <t xml:space="preserve">Returns the single Supervisory Organization the worker manages - or the highest level Supervisory Organization the worker manages. If there is more than one (all at the same highest level), returns just one of them (randomly).</t>
  </si>
  <si>
    <t xml:space="preserve">Manager's Default Supervisory Organization (DO NOT USE)</t>
  </si>
  <si>
    <t xml:space="preserve">Returns the single Supervisory Organization the worker manages - or the highest level Supervisory Organization the worker manages. Instead use the new Report Field (Class Report Field, CRF) 'Manager's Default Supervisory Organization'.</t>
  </si>
  <si>
    <t xml:space="preserve">Manager's Position</t>
  </si>
  <si>
    <t xml:space="preserve">The position for the worker's primary supervisory manager. Returns workers from a filled position resolved from any of assigned, inherited, or defaulted positions.</t>
  </si>
  <si>
    <t xml:space="preserve">Manager's Position(s)</t>
  </si>
  <si>
    <t xml:space="preserve">The position(s) for the worker's primary supervisory manager(s). Returns workers from a filled position resolved from any of assigned, inherited, or defaulted positions.</t>
  </si>
  <si>
    <t xml:space="preserve">Manager's Supervisory Organization</t>
  </si>
  <si>
    <t xml:space="preserve">The workers in a supervisory organization and optionally any subordinate organizations.</t>
  </si>
  <si>
    <t xml:space="preserve">Include Subordinate Organizations</t>
  </si>
  <si>
    <t xml:space="preserve">Marital Status (Country Securable)</t>
  </si>
  <si>
    <t xml:space="preserve">The marital status of a worker.</t>
  </si>
  <si>
    <t xml:space="preserve">Marital Status Date</t>
  </si>
  <si>
    <t xml:space="preserve">The date of the worker's current marital status. This report field cannot be secured by country.</t>
  </si>
  <si>
    <t xml:space="preserve">Marital Status Date (Country Securable)</t>
  </si>
  <si>
    <t xml:space="preserve">The date of the worker's current marital status.</t>
  </si>
  <si>
    <t xml:space="preserve">Matchable is a Student</t>
  </si>
  <si>
    <t xml:space="preserve">The primary record instance is a student prospect.</t>
  </si>
  <si>
    <t xml:space="preserve">Matrix Organizations (Benefit Jobs)</t>
  </si>
  <si>
    <t xml:space="preserve">The matrix organizations for the worker's benefit jobs. Benefit jobs are jobs used to determine benefit eligibility.</t>
  </si>
  <si>
    <t xml:space="preserve">Matrix Organizations (Benefits)</t>
  </si>
  <si>
    <t xml:space="preserve">The matrix organizations for the worker's primary position. For Benefits Eligibility use.</t>
  </si>
  <si>
    <t xml:space="preserve">Matrix Organizations - Primary Position</t>
  </si>
  <si>
    <t xml:space="preserve">The matrix organizations for the worker's primary position that are visible to everyone. You can only use this report field on a custom data source.</t>
  </si>
  <si>
    <t xml:space="preserve">Medicare 45 Day Alert</t>
  </si>
  <si>
    <t xml:space="preserve">The date 45 days before the employee or retiree becomes eligible for Medicare because they will be 65 years old. The alert date is 45 days before the Medicare eligibility date. A person’s Medicare eligibility date is usually the first day of the month that they turn 65. If their birth date is on the first day of a month, their eligibility date is the first day of the previous month.</t>
  </si>
  <si>
    <t xml:space="preserve">Medicare 90 Day Alert</t>
  </si>
  <si>
    <t xml:space="preserve">The date 90 days before the employee or retiree becomes eligible for Medicare because they will be 65 years old. The alert date is 90 days before the Medicare eligibility date. A person’s Medicare eligibility date is usually the first day of the month that they turn 65. If their birth date is on the first day of a month, their eligibility date is the first day of the previous month.</t>
  </si>
  <si>
    <t xml:space="preserve">Medicare Age (+65) Eligibility Date</t>
  </si>
  <si>
    <t xml:space="preserve">The date the employee or retiree becomes eligible for Medicare because they are 65 years old. This is usually the first day of the month that they turn 65. If their birth date is on the first day of the month, their eligibility date is the first day of the prior month. This field uses the employee's or retiree's date of birth in Workday.</t>
  </si>
  <si>
    <t xml:space="preserve">Medicare ESRD Coordination Period End Date</t>
  </si>
  <si>
    <t xml:space="preserve">The coordination period end date for the employee's or retiree's End Stage Renal Disease coverage.</t>
  </si>
  <si>
    <t xml:space="preserve">Medicare ESRD Coordination Period Start Date</t>
  </si>
  <si>
    <t xml:space="preserve">The coordination period start date for the employee's or retiree's End Stage Renal Disease coverage.</t>
  </si>
  <si>
    <t xml:space="preserve">Medicare ESRD Enrolled</t>
  </si>
  <si>
    <t xml:space="preserve">True, if the employee or retiree is enrolled in Medicare ESRD. The reporting or event date must be between the person’s Medicare ESRD start and end dates to be considered enrolled in Medicare ESRD. Results are determined by their most current Medicare information record.</t>
  </si>
  <si>
    <t xml:space="preserve">Medicare ESRD First Dialysis Date</t>
  </si>
  <si>
    <t xml:space="preserve">The date the employee or retiree received the first dialysis.</t>
  </si>
  <si>
    <t xml:space="preserve">Medicare ESRD Self-Training Date</t>
  </si>
  <si>
    <t xml:space="preserve">The date the employee or retiree completed End Stage Renal Disease self-training.</t>
  </si>
  <si>
    <t xml:space="preserve">Medicare ESRD Transplant Date</t>
  </si>
  <si>
    <t xml:space="preserve">The date the employee or retiree received a transplant.</t>
  </si>
  <si>
    <t xml:space="preserve">Medicare ESRD Transplant Failure Date</t>
  </si>
  <si>
    <t xml:space="preserve">The date the transplant failed for the employee or retiree.</t>
  </si>
  <si>
    <t xml:space="preserve">Medicare ID (HICN)</t>
  </si>
  <si>
    <t xml:space="preserve">The ID assigned to the employee or retiree when they enroll in Medicare.</t>
  </si>
  <si>
    <t xml:space="preserve">Medicare ID (MBI)</t>
  </si>
  <si>
    <t xml:space="preserve">Medicare Part A Effective Date</t>
  </si>
  <si>
    <t xml:space="preserve">The date that Part A - Hospital coverage becomes effective for the employee or retiree.</t>
  </si>
  <si>
    <t xml:space="preserve">Medicare Part A Enrolled</t>
  </si>
  <si>
    <t xml:space="preserve">True, if the employee or retiree is enrolled in Medicare Part A. The reporting or event date must be between the person’s Medicare Part A effective and termination dates to be considered enrolled in Medicare Part A. Results are determined by their most current Medicare information record.</t>
  </si>
  <si>
    <t xml:space="preserve">Medicare Part A Termination Date</t>
  </si>
  <si>
    <t xml:space="preserve">The date that Part A - Hospital coverage terminates for the employee or retiree.</t>
  </si>
  <si>
    <t xml:space="preserve">Medicare Part B Effective Date</t>
  </si>
  <si>
    <t xml:space="preserve">The date that Part B - Medical coverage becomes effective for the employee or retiree.</t>
  </si>
  <si>
    <t xml:space="preserve">Medicare Part B Enrolled</t>
  </si>
  <si>
    <t xml:space="preserve">True, if the employee or retiree is enrolled in Medicare Part B. The reporting or event date must be from their Medicare Part B effective date through their termination date. Results are determined by their most current Medicare information record.</t>
  </si>
  <si>
    <t xml:space="preserve">Medicare Part B Termination Date</t>
  </si>
  <si>
    <t xml:space="preserve">The date that Part B - Medical coverage terminates for the employee or retiree.</t>
  </si>
  <si>
    <t xml:space="preserve">Medicare Part D EGWP Disenrollment Reason as of Today</t>
  </si>
  <si>
    <t xml:space="preserve">Worker's Medicare Part D EGWP Disenrollment Reason as of Today.</t>
  </si>
  <si>
    <t xml:space="preserve">Medicare Part D EGWP Enrollment Status as of Today</t>
  </si>
  <si>
    <t xml:space="preserve">Worker's Medicare Part D EGWP Enrollment Status as of Today.</t>
  </si>
  <si>
    <t xml:space="preserve">Medicare Part D Eligibility Start Date</t>
  </si>
  <si>
    <t xml:space="preserve">The date that the employee or retiree becomes eligible for Part D - Prescription coverage.</t>
  </si>
  <si>
    <t xml:space="preserve">Medicare Part D Eligibility Stop Date</t>
  </si>
  <si>
    <t xml:space="preserve">The date that the employee or retiree is no longer eligible for Part D - Prescription coverage.</t>
  </si>
  <si>
    <t xml:space="preserve">Medicare Part D Enrolled</t>
  </si>
  <si>
    <t xml:space="preserve">True, if the employee or retiree is enrolled in Medicare Part D. The reporting or event date must be between the person’s Medicare Part D effective and termination dates to be considered enrolled in Medicare Part D. Results are determined by their most current Medicare information record.</t>
  </si>
  <si>
    <t xml:space="preserve">Medicare Part D Enrollment Date</t>
  </si>
  <si>
    <t xml:space="preserve">The date that the employee or retiree enrolled in Part D - Prescription coverage.</t>
  </si>
  <si>
    <t xml:space="preserve">Medicare Part D Plan Contractor Number</t>
  </si>
  <si>
    <t xml:space="preserve">The Plan Contractor Number for Part D - Prescription coverage for the employee or retiree.</t>
  </si>
  <si>
    <t xml:space="preserve">Medicare Part D Termination Date</t>
  </si>
  <si>
    <t xml:space="preserve">The date that Part D - Prescription coverage terminates for the employee or retiree.</t>
  </si>
  <si>
    <t xml:space="preserve">The Medicare Entitlement Reason for the ~employee’s~ or retiree’s entitlement to Medicare benefits. Examples: Aged (65+), Disabled, ESRD.</t>
  </si>
  <si>
    <t xml:space="preserve">Mentor Skills</t>
  </si>
  <si>
    <t xml:space="preserve">Returns the skills a mentor has indicated in their Mentorship Preferences</t>
  </si>
  <si>
    <t xml:space="preserve">Returns the mentor types a mentor has indicated in their Mentorship Preferences</t>
  </si>
  <si>
    <t xml:space="preserve">Mentorship Additional Information</t>
  </si>
  <si>
    <t xml:space="preserve">Returns additional Informational a mentor has indicated in their Mentorship Preferences</t>
  </si>
  <si>
    <t xml:space="preserve">Returns all mentorships for a worker.</t>
  </si>
  <si>
    <t xml:space="preserve">Merged</t>
  </si>
  <si>
    <t xml:space="preserve">Returns a true if the candidate has been merged to another candidate.  When a candidate has been merged, they are no longer active.</t>
  </si>
  <si>
    <t xml:space="preserve">Merged Former Worker</t>
  </si>
  <si>
    <t xml:space="preserve">The former worker a candidate was merged to.</t>
  </si>
  <si>
    <t xml:space="preserve">Merged Terminated Worker</t>
  </si>
  <si>
    <t xml:space="preserve">The terminated worker a candidate was merged to.</t>
  </si>
  <si>
    <t xml:space="preserve">Merit Plan Assignment Details</t>
  </si>
  <si>
    <t xml:space="preserve">This field provides a text representation of the Merit plans assigned to the worker.</t>
  </si>
  <si>
    <t xml:space="preserve">Merit Plan Assignments</t>
  </si>
  <si>
    <t xml:space="preserve">Provides the context link between the worker and compensation plan assignment business objects. This field specifically provides a link to the merit plans assigned to an employee. Linked fields cannot be used in reports as fields, and should only be used as related business objects in reports.</t>
  </si>
  <si>
    <t xml:space="preserve">Contains the merit plans assigned to an employee.</t>
  </si>
  <si>
    <t xml:space="preserve">Middle Name</t>
  </si>
  <si>
    <t xml:space="preserve">The middle name for the candidate.</t>
  </si>
  <si>
    <t xml:space="preserve">Contains the military statuses of the worker.</t>
  </si>
  <si>
    <t xml:space="preserve">Mobile Phone for One Time Passcode</t>
  </si>
  <si>
    <t xml:space="preserve">The single work or home mobile phone number used for the one time passcode for the worker.</t>
  </si>
  <si>
    <t xml:space="preserve">Mobile Phone Number</t>
  </si>
  <si>
    <t xml:space="preserve">The mobile phone number for the worker including area code but without country code.</t>
  </si>
  <si>
    <t xml:space="preserve">Mobile Phone Number with Country Code</t>
  </si>
  <si>
    <t xml:space="preserve">The mobile phone number for the worker including area code and country code.</t>
  </si>
  <si>
    <t xml:space="preserve">Mobile Phones</t>
  </si>
  <si>
    <t xml:space="preserve">The mobile phone numbers for the worker including the area code and country code.</t>
  </si>
  <si>
    <t xml:space="preserve">Month and Day of Birth</t>
  </si>
  <si>
    <t xml:space="preserve">The birth date of the worker without the year. This will respect worker preferences on public profile.</t>
  </si>
  <si>
    <t xml:space="preserve">Month from Date of Birth</t>
  </si>
  <si>
    <t xml:space="preserve">Get Month Part from Worker Date of Birth.</t>
  </si>
  <si>
    <t xml:space="preserve">Month from P45 Leaver Issue Date</t>
  </si>
  <si>
    <t xml:space="preserve">Returns Month part from P45 Leaver Issue Date for Worker.</t>
  </si>
  <si>
    <t xml:space="preserve">Month from Termination Date</t>
  </si>
  <si>
    <t xml:space="preserve">Month part from Termination Date for Worker.</t>
  </si>
  <si>
    <t xml:space="preserve">Month Number of Hire Date</t>
  </si>
  <si>
    <t xml:space="preserve">Returns the month number in which the worker was hired.  For example if worker was hired in January of any year then this CRF would return 1.  If the worker was hired in December of any year this CRF would return 12.</t>
  </si>
  <si>
    <t xml:space="preserve">Month of Hire Same as Current Month</t>
  </si>
  <si>
    <t xml:space="preserve">Compares the calendar month of the worker's hire date against the current month and returns true if the same.  Evaluation ignores any year or day information.</t>
  </si>
  <si>
    <t xml:space="preserve">Month of Hire Same as Last Month</t>
  </si>
  <si>
    <t xml:space="preserve">Compares the calendar month of the worker's hire date against the previous month and returns true if the same.  Evaluation ignores any year or day information.</t>
  </si>
  <si>
    <t xml:space="preserve">Month of Hire Same as Next Month</t>
  </si>
  <si>
    <t xml:space="preserve">Compares the calendar month of the worker's hire date against the next month and returns true if the same.  Evaluation ignores any year or day information.</t>
  </si>
  <si>
    <t xml:space="preserve">Months Continuous Prior Employment</t>
  </si>
  <si>
    <t xml:space="preserve">Returns the number of months the worker was continuously employed prior to joining the current employer. Used only for China. Impacts statutory leave eligibility.</t>
  </si>
  <si>
    <t xml:space="preserve">Months of Total Work Experience</t>
  </si>
  <si>
    <t xml:space="preserve">Returns the number of months the worker has been employed to date since first entering the workforce. Used only for China. Impacts statutory leave entitlement.</t>
  </si>
  <si>
    <t xml:space="preserve">Most Recent Arrears Transactions for Worker</t>
  </si>
  <si>
    <t xml:space="preserve">This report field returns the most recent payroll result line with arrears activity for each deduction with an outstanding arrears balance. Only payroll result lines corresponding to deductions that are configured to recoup arrears are returned.  You can report on all outstanding arrears balance amounts for the context worker if you apply this report field as a business object on custom reports with the Result Line Arrears Balance (Ending) report field. Adding this report field to a custom report generates these prompts: As of and Company, which you can use to change the values that Most Recent Arrears Transactions for Worker returns.   As Of — By default, outstanding arrears balances are defined as of the most recently completed payroll result on or before the current date. Use this parameter to report on outstanding arrears balances in the past.  Company — By default, outstanding arrears balances must be tied to the company of the context worker’s primary job. Use this parameter to report on outstanding arrears balances for a specific company, which might be particularly relevant for multi-job workers. Note that if a company is specified, this report field will return blank for all workers without outstanding arrears balances tied to that company, even if those workers have outstanding arrears balances tied to a different company.</t>
  </si>
  <si>
    <t xml:space="preserve">Most Recent Compensation Event</t>
  </si>
  <si>
    <t xml:space="preserve">The worker's most recent compensation event including the business process type, worker name, and position. This field excludes future dated events.</t>
  </si>
  <si>
    <t xml:space="preserve">Most Recent Completed Payroll Results</t>
  </si>
  <si>
    <t xml:space="preserve">3 most recent completed Payroll Results for a Worker.</t>
  </si>
  <si>
    <t xml:space="preserve">Most Recently Completed Form I-9</t>
  </si>
  <si>
    <t xml:space="preserve">The completed Form I-9 in Employment Authorized status for the worker with the most recent Signature Date. When multiple forms have the same Signature Date, Workday displays the form with the most recent First Day of Employment, then the most recent Creation Date.</t>
  </si>
  <si>
    <t xml:space="preserve">Most Recently Created Form I-9</t>
  </si>
  <si>
    <t xml:space="preserve">The completed Form I-9 in Employment Authorized status for the worker with the most recent Creation Date.</t>
  </si>
  <si>
    <t xml:space="preserve">Mother's Name</t>
  </si>
  <si>
    <t xml:space="preserve">Worker Mother name</t>
  </si>
  <si>
    <t xml:space="preserve">My Assignable Roles</t>
  </si>
  <si>
    <t xml:space="preserve">Returns the roles held by the processing user. Includes any roles that have been explicitly assigned, defaulted or inherited.</t>
  </si>
  <si>
    <t xml:space="preserve">My Tasks Count</t>
  </si>
  <si>
    <t xml:space="preserve">Returns the count of unread inbox items.</t>
  </si>
  <si>
    <t xml:space="preserve">My Worker with Project Rating</t>
  </si>
  <si>
    <t xml:space="preserve">Used for prompting for multiple Workers who have Project Ratings (Rate Work)</t>
  </si>
  <si>
    <t xml:space="preserve">Returns the N Box placement for the worker.</t>
  </si>
  <si>
    <t xml:space="preserve">Name in General Display Format</t>
  </si>
  <si>
    <t xml:space="preserve">The full name of the worker in general display format.</t>
  </si>
  <si>
    <t xml:space="preserve">Name in Reporting Display Format</t>
  </si>
  <si>
    <t xml:space="preserve">The full name of the worker in reporting display format.</t>
  </si>
  <si>
    <t xml:space="preserve">Name in Short Display Format</t>
  </si>
  <si>
    <t xml:space="preserve">The full name of the worker in short display format.</t>
  </si>
  <si>
    <t xml:space="preserve">Name of Guest or Recipient or Passenger</t>
  </si>
  <si>
    <t xml:space="preserve">Name of Expense Participant.</t>
  </si>
  <si>
    <t xml:space="preserve">Returns current Named Professorship assigned to active Appointees. For Emeritus Appointees, returns historical Professorships.</t>
  </si>
  <si>
    <t xml:space="preserve">National ID Exists</t>
  </si>
  <si>
    <t xml:space="preserve">True if the candidate has a national ID.</t>
  </si>
  <si>
    <t xml:space="preserve">National Identifiers</t>
  </si>
  <si>
    <t xml:space="preserve">The National Identifiers for the person.</t>
  </si>
  <si>
    <t xml:space="preserve">National Identifiers Displayed With ID Only</t>
  </si>
  <si>
    <t xml:space="preserve">The National Identifiers for the Worker, displayed as the ID only.</t>
  </si>
  <si>
    <t xml:space="preserve">National Insurance Number</t>
  </si>
  <si>
    <t xml:space="preserve">Worker National Insurance Number.</t>
  </si>
  <si>
    <t xml:space="preserve">Native Region</t>
  </si>
  <si>
    <t xml:space="preserve">The native country region from the worker Hukou.</t>
  </si>
  <si>
    <t xml:space="preserve">Navigable Owner</t>
  </si>
  <si>
    <t xml:space="preserve">Owner of the organization or other business object displayed in the organization chart.</t>
  </si>
  <si>
    <t xml:space="preserve">All Owners</t>
  </si>
  <si>
    <t xml:space="preserve">Org Chart</t>
  </si>
  <si>
    <t xml:space="preserve">Next Anniversary</t>
  </si>
  <si>
    <t xml:space="preserve">The next anniversary for a worker based on their most recent hire date.  If the worker's anniversary is today, then it will return today's date.  If the worker's next anniversary is in the future, then it will return the date of the worker's next anniversary.</t>
  </si>
  <si>
    <t xml:space="preserve">Next Birthday</t>
  </si>
  <si>
    <t xml:space="preserve">The next birthday for a worker. If the worker's birthday is today, then it will return today's date. If the worker's next birthday is in the future, then it will return the date of the worker's next birthday. This will respect worker preferences on public profile.</t>
  </si>
  <si>
    <t xml:space="preserve">Next Compensation Grade Start Date</t>
  </si>
  <si>
    <t xml:space="preserve">The date the Employee is expected to reach the end of the compensation step progression and be eligible to progress to the next compensation grade.</t>
  </si>
  <si>
    <t xml:space="preserve">Next Continuous Service Date Anniversary</t>
  </si>
  <si>
    <t xml:space="preserve">The next anniversary for a worker based on their continuous service date.  If the worker's anniversary is today, then it will return today's date.  If the worker's next anniversary is in the future, then it will return the date of the worker's next anniversary.</t>
  </si>
  <si>
    <t xml:space="preserve">Next Continuous Service Date Anniversary in Years</t>
  </si>
  <si>
    <t xml:space="preserve">The amount of years that the worker is celebrating as their next anniversary based on their continuous service date.</t>
  </si>
  <si>
    <t xml:space="preserve">Next Payment Date</t>
  </si>
  <si>
    <t xml:space="preserve">The date of the next payroll payment for a worker. This field returns data for payments for all pay groups.</t>
  </si>
  <si>
    <t xml:space="preserve">Next Payroll Payment Date</t>
  </si>
  <si>
    <t xml:space="preserve">The date of the next payroll payment for a worker. This field returns data for on-cycle payments for the worker's primary pay group.</t>
  </si>
  <si>
    <t xml:space="preserve">Next Regular Payroll Payment Date</t>
  </si>
  <si>
    <t xml:space="preserve">The date of the next on-cycle regular payroll payment for the worker. The payment date is in the future.</t>
  </si>
  <si>
    <t xml:space="preserve">Next Step Start Date</t>
  </si>
  <si>
    <t xml:space="preserve">The date the Employee's next compensation step will start.</t>
  </si>
  <si>
    <t xml:space="preserve">No Retro Processing Prior To</t>
  </si>
  <si>
    <t xml:space="preserve">"No Retro Processing Prior to" off Worker class.</t>
  </si>
  <si>
    <t xml:space="preserve">Nominations for an employee.</t>
  </si>
  <si>
    <t xml:space="preserve">Nominations by Job Profile</t>
  </si>
  <si>
    <t xml:space="preserve">Nominations for an employee grouped by Job Profile.</t>
  </si>
  <si>
    <t xml:space="preserve">Non Country Specific Section 1 - Field 1</t>
  </si>
  <si>
    <t xml:space="preserve">The Non Country Specific Section 1 - Field 1  of the worker.</t>
  </si>
  <si>
    <t xml:space="preserve">Non Country Specific Section 1 - Field 1  (Locale Sensitive)</t>
  </si>
  <si>
    <t xml:space="preserve">The Non Country Specific Section 1 - Field 1 of the worker. Returns value based on the localization setting for worker.</t>
  </si>
  <si>
    <t xml:space="preserve">Non Country Specific Section 1 - Field 2</t>
  </si>
  <si>
    <t xml:space="preserve">The Non Country Specific Section 1 - Field 2  of the worker.</t>
  </si>
  <si>
    <t xml:space="preserve">Non Country Specific Section 1 - Field 2  (Locale Sensitive)</t>
  </si>
  <si>
    <t xml:space="preserve">The Non Country Specific Section 1 - Field 2 of the worker. Returns value based on the localization setting for worker.</t>
  </si>
  <si>
    <t xml:space="preserve">Non Country Specific Section 1 - Field 3</t>
  </si>
  <si>
    <t xml:space="preserve">The Non Country Specific Section 1 - Field 3  of the worker.</t>
  </si>
  <si>
    <t xml:space="preserve">Non Country Specific Section 1 - Field 3  (Locale Sensitive)</t>
  </si>
  <si>
    <t xml:space="preserve">The Non Country Specific Section 1 - Field 3 of the worker. Returns value based on the localization setting for worker.</t>
  </si>
  <si>
    <t xml:space="preserve">Non Country Specific Section 2 - Field 1</t>
  </si>
  <si>
    <t xml:space="preserve">The Non Country Specific Section 2 - Field 1  of the worker.</t>
  </si>
  <si>
    <t xml:space="preserve">Non Country Specific Section 2 - Field 1  (Locale Sensitive)</t>
  </si>
  <si>
    <t xml:space="preserve">The Non Country Specific Section 2 - Field 1 of the worker. Returns value based on the localization setting for worker.</t>
  </si>
  <si>
    <t xml:space="preserve">Non Country Specific Section 2 - Field 2</t>
  </si>
  <si>
    <t xml:space="preserve">The Non Country Specific Section 2 - Field 2  of the worker.</t>
  </si>
  <si>
    <t xml:space="preserve">Non Country Specific Section 2 - Field 2  (Locale Sensitive)</t>
  </si>
  <si>
    <t xml:space="preserve">The Non Country Specific Section 2 - Field 2 of the worker. Returns value based on the localization setting for worker.</t>
  </si>
  <si>
    <t xml:space="preserve">Non Country Specific Section 2 - Field 3</t>
  </si>
  <si>
    <t xml:space="preserve">The Non Country Specific Section 2 - Field 3  of the worker.</t>
  </si>
  <si>
    <t xml:space="preserve">Non Country Specific Section 2 - Field 3  (Locale Sensitive)</t>
  </si>
  <si>
    <t xml:space="preserve">The Non Country Specific Section 2 - Field 3 of the worker. Returns value based on the localization setting for worker.</t>
  </si>
  <si>
    <t xml:space="preserve">Non Country Specific Section 3 - Field 1</t>
  </si>
  <si>
    <t xml:space="preserve">The Non Country Specific Section 3 - Field 1  of the worker.</t>
  </si>
  <si>
    <t xml:space="preserve">Non Country Specific Section 3 - Field 1  (Locale Sensitive)</t>
  </si>
  <si>
    <t xml:space="preserve">The Non Country Specific Section 3 - Field 1 of the worker. Returns value based on the localization setting for worker.</t>
  </si>
  <si>
    <t xml:space="preserve">Non Country Specific Section 3 - Field 2</t>
  </si>
  <si>
    <t xml:space="preserve">The Non Country Specific Section 3 - Field 2  of the worker.</t>
  </si>
  <si>
    <t xml:space="preserve">Non Country Specific Section 3 - Field 2  (Locale Sensitive)</t>
  </si>
  <si>
    <t xml:space="preserve">The Non Country Specific Section 3 - Field 2 of the worker. Returns value based on the localization setting for worker.</t>
  </si>
  <si>
    <t xml:space="preserve">Non Country Specific Section 3 - Field 3</t>
  </si>
  <si>
    <t xml:space="preserve">The Non Country Specific Section 3 - Field 3  of the worker.</t>
  </si>
  <si>
    <t xml:space="preserve">Non Country Specific Section 3 - Field 3  (Locale Sensitive)</t>
  </si>
  <si>
    <t xml:space="preserve">The Non Country Specific Section 3 - Field 3 of the worker. Returns value based on the localization setting for worker.</t>
  </si>
  <si>
    <t xml:space="preserve">Provides the link from corresponding business objects in order to return correct compensation basis context.</t>
  </si>
  <si>
    <t xml:space="preserve">Not Returning</t>
  </si>
  <si>
    <t xml:space="preserve">Returns "Yes" if the Canadian worker is not expected to return as specified on the most recent termination transaction. This field is specific to Canadian employment.</t>
  </si>
  <si>
    <t xml:space="preserve">Notification Recipients</t>
  </si>
  <si>
    <t xml:space="preserve">This CRF returns the concerned workers to be notified incase the signer under goes a job change, termination etc.</t>
  </si>
  <si>
    <t xml:space="preserve">Notification System Account</t>
  </si>
  <si>
    <t xml:space="preserve">True if an external candidate, internal candidate, or prospect has a Notification System Account. This allows them to view job application fields in notifications.</t>
  </si>
  <si>
    <t xml:space="preserve">Number of Days Per Week</t>
  </si>
  <si>
    <t xml:space="preserve">Returns the number of days per week the worker works from home.</t>
  </si>
  <si>
    <t xml:space="preserve">Number of Direct Reports (Contingent Workers)</t>
  </si>
  <si>
    <t xml:space="preserve">The count of a manager's direct reports that are active contingent workers. This count doesn't include positions inherited by the manager.</t>
  </si>
  <si>
    <t xml:space="preserve">Number of Direct Reports (Employees)</t>
  </si>
  <si>
    <t xml:space="preserve">The count of a manager's direct reports that are active employees. This count doesn't include positions inherited by the manager.</t>
  </si>
  <si>
    <t xml:space="preserve">Number of Direct Reports as of Effective Date</t>
  </si>
  <si>
    <t xml:space="preserve">Returns the number of direct reports as of the effective date selected on the report.</t>
  </si>
  <si>
    <t xml:space="preserve">Number of Payroll Dependents</t>
  </si>
  <si>
    <t xml:space="preserve">The number of the worker's dependents used for payroll purposes.</t>
  </si>
  <si>
    <t xml:space="preserve">Number of Periods with Total Hours Equal To or Greater Than Standard Hours</t>
  </si>
  <si>
    <t xml:space="preserve">The number of periods where the total hours logged is equal to or greater than the standard or default work hours for within a date range and the project hierarchy passed by the report parameters.  Excludes canceled timesheets.</t>
  </si>
  <si>
    <t xml:space="preserve">Include Subordinate Project Hierarchies</t>
  </si>
  <si>
    <t xml:space="preserve">Number of Periods with Total Hours Less Than Standard Hours</t>
  </si>
  <si>
    <t xml:space="preserve">The number of periods where the total hours logged is less than the standard or default work hours for within a date range and the project hierarchy passed by the report parameters.  Excludes canceled timesheets.</t>
  </si>
  <si>
    <t xml:space="preserve">Number of Periods with Total Hours Not Equal To Standard Hours</t>
  </si>
  <si>
    <t xml:space="preserve">The number of periods where the total hours logged is either over or under the default weekly hours for the worker for the specified date range passed by the report parameters.  Includes submitted and approved hours.</t>
  </si>
  <si>
    <t xml:space="preserve">Onboarding Completion Date</t>
  </si>
  <si>
    <t xml:space="preserve">Returns the Opportunity Marketplace onboarding completion date of a worker</t>
  </si>
  <si>
    <t xml:space="preserve">Opted In to SMS</t>
  </si>
  <si>
    <t xml:space="preserve">True if the external or internal candidate opted in to SMS.</t>
  </si>
  <si>
    <t xml:space="preserve">Order</t>
  </si>
  <si>
    <t xml:space="preserve">Returns the Sort Order assigned to the orderable item as defined in the Maintain Custom Sort Order task.</t>
  </si>
  <si>
    <t xml:space="preserve">Top Level Node in Hierarchy</t>
  </si>
  <si>
    <t xml:space="preserve">Org Chart Deep Link</t>
  </si>
  <si>
    <t xml:space="preserve">Deep link to the Org Chart task for this worker</t>
  </si>
  <si>
    <t xml:space="preserve">Organization - Roll-up to My Level 1 Organizations</t>
  </si>
  <si>
    <t xml:space="preserve">Returns the immediate subordinate organization (Level 1) for the current user that matches a worker's superior organization.   Prompts the user at run-time for Organization Type and Organization Role to automatically filter the report results.</t>
  </si>
  <si>
    <t xml:space="preserve">Organization and Superior Organizations</t>
  </si>
  <si>
    <t xml:space="preserve">The organization and superior organizations for the worker's primary position, including pay groups, matrix organization, location hierarchies and custom organizations based on membership rules. When used with a prompt, do not use "Prompt - Organizations and Subordinates" as the prompt field as this may cause performance issues. Workday recommends using "Prompt - Organizations" as the prompt.</t>
  </si>
  <si>
    <t xml:space="preserve">Organization Assignment History - All</t>
  </si>
  <si>
    <t xml:space="preserve">Contains all organization assignment transactions for the worker's primary position.</t>
  </si>
  <si>
    <t xml:space="preserve">Organization Assignment History - Approved</t>
  </si>
  <si>
    <t xml:space="preserve">Contains all approved organization assignment transactions for the worker's primary position.</t>
  </si>
  <si>
    <t xml:space="preserve">Organization Assignments</t>
  </si>
  <si>
    <t xml:space="preserve">Contains the staffing organizations assigned to the worker's primary position (e.g. Company ABC, Cost Center 123 , Region XYZ, etc). Only organizations assigned via Change Organization business process are included.</t>
  </si>
  <si>
    <t xml:space="preserve">Organization Assignments (Benefit Jobs)</t>
  </si>
  <si>
    <t xml:space="preserve">Contains the staffing organizations assigned to the worker's benefit jobs (e.g. Company ABC, Cost Center 123 , Region XYZ, etc). Only organizations assigned via Change Organization business process are included.</t>
  </si>
  <si>
    <t xml:space="preserve">Organization Assignments (Benefits)</t>
  </si>
  <si>
    <t xml:space="preserve">Contains the staffing organizations assigned to the worker's primary position (e.g. Company ABC, Cost Center 123 , Region XYZ, etc). Meant for Benefit Eligibility use. Only organizations assigned via Change Organization business process are included.</t>
  </si>
  <si>
    <t xml:space="preserve">Organization goals from the worker's supervisory organization and all superior supervisory organizations.</t>
  </si>
  <si>
    <t xml:space="preserve">Organization Membership</t>
  </si>
  <si>
    <t xml:space="preserve">The worker's staffing organizations for the worker's primary position, any relating hierarchy organizations including pay groups, matrix organization, location hierarchies and custom organizations based on membership rules. This report field depends on membership rules. To avoid timeouts and improve performance when the field is used in a report, ensure that all membership rules in your tenant are semidynamic.</t>
  </si>
  <si>
    <t xml:space="preserve">Organization Role Assignments</t>
  </si>
  <si>
    <t xml:space="preserve">Contains the explicit organizational role assignments for this worker.  For each assignment, returns the worker, organization role and organization as one field.  Does not include organization roles that have been defaulted.</t>
  </si>
  <si>
    <t xml:space="preserve">Organization Roles</t>
  </si>
  <si>
    <t xml:space="preserve">Contains the organizational roles that have been granted to this worker.  Includes any organization roles that have been explicitly assigned, defaulted or inherited.</t>
  </si>
  <si>
    <t xml:space="preserve">Organizations from Location</t>
  </si>
  <si>
    <t xml:space="preserve">Contains the organization and superior organizations that contains the location of the worker's primary position.</t>
  </si>
  <si>
    <t xml:space="preserve">Organizations Managed or Supported</t>
  </si>
  <si>
    <t xml:space="preserve">The organizations that the Worker manages and supports. Includes inherited roles and enables you to include subordinate organizations.</t>
  </si>
  <si>
    <t xml:space="preserve">Organizations on Worker Profile for Primary Position</t>
  </si>
  <si>
    <t xml:space="preserve">Returns the organizations shown on the Worker Profile Organization tab for the worker's primary position along with the Retiree organization. Terminated Workers: Returns the Organizations the worker had at the time of termination.  This includes organizations assigned via the Change Organization business process, pay groups, supervisory organization, retiree, matrix organization and custom organizations assigned via the Reorganization or Membership rules tasks.</t>
  </si>
  <si>
    <t xml:space="preserve">Organizations on Worker Profile for Primary Position plus Superiors</t>
  </si>
  <si>
    <t xml:space="preserve">Returns the organizations shown on the Worker Profile Organization tab for the worker's primary position along with the Retiree organization and all of their superiors.  This includes organizations assigned via the Change Organization business process, pay groups, supervisory organization, retiree, matrix organization and custom organizations assigned via the Reorganization or Membership rules tasks.</t>
  </si>
  <si>
    <t xml:space="preserve">Organizations Viewable</t>
  </si>
  <si>
    <t xml:space="preserve">Returns orgs for org types selected that the worker can click on to see detail. Org types returned include supervisory, company (+ hierarchy), cost center (+ hierarchy), location hierarchy, region (+ hierarchy), pay group and custom orgs. CRF logic considers org visibility, worker's role assignments, security group(s) + access rights linked to worker's roles, and domains that control security to view org details and do related actions.</t>
  </si>
  <si>
    <t xml:space="preserve">Organization Types</t>
  </si>
  <si>
    <t xml:space="preserve">Original Hiring Manager</t>
  </si>
  <si>
    <t xml:space="preserve">The original hiring manager for the employee.</t>
  </si>
  <si>
    <t xml:space="preserve">Other Attachments</t>
  </si>
  <si>
    <t xml:space="preserve">All the attachments, except the resume, submitted by the candidate during the recruiting process.</t>
  </si>
  <si>
    <t xml:space="preserve">Other Health Care Insurance</t>
  </si>
  <si>
    <t xml:space="preserve">This is the CRF for Other Health Care Insurance</t>
  </si>
  <si>
    <t xml:space="preserve">Other Health Care Insurance Policy Name</t>
  </si>
  <si>
    <t xml:space="preserve">This is the CRF for Other Health Care Insurance Policy Name</t>
  </si>
  <si>
    <t xml:space="preserve">Other Health Care Insurance Policy Number</t>
  </si>
  <si>
    <t xml:space="preserve">This is the CRF for Other Health Care Insurance Policy Number</t>
  </si>
  <si>
    <t xml:space="preserve">Other IDs</t>
  </si>
  <si>
    <t xml:space="preserve">Contains the Custom IDs for the worker.</t>
  </si>
  <si>
    <t xml:space="preserve">Overage Option</t>
  </si>
  <si>
    <t xml:space="preserve">The overage option applicable on accounting cash pools or balancing worktags. Example: You define Overage not Allowed as the default option and Overage Allowed as the override option for the given accounting cash pool or balancing worktag. In this scenario, the applicable overage option is Overage Allowed.</t>
  </si>
  <si>
    <t xml:space="preserve">Overall Rating - Manager</t>
  </si>
  <si>
    <t xml:space="preserve">The overall rating for the last completed performance review with a review period end date on or before today. The overall rating comes from the overall section in the manager's evaluation.</t>
  </si>
  <si>
    <t xml:space="preserve">P45 Address - Line 1</t>
  </si>
  <si>
    <t xml:space="preserve">Line 1 of worker's Home Address.</t>
  </si>
  <si>
    <t xml:space="preserve">P45 Address - Line 2</t>
  </si>
  <si>
    <t xml:space="preserve">Line 2 of worker's home address if available, otherwise their city.</t>
  </si>
  <si>
    <t xml:space="preserve">P45 Address - Line 3</t>
  </si>
  <si>
    <t xml:space="preserve">Line 3 of worker's home address if available, otherwise their city.</t>
  </si>
  <si>
    <t xml:space="preserve">P45 Company Name</t>
  </si>
  <si>
    <t xml:space="preserve">For UK Payroll P45, returns the company name for worker's Latest Payroll Result for P45. Used within the P45 process, using this in any other context could result in unexpected or misleading results.</t>
  </si>
  <si>
    <t xml:space="preserve">P45 Company Primary Address - City</t>
  </si>
  <si>
    <t xml:space="preserve">City for Company Address on Worker Latest Payroll Result for P45 if Address line 2 and 3 are not empty. Used within the P45 process, using this in any other context could result in unexpected or misleading results.</t>
  </si>
  <si>
    <t xml:space="preserve">P45 Company Primary Address - Line 1</t>
  </si>
  <si>
    <t xml:space="preserve">Address Line 1 of Worker Company Primary Address on Latest Payroll Result for P45. Used within the P45 process, using this in any other context could result in unexpected or misleading results.</t>
  </si>
  <si>
    <t xml:space="preserve">P45 Company Primary Address - Line 2</t>
  </si>
  <si>
    <t xml:space="preserve">Address Line 2 of Worker Company Primary Address on Latest Payroll Result for P45 if not empty, otherwise City. Used within the P45 process, using this in any other context could result in unexpected or misleading results.</t>
  </si>
  <si>
    <t xml:space="preserve">P45 Company Primary Address - Line 3</t>
  </si>
  <si>
    <t xml:space="preserve">Address Line 3 of Worker Company Primary Address on Latest Payroll Result for P45 if not empty, otherwise City. Used within the P45 process, using this in any other context could result in unexpected or misleading results.</t>
  </si>
  <si>
    <t xml:space="preserve">P45 Company Primary Address - Postal Code</t>
  </si>
  <si>
    <t xml:space="preserve">Get Post Code for Company on Worker Latest Payroll Result for P45 if Address is in UK. Used within the P45 process, using this in any other context could result in unexpected or misleading results.</t>
  </si>
  <si>
    <t xml:space="preserve">P45 Day from Leaving Date</t>
  </si>
  <si>
    <t xml:space="preserve">Day part from Leaving Date for Worker for the P45 process. Used within the P45 process, using this in any other context could result in unexpected or misleading results.</t>
  </si>
  <si>
    <t xml:space="preserve">P45 Day from P45 Leaver Issue Date</t>
  </si>
  <si>
    <t xml:space="preserve">Returns Day from P45 Leaver Issue Date using Worker Latest Payroll Result for P45. Used within the P45 process, using this in any other context could result in unexpected or misleading results.</t>
  </si>
  <si>
    <t xml:space="preserve">P45 Employer HMRC Office Number</t>
  </si>
  <si>
    <t xml:space="preserve">Company HMRC Office Number for Worker Latest Payroll Result for P45. Used within the P45 process, using this in any other context could result in unexpected or misleading results.</t>
  </si>
  <si>
    <t xml:space="preserve">P45 Employer PAYE Reference</t>
  </si>
  <si>
    <t xml:space="preserve">Company PAYE Reference for Worker Latest Payroll Result for P45. Used within the P45 process, using this in any other context could result in unexpected or misleading results.</t>
  </si>
  <si>
    <t xml:space="preserve">P45 Leaver Issue Date</t>
  </si>
  <si>
    <t xml:space="preserve">Date P45 was issued to the worker.</t>
  </si>
  <si>
    <t xml:space="preserve">P45 Legal Name - First Name and Middle Name</t>
  </si>
  <si>
    <t xml:space="preserve">P45 Legal Name - Last Name</t>
  </si>
  <si>
    <t xml:space="preserve">P45 Legal Name - Title</t>
  </si>
  <si>
    <t xml:space="preserve">P45 Month from Leaving Date</t>
  </si>
  <si>
    <t xml:space="preserve">Month part from Leaving Date for Worker for P45 process. Used within the P45 process, using this in any other context could result in unexpected or misleading results.</t>
  </si>
  <si>
    <t xml:space="preserve">P45 Month from P45 Leaver Issue Date</t>
  </si>
  <si>
    <t xml:space="preserve">Returns Month part from P45 Leaver Issue Date using Worker Latest Payroll Result for P45. Used within the P45 process, using this in any other context could result in unexpected or misleading results.</t>
  </si>
  <si>
    <t xml:space="preserve">P45 Payroll ID</t>
  </si>
  <si>
    <t xml:space="preserve">Returns Payroll ID for Worker from Latest Payroll Result for the P45 process. Used within the P45 process, using this in any other context could result in unexpected or misleading results.</t>
  </si>
  <si>
    <t xml:space="preserve">P45 Student Loan Deductions</t>
  </si>
  <si>
    <t xml:space="preserve">Return 'Y' if Worker has Active Student Loan Deduction for P45. Used within the P45 process, using this in any other context could result in unexpected or misleading results.</t>
  </si>
  <si>
    <t xml:space="preserve">P45 Tax Code</t>
  </si>
  <si>
    <t xml:space="preserve">Tax Code for Worker Latest Payroll Result for P45. Used within the P45 process, using this in any other context could result in unexpected or misleading results.</t>
  </si>
  <si>
    <t xml:space="preserve">P45 Tax Code Basis</t>
  </si>
  <si>
    <t xml:space="preserve">Returns "X" if Tax Code Basis is non cumulative for Worker Latest Payroll Result for P45. Used within the P45 process, using this in any other context could result in unexpected or misleading results.</t>
  </si>
  <si>
    <t xml:space="preserve">P45 Tax Month Number</t>
  </si>
  <si>
    <t xml:space="preserve">Returns Tax Month Number for Worker's Latest Payroll Result for P45. Used within the P45 process, using this in any other context could result in unexpected or misleading results.</t>
  </si>
  <si>
    <t xml:space="preserve">P45 Tax Week Number</t>
  </si>
  <si>
    <t xml:space="preserve">Returns Tax Week Number for Worker's Latest Payroll Result for P45. Used within the P45 process, using this in any other context could result in unexpected or misleading results.</t>
  </si>
  <si>
    <t xml:space="preserve">P45 Total Pay</t>
  </si>
  <si>
    <t xml:space="preserve">Returns Worker's total pay to date for P45. Used within the P45 process, using this in any other context could result in unexpected or misleading results.</t>
  </si>
  <si>
    <t xml:space="preserve">P45 Total Pay to Date in this Employment</t>
  </si>
  <si>
    <t xml:space="preserve">Returns worker's total pay for employment for which P45 applies. Used within the P45 process, using this in any other context could result in unexpected or misleading results.</t>
  </si>
  <si>
    <t xml:space="preserve">P45 Total Tax</t>
  </si>
  <si>
    <t xml:space="preserve">Returns Worker's total tax to date for P45. Used within the P45 process, using this in any other context could result in unexpected or misleading results.</t>
  </si>
  <si>
    <t xml:space="preserve">P45 Total Tax to Date in this Employment</t>
  </si>
  <si>
    <t xml:space="preserve">Returns worker's total tax for employment for which P45 applies. Used within the P45 process, using this in any other context could result in unexpected or misleading results.</t>
  </si>
  <si>
    <t xml:space="preserve">P45 Worker Address - City</t>
  </si>
  <si>
    <t xml:space="preserve">The worker's city, if their address lines 2 and 3 are present.</t>
  </si>
  <si>
    <t xml:space="preserve">P45 Worker Address - Postal Code</t>
  </si>
  <si>
    <t xml:space="preserve">The worker's home postcode, if their address is in the UK.</t>
  </si>
  <si>
    <t xml:space="preserve">P45 Year from Leaving Date</t>
  </si>
  <si>
    <t xml:space="preserve">Year part from Leaving Date for Worker for P45 process. Used within the P45 process, using this in any other context could result in unexpected or misleading results.</t>
  </si>
  <si>
    <t xml:space="preserve">P45 Year from P45 Leaver Issue Date</t>
  </si>
  <si>
    <t xml:space="preserve">Returns Year part from P45 Leaver Issue Date using Worker Latest Payroll Result for P45. Used within the P45 process, using this in any other context could result in unexpected or misleading results.</t>
  </si>
  <si>
    <t xml:space="preserve">Paid FTE</t>
  </si>
  <si>
    <t xml:space="preserve">The paid full time equivalent for the worker's primary position.</t>
  </si>
  <si>
    <t xml:space="preserve">Paid FTE %</t>
  </si>
  <si>
    <t xml:space="preserve">The paid full time equivalent percentage for the worker's primary position.</t>
  </si>
  <si>
    <t xml:space="preserve">Paid FTE Specified</t>
  </si>
  <si>
    <t xml:space="preserve">True if paid full time equivalent is specified on a worker's primary position.</t>
  </si>
  <si>
    <t xml:space="preserve">Parallel Compensation Process(es)</t>
  </si>
  <si>
    <t xml:space="preserve">Identify any ongoing Compensation Events the Worker is currently engaged in.</t>
  </si>
  <si>
    <t xml:space="preserve">Parent Account</t>
  </si>
  <si>
    <t xml:space="preserve">Returns the Parent Account for Adaptive Integration.</t>
  </si>
  <si>
    <t xml:space="preserve">Parent Root Account</t>
  </si>
  <si>
    <t xml:space="preserve">This Field will return the direct Parent Aggregation Dimension of the context instance if there is any.</t>
  </si>
  <si>
    <t xml:space="preserve">Parent Reference ID Type XML Name</t>
  </si>
  <si>
    <t xml:space="preserve">Returns the type (XML-formatted) of the Parent Reference Index for this class. Runs on any Instance.</t>
  </si>
  <si>
    <t xml:space="preserve">Parent Reference ID Value</t>
  </si>
  <si>
    <t xml:space="preserve">Returns the Parent Reference Index value for this class. Runs on any Instance.</t>
  </si>
  <si>
    <t xml:space="preserve">Participates in Benefits Wellness Program</t>
  </si>
  <si>
    <t xml:space="preserve">Returns whether worker participates in a wellness program or not.</t>
  </si>
  <si>
    <t xml:space="preserve">Participates in Benefits Wellness Program Date</t>
  </si>
  <si>
    <t xml:space="preserve">Returns the effective as of date of Worker Participate in Wellness Program.</t>
  </si>
  <si>
    <t xml:space="preserve">Contains the passports for the worker.</t>
  </si>
  <si>
    <t xml:space="preserve">Passports Displayed With ID Only</t>
  </si>
  <si>
    <t xml:space="preserve">Contains the passports for the worker displayed as ID only</t>
  </si>
  <si>
    <t xml:space="preserve">The pay cycles for the pay periods for the worker.</t>
  </si>
  <si>
    <t xml:space="preserve">Pay Frequency - Payroll</t>
  </si>
  <si>
    <t xml:space="preserve">The pay frequency indicates how often the person receives a pay check.  It drives the conversion of the base pay (together with the target frequency).  Except for hourly employees, payroll systems expect base pay to be defined in terms of the pay frequency.</t>
  </si>
  <si>
    <t xml:space="preserve">Pay Group (External)</t>
  </si>
  <si>
    <t xml:space="preserve">The worker's pay group in the third-party payroll system.</t>
  </si>
  <si>
    <t xml:space="preserve">REST API (internal)</t>
  </si>
  <si>
    <t xml:space="preserve">Pay Group - Country</t>
  </si>
  <si>
    <t xml:space="preserve">The Pay Group Country for Worker.</t>
  </si>
  <si>
    <t xml:space="preserve">Pay Group - Country (Benefit Jobs)</t>
  </si>
  <si>
    <t xml:space="preserve">The Pay Group Country for Worker based on Benefit Jobs.</t>
  </si>
  <si>
    <t xml:space="preserve">Pay Group - Country (Benefits)</t>
  </si>
  <si>
    <t xml:space="preserve">The Pay Group Country for Worker for Benefits Eligibility use.</t>
  </si>
  <si>
    <t xml:space="preserve">Pay Range Currency to Reporting Currency Exchange Rate</t>
  </si>
  <si>
    <t xml:space="preserve">Gives the current currency exchange rate from the Worker's primary employment Pay Range to the reporting currency.</t>
  </si>
  <si>
    <t xml:space="preserve">The pay rate determinant (PRD) specified for the worker. This PRD can be captured on Personnel Action Requests for U.S. federal customers. PRDs are a designation of any special factors that help determine an employee's rate of basic pay or adjusted basic pay.</t>
  </si>
  <si>
    <t xml:space="preserve">Pay Rate Types (Benefit Jobs)</t>
  </si>
  <si>
    <t xml:space="preserve">The pay rate types used by an employee's benefit jobs.</t>
  </si>
  <si>
    <t xml:space="preserve">Pay Through Date for Worker</t>
  </si>
  <si>
    <t xml:space="preserve">Returns the maximum Pay Through Date from all Employments for a Worker. Workday obtains the value from a severance worksheet with Send to Payroll selected, if one exists. If not, Workday obtains the value from the termination.</t>
  </si>
  <si>
    <t xml:space="preserve">Pay Through Date for Worker from Termination</t>
  </si>
  <si>
    <t xml:space="preserve">Returns the maximum Pay Through Date from all Employments for a Worker, obtain value from termination.</t>
  </si>
  <si>
    <t xml:space="preserve">Pay Through Date from Termination</t>
  </si>
  <si>
    <t xml:space="preserve">The pay through date for the terminated worker, obtain value from termination.</t>
  </si>
  <si>
    <t xml:space="preserve">Pay Types without Direct Deposit Payment Election</t>
  </si>
  <si>
    <t xml:space="preserve">Returns pay types for which a Worker is eligible and the payment election is missing or does not contain a direct deposit.</t>
  </si>
  <si>
    <t xml:space="preserve">Pay Types Without Payment Election</t>
  </si>
  <si>
    <t xml:space="preserve">Returns the pay types for which a worker is eligible and has no payment election.</t>
  </si>
  <si>
    <t xml:space="preserve">Payee Address</t>
  </si>
  <si>
    <t xml:space="preserve">The address object of the payee. This report field doesn't return data if the payee is a Worker, customer, or investor.</t>
  </si>
  <si>
    <t xml:space="preserve">Alternate names for payees, which include suppliers, customers, ad hoc payees, and supplier connections.</t>
  </si>
  <si>
    <t xml:space="preserve">Payee Primary Phone Number</t>
  </si>
  <si>
    <t xml:space="preserve">Returns the Payee Primary Phone Number that contains a Remit To usage tag where applicable. For person payees, the order of priority is: Home, Work, Institution.</t>
  </si>
  <si>
    <t xml:space="preserve">PAYGBR Primary Address Full</t>
  </si>
  <si>
    <t xml:space="preserve">The worker's primary work or home address. Work address is used only for workers with a work address override (i.e., a worker-specific work address that is normally different from their default location address). Data from the worker's primary home address is returned otherwise.</t>
  </si>
  <si>
    <t xml:space="preserve">Payment Election Default Country</t>
  </si>
  <si>
    <t xml:space="preserve">The default country for the Payment Election Enrollable for this worker.</t>
  </si>
  <si>
    <t xml:space="preserve">Payment Election Default Currency</t>
  </si>
  <si>
    <t xml:space="preserve">The default currency for the Payment Election Enrollable for this worker.</t>
  </si>
  <si>
    <t xml:space="preserve">This is the payment election option for the worker.  This field can be used to get further information from the payment election options.</t>
  </si>
  <si>
    <t xml:space="preserve">This will return the Payment Election Option Lines for the worker.  It will allow you to get the allowed countries, currencies and payment types per pay type.</t>
  </si>
  <si>
    <t xml:space="preserve">Payment Elections Current</t>
  </si>
  <si>
    <t xml:space="preserve">Contains the current Payment Elections for a worker.</t>
  </si>
  <si>
    <t xml:space="preserve">Payment Elections In Progress</t>
  </si>
  <si>
    <t xml:space="preserve">Contains the in progress Payment Elections for a worker.</t>
  </si>
  <si>
    <t xml:space="preserve">The payroll employee type for an employee's position and is used by payroll.</t>
  </si>
  <si>
    <t xml:space="preserve">Payroll Hours Related Result Lines for Period</t>
  </si>
  <si>
    <t xml:space="preserve">Returns all the related result lines for completed results for the worker where the result lines are for Prorated or Unprorated Hours related calculations and the period end date is within the date range of the period parm.</t>
  </si>
  <si>
    <t xml:space="preserve">Payroll Hours Related Result Lines YTD</t>
  </si>
  <si>
    <t xml:space="preserve">Returns all the related result lines for completed results for the worker where the result lines are for Prorated or Unprorated Hours related calculations and the period end date is within the date range of the balance period start date and period end date of the period parm.</t>
  </si>
  <si>
    <t xml:space="preserve">Returns Payroll ID for Worker.</t>
  </si>
  <si>
    <t xml:space="preserve">Payroll Inputs with Optional Filters</t>
  </si>
  <si>
    <t xml:space="preserve">Returns Payroll Inputs for a Worker with options to filter based on Pay Component(s), Payroll Input type (Ongoing or One-time), a date range, and/or being an Off-cycle Payroll Input.  If the "Payroll Input Type(s)" prompt is left blank, this report field automatically populates with both Ongoing and One-time Payroll Inputs. If you want to filter by only one Payroll Input type, then select that type in the prompt.  Payroll Inputs are filtered to within the last 6 months by default (i.e. Payroll Input Start Date = current date minus 6 months and Payroll Input End Date = current date). Selecting a date in those prompts will overwrite the default value for filtering.</t>
  </si>
  <si>
    <t xml:space="preserve">Payroll Pay Frequency Behavior for Worker</t>
  </si>
  <si>
    <t xml:space="preserve">Returns the Frequency Behavior (Workday Owned) associated with the Worker's Pay Group.</t>
  </si>
  <si>
    <t xml:space="preserve">The payroll results for the worker. This report field doesn't filter for the payment type or settlement status.</t>
  </si>
  <si>
    <t xml:space="preserve">Contains the payroll reporting codes from the worker's primary position.</t>
  </si>
  <si>
    <t xml:space="preserve">Payroll Result Lines Created in the Past 12 Months (All)</t>
  </si>
  <si>
    <t xml:space="preserve">Returns all the result lines created in the past 12 months for a worker.</t>
  </si>
  <si>
    <t xml:space="preserve">Payroll Result Lines Created in the Past 12 Months (Completed)</t>
  </si>
  <si>
    <t xml:space="preserve">Returns only the completed result lines created in the past 12 months for a worker.</t>
  </si>
  <si>
    <t xml:space="preserve">Payroll Result Lines within Date Range (All)</t>
  </si>
  <si>
    <t xml:space="preserve">Returns all result lines within date range according to period date indicator for a worker. Providing a date range that is further back than 1 year may impact performance.</t>
  </si>
  <si>
    <t xml:space="preserve">Result Lines Period Date Indicator</t>
  </si>
  <si>
    <t xml:space="preserve">Payroll Result Lines within Date Range (Completed)</t>
  </si>
  <si>
    <t xml:space="preserve">Returns completed result lines within date range according to period date indicator for a worker. Providing a date range that is further back than 1 year may impact performance.</t>
  </si>
  <si>
    <t xml:space="preserve">Payroll Result Process Entry Moment</t>
  </si>
  <si>
    <t xml:space="preserve">This Field Returns Payroll Result Process Entry moment. Should be only used from Report Data Source of Payroll Result.</t>
  </si>
  <si>
    <t xml:space="preserve">Payroll Results (All)</t>
  </si>
  <si>
    <t xml:space="preserve">All Payroll Results for a Worker regardless of status.</t>
  </si>
  <si>
    <t xml:space="preserve">Payroll Results (Completed)</t>
  </si>
  <si>
    <t xml:space="preserve">All completed Payroll Results for a Worker.</t>
  </si>
  <si>
    <t xml:space="preserve">Payroll Results including Terminated Workers (Completed)</t>
  </si>
  <si>
    <t xml:space="preserve">All completed Payroll Results for a Worker  including terminated worker.</t>
  </si>
  <si>
    <t xml:space="preserve">Payroll Results Viewable by Worker</t>
  </si>
  <si>
    <t xml:space="preserve">All results for the worker that are viewable by the worker (ie, completed and not hidden).</t>
  </si>
  <si>
    <t xml:space="preserve">Payroll Time Off Units Related Result Lines for Period</t>
  </si>
  <si>
    <t xml:space="preserve">Returns all the related result lines for completed results for the worker where the result lines are for Time Off Paid, Time Off Unpaid, and Time Off Total Units related calculations and the period end date is within the date range of the period parm.</t>
  </si>
  <si>
    <t xml:space="preserve">Payroll Time Off Units Related Result Lines YTD</t>
  </si>
  <si>
    <t xml:space="preserve">Returns all the related result lines for completed results for the worker where the result lines are for Time Off Paid, Time Off Unpaid, and Time Off Total Units related calculations and the period end date is within the date range of the balance period start date and period end date of the period parm.</t>
  </si>
  <si>
    <t xml:space="preserve">The paycheck delivery method override for a worker, based on the primary employment of the worker.</t>
  </si>
  <si>
    <t xml:space="preserve">Percent</t>
  </si>
  <si>
    <t xml:space="preserve">Returns Distribution Percent for the Position used in Payroll Costing As of End of Week report as an Embedded BI on Time Calendar.</t>
  </si>
  <si>
    <t xml:space="preserve">Performance Improvements in Progress</t>
  </si>
  <si>
    <t xml:space="preserve">The performance improvement plans that are in progress for a worker.</t>
  </si>
  <si>
    <t xml:space="preserve">Performance Over Time</t>
  </si>
  <si>
    <t xml:space="preserve">The average Employee Review Rating across all completed Performance Reviews. Ratings are normalized using the rating scale specified in the Maintain Employee Review Setup task.</t>
  </si>
  <si>
    <t xml:space="preserve">Performance Over Time as of Talent Review Completed Date</t>
  </si>
  <si>
    <t xml:space="preserve">Returns the average Employee Review Rating across all Performance Reviews, completed as of the Completed Date for the Talent Review, for Templates set in 'Maintain Employee Review Setup'. The ratings are normalized using the rating scale also specified in 'Maintain Employee Review Setup'.</t>
  </si>
  <si>
    <t xml:space="preserve">Performance Rating as of Talent Review Completed Date</t>
  </si>
  <si>
    <t xml:space="preserve">Returns the performance rating from the last completed performance review for this worker. The overall rating comes from the Overall section in the manager's evaluation with a review period end date on or before today (reviews with no Overall section and without ratings enabled are excluded). When 2 or more reviews have the same end date, we reference the review with the most recent completion timestamp.</t>
  </si>
  <si>
    <t xml:space="preserve">Performance Review - Current</t>
  </si>
  <si>
    <t xml:space="preserve">The most recent performance review for an employee where 1) the review end date is in the same calendar year as the current date and 2) the review is in progress or completed with a manager evaluation.  When 2 or more reviews have the same end date and are in progress and completed; we compare the initiation timestamp of the in progress reviews and the completion timestamp of the completed reviews. We return the overall rating from the review which has the most recent timestamp.</t>
  </si>
  <si>
    <t xml:space="preserve">Performance Review - Most Recent for Worker</t>
  </si>
  <si>
    <t xml:space="preserve">The most recent performance review with a review period start date on or before today. The performance review may be in progress or completed with a review period start date on or before today and must be visible to the worker.  When 2 or more reviews have the same end date and are in progress and completed; we compare the initiation timestamp of the in progress reviews and the completion timestamp of the completed reviews. We return the overall rating from the review which has the most recent timestamp.  When 2 or more reviews have the same end date and all are in progress, this is the rating from the review with the latest initiation timestamp. When 2 or more reviews have the same end date and all are completed, this is the review with the latest completion timestamp.</t>
  </si>
  <si>
    <t xml:space="preserve">Performance Reviews in Progress</t>
  </si>
  <si>
    <t xml:space="preserve">The performance reviews that are in progress for a worker.</t>
  </si>
  <si>
    <t xml:space="preserve">Performance Section</t>
  </si>
  <si>
    <t xml:space="preserve">Returns True when the user has access to the Worker Data Performance Review domain.</t>
  </si>
  <si>
    <t xml:space="preserve">Period Activity Assignments</t>
  </si>
  <si>
    <t xml:space="preserve">Returns all period activity assignments for all postions for this worker</t>
  </si>
  <si>
    <t xml:space="preserve">Period End Date</t>
  </si>
  <si>
    <t xml:space="preserve">Date that corresponds to the end of the period.</t>
  </si>
  <si>
    <t xml:space="preserve">Period End Date of Last Regular Pay Period (Completed)</t>
  </si>
  <si>
    <t xml:space="preserve">This field exposes the date of the last "completed" Regular Run Category Payroll for the Worker</t>
  </si>
  <si>
    <t xml:space="preserve">Period End Date of Last Regular Pay Period (In Progress/Completed)</t>
  </si>
  <si>
    <t xml:space="preserve">Exposes the date of the last "in progress or completed" Regular Run Category Payroll for the Worker</t>
  </si>
  <si>
    <t xml:space="preserve">Period Salary Plan Assignment Details</t>
  </si>
  <si>
    <t xml:space="preserve">This field provides a text representation of the Period Salary plans assigned to the worker.</t>
  </si>
  <si>
    <t xml:space="preserve">Period Salary Plan Assignments</t>
  </si>
  <si>
    <t xml:space="preserve">Provides the context link between the worker and compensation plan assignment business objects. This field specifically provides a link to the period salary plans assigned to an employee. Linked fields cannot be used in reports as fields, and should only be used as related business objects in reports.</t>
  </si>
  <si>
    <t xml:space="preserve">Period Schedule of Regular Pay Group Detail for worker</t>
  </si>
  <si>
    <t xml:space="preserve">Period Start Date</t>
  </si>
  <si>
    <t xml:space="preserve">Date that corresponds to the start of the period.</t>
  </si>
  <si>
    <t xml:space="preserve">Periods Reported by Worker for Date Range</t>
  </si>
  <si>
    <t xml:space="preserve">The timesheet periods for which the worker has reported time for the specified date range.</t>
  </si>
  <si>
    <t xml:space="preserve">Persisted Benefit Group</t>
  </si>
  <si>
    <t xml:space="preserve">Contains the Benefit Group for the worker. This returns the persisted value as of their current Benefit Election rather than computing the value of the Benefit Group and therefore is more efficient.</t>
  </si>
  <si>
    <t xml:space="preserve">Person in Role</t>
  </si>
  <si>
    <t xml:space="preserve">Returns the person providing the supervisory organization role for the position.</t>
  </si>
  <si>
    <t xml:space="preserve">Show Organization Role</t>
  </si>
  <si>
    <t xml:space="preserve">Person Purged</t>
  </si>
  <si>
    <t xml:space="preserve">Returns true if the Worker has been purged</t>
  </si>
  <si>
    <t xml:space="preserve">Person was Purged</t>
  </si>
  <si>
    <t xml:space="preserve">True if the person record has been purged.</t>
  </si>
  <si>
    <t xml:space="preserve">Personal Information Change Event Country</t>
  </si>
  <si>
    <t xml:space="preserve">The country for the most recent personal information change event for the worker</t>
  </si>
  <si>
    <t xml:space="preserve">The personal information for a worker for a given country.</t>
  </si>
  <si>
    <t xml:space="preserve">Personal Information for Country of Primary Position</t>
  </si>
  <si>
    <t xml:space="preserve">The personal information for a worker for the country associated with the worker's primary position.</t>
  </si>
  <si>
    <t xml:space="preserve">Returns the personal notes that you have written for the worker.</t>
  </si>
  <si>
    <t xml:space="preserve">Personnel File Agency</t>
  </si>
  <si>
    <t xml:space="preserve">The personnel agency file. This report field cannot be secured by country.</t>
  </si>
  <si>
    <t xml:space="preserve">Personnel File Agency (Country Securable)</t>
  </si>
  <si>
    <t xml:space="preserve">The personnel agency file.</t>
  </si>
  <si>
    <t xml:space="preserve">Personnel Office</t>
  </si>
  <si>
    <t xml:space="preserve">The Personnel Office for the Worker based on the Primary Position.</t>
  </si>
  <si>
    <t xml:space="preserve">Persons who ever recorded an audio pronunciation.</t>
  </si>
  <si>
    <t xml:space="preserve">Indicates if a person has ever recorded an audio pronunciation of their name.</t>
  </si>
  <si>
    <t xml:space="preserve">The phone device type associated with the candidate's phone number. For internal candidates, this is the device type associated with their primary home phone number.</t>
  </si>
  <si>
    <t xml:space="preserve">Phone Number</t>
  </si>
  <si>
    <t xml:space="preserve">The unformatted phone number for the candidate.</t>
  </si>
  <si>
    <t xml:space="preserve">Phone Number - Mobile (Format XXX-XXX-XXXX)</t>
  </si>
  <si>
    <t xml:space="preserve">The mobile phone number for the worker, including the area code. The number format is XXX-XXX-XXXX. Only use this field for phone numbers with the +1 country code.</t>
  </si>
  <si>
    <t xml:space="preserve">Phone Number - Primary Home (Format XXX-XXX-XXXX)</t>
  </si>
  <si>
    <t xml:space="preserve">The primary home phone number for the worker, including the area code. The number format is XXX-XXX-XXXX. Only use this field for phone numbers with the +1 country code.</t>
  </si>
  <si>
    <t xml:space="preserve">Phone Number - Primary with Country Code</t>
  </si>
  <si>
    <t xml:space="preserve">The primary work phone number for the worker including the area code and country code.If the primary work phone number is not found, data for the primary home number is returned.</t>
  </si>
  <si>
    <t xml:space="preserve">Phone Number - Primary Work or Home (Format XXX-XXX-XXXX)</t>
  </si>
  <si>
    <t xml:space="preserve">The primary work phone number for the worker, including the area code. If there's no primary work phone number configured, Workday returns the primary home phone number instead. The number format is XXX-XXX-XXXX. Only use this field for phone numbers with the +1 country code.</t>
  </si>
  <si>
    <t xml:space="preserve">Phonetic Pronunciation</t>
  </si>
  <si>
    <t xml:space="preserve">Indicates if a person has a phonetic pronunciation of their name.</t>
  </si>
  <si>
    <t xml:space="preserve">Phonetic Pronunciation (Locale Sensitive)</t>
  </si>
  <si>
    <t xml:space="preserve">The phonetic pronunciation of a person's name. You can use the Maintain Localization Settings task to secure this report field by country.</t>
  </si>
  <si>
    <t xml:space="preserve">If the Plan Dimension is an Appropriation, returns the value as an Appropriation business object. Otherwise returns nothing.</t>
  </si>
  <si>
    <t xml:space="preserve">If the Plan Dimension is a Book Code, will return the value as a Book Code business object. Otherwise will return nothing.</t>
  </si>
  <si>
    <t xml:space="preserve">Plan Dimension as Business Unit</t>
  </si>
  <si>
    <t xml:space="preserve">If the Plan Dimension is a Business Unit, will return the value as a Business Unit business object. Otherwise will return nothing.</t>
  </si>
  <si>
    <t xml:space="preserve">If the Plan Dimension is a Business Unit Hierarchy, will return the value as a Business Unit Hierarchy business object. Otherwise will return nothing.</t>
  </si>
  <si>
    <t xml:space="preserve">Plan Dimension as Company</t>
  </si>
  <si>
    <t xml:space="preserve">If the Plan Dimension is a Company, will return the value as a Company business object. Otherwise will return nothing.</t>
  </si>
  <si>
    <t xml:space="preserve">If the Plan Dimension is a Company Hierarchy, will return the value as a Company Hierarchy business object. Otherwise will return nothing.</t>
  </si>
  <si>
    <t xml:space="preserve">Plan Dimension as Compensation Basis</t>
  </si>
  <si>
    <t xml:space="preserve">If the Plan Dimension is a Compensation Basis, returns the value as a Compensation Basis business object. Otherwise returns nothing.</t>
  </si>
  <si>
    <t xml:space="preserve">Plan Dimension as Compensation Grade</t>
  </si>
  <si>
    <t xml:space="preserve">If the Plan Dimension is a Compensation Grade, will return the value as a Compensation Grade business object. Otherwise will return nothing.</t>
  </si>
  <si>
    <t xml:space="preserve">Plan Dimension as Contingent Worker</t>
  </si>
  <si>
    <t xml:space="preserve">If the Plan Dimension is a Contingent Worker, will return the value as a Contingent Worker business object. Otherwise will return nothing.</t>
  </si>
  <si>
    <t xml:space="preserve">Plan Dimension as Contingent Worker Type</t>
  </si>
  <si>
    <t xml:space="preserve">If the Plan Dimension is a Contingent Worker Type, returns the value as a Contingent Worker Type business object. Otherwise returns nothing.</t>
  </si>
  <si>
    <t xml:space="preserve">Plan Dimension as Cost Center</t>
  </si>
  <si>
    <t xml:space="preserve">If the Plan Dimension is a Cost Center, will return the value as a Cost Center business object. Otherwise will return nothing.</t>
  </si>
  <si>
    <t xml:space="preserve">If the Plan Dimension is a Cost Center Hierarchy, will return the value as a Cost Center Hierarchy business object. Otherwise will return nothing.</t>
  </si>
  <si>
    <t xml:space="preserve">Plan Dimension as Country</t>
  </si>
  <si>
    <t xml:space="preserve">If the Plan Dimension is a Country, returns the value as a Country business object. Otherwise returns nothing.</t>
  </si>
  <si>
    <t xml:space="preserve">Plan Dimension as Custom Organization</t>
  </si>
  <si>
    <t xml:space="preserve">If the Plan Dimension is a Custom Organization, will return the value as a Custom Organization business object. Otherwise will return nothing.</t>
  </si>
  <si>
    <t xml:space="preserve">If the Plan Dimension is a Custom Worktag, will return the value as a Custom Worktag business object. Otherwise will return nothing.</t>
  </si>
  <si>
    <t xml:space="preserve">If the Plan Dimension is a Customer, will return the value as a Customer business object. Otherwise will return nothing.</t>
  </si>
  <si>
    <t xml:space="preserve">Plan Dimension as Employee</t>
  </si>
  <si>
    <t xml:space="preserve">If the Plan Dimension is an Employee, will return the value as an Employee business object. Otherwise will return nothing.</t>
  </si>
  <si>
    <t xml:space="preserve">If the Plan Dimension is an Expense Item, will return the value as an Expense Item business object. Otherwise will return nothing.</t>
  </si>
  <si>
    <t xml:space="preserve">Plan Dimension as Fund</t>
  </si>
  <si>
    <t xml:space="preserve">If the Plan Dimension is a Fund, will return the value as a Fund business object. Otherwise will return nothing.</t>
  </si>
  <si>
    <t xml:space="preserve">If the Plan Dimension is a Fund Hierarchy, will return the value as a Fund Hierarchy business object. Otherwise will return nothing.</t>
  </si>
  <si>
    <t xml:space="preserve">Plan Dimension as Gift</t>
  </si>
  <si>
    <t xml:space="preserve">If the Plan Dimension is a Gift, will return the value as a Gift business object. Otherwise will return nothing.</t>
  </si>
  <si>
    <t xml:space="preserve">If the Plan Dimension is a Gift Hierarchy, will return the value as a Gift Hierarchy business object. Otherwise will return nothing.</t>
  </si>
  <si>
    <t xml:space="preserve">Plan Dimension as Grant</t>
  </si>
  <si>
    <t xml:space="preserve">If the Plan Dimension is a Grant, will return the value as a Grant business object. Otherwise will return nothing.</t>
  </si>
  <si>
    <t xml:space="preserve">If the Plan Dimension is a Grant Hierarchy, will return the value as a Grant Hierarchy business object. Otherwise will return nothing.</t>
  </si>
  <si>
    <t xml:space="preserve">If the Plan Dimension is an Intercompany Affiliate, will return the value as an Intercompany Affiliate business object. Otherwise will return nothing.</t>
  </si>
  <si>
    <t xml:space="preserve">If the Plan Dimension is an Investor, will return the value as an Investor business object. Otherwise will return nothing.</t>
  </si>
  <si>
    <t xml:space="preserve">Plan Dimension as Job Category</t>
  </si>
  <si>
    <t xml:space="preserve">If the Plan Dimension is a Job Category, returns the value as a Job Category business object. Otherwise returns nothing.</t>
  </si>
  <si>
    <t xml:space="preserve">Plan Dimension as Job Family</t>
  </si>
  <si>
    <t xml:space="preserve">If the Plan Dimension is a Job Family, will return the value as a Job Family business object. Otherwise will return nothing.</t>
  </si>
  <si>
    <t xml:space="preserve">Plan Dimension as Job Level</t>
  </si>
  <si>
    <t xml:space="preserve">If the Plan Dimension is a Job Level, returns the value as a Job Level business object. Otherwise returns nothing.</t>
  </si>
  <si>
    <t xml:space="preserve">Plan Dimension as Job Profile</t>
  </si>
  <si>
    <t xml:space="preserve">If the Plan Dimension is a Job Profile, will return the value as a Job Profile business object. Otherwise will return nothing.</t>
  </si>
  <si>
    <t xml:space="preserve">Plan Dimension as Job Requisition</t>
  </si>
  <si>
    <t xml:space="preserve">If the Plan Dimension is a Job Requisition, will return the value as a Job Requisition business object. Otherwise will return nothing.</t>
  </si>
  <si>
    <t xml:space="preserve">Plan Dimension as Location</t>
  </si>
  <si>
    <t xml:space="preserve">If the Plan Dimension is a Location, will return the value as a Location business object. Otherwise will return nothing.</t>
  </si>
  <si>
    <t xml:space="preserve">Plan Dimension as Location Hierarchy</t>
  </si>
  <si>
    <t xml:space="preserve">If the Plan Dimension is a Location Hierarchy, will return the value as a Location Hierarchy business object. Otherwise will return nothing.</t>
  </si>
  <si>
    <t xml:space="preserve">Plan Dimension as Management Level</t>
  </si>
  <si>
    <t xml:space="preserve">If the Plan Dimension is a Management Level, will return the value as a Management Level business object. Otherwise will return nothing.</t>
  </si>
  <si>
    <t xml:space="preserve">If the Plan Dimension is a Object Class, will return the value as a Object Class business object. Otherwise will return nothing.</t>
  </si>
  <si>
    <t xml:space="preserve">If the Plan Dimension is an Opportunity, will return the value as an Opportunity business object. Otherwise will return nothing.</t>
  </si>
  <si>
    <t xml:space="preserve">If the Plan Dimension is a Pay Component, will return the value as a Pay Component business object. Otherwise will return nothing.</t>
  </si>
  <si>
    <t xml:space="preserve">Plan Dimension as Pay Group</t>
  </si>
  <si>
    <t xml:space="preserve">If the Plan Dimension is a Pay Group, returns the value as a Pay Group business object. Otherwise returns nothing.</t>
  </si>
  <si>
    <t xml:space="preserve">Plan Dimension as Pay Rate Type</t>
  </si>
  <si>
    <t xml:space="preserve">If the Plan Dimension is a Pay Rate Type, returns the value as a Pay Rate Type business object. Otherwise returns nothing.</t>
  </si>
  <si>
    <t xml:space="preserve">If the Plan Dimension is a Position Restriction, will return the value as a Position Restrictions business object. Otherwise will return nothing.</t>
  </si>
  <si>
    <t xml:space="preserve">If the Plan Dimension is a Position Status, will return the value as a Position Status business object. Otherwise will return nothing.</t>
  </si>
  <si>
    <t xml:space="preserve">Plan Dimension as Program</t>
  </si>
  <si>
    <t xml:space="preserve">If the Plan Dimension is a Program, will return the value as a Program business object. Otherwise will return nothing.</t>
  </si>
  <si>
    <t xml:space="preserve">If the Plan Dimension is a Program Hierarchy, will return the value as a Program Hierarchy business object. Otherwise will return nothing.</t>
  </si>
  <si>
    <t xml:space="preserve">Plan Dimension as Project</t>
  </si>
  <si>
    <t xml:space="preserve">If the Plan Dimension is a Project, will return the value as a Project business object. Otherwise will return nothing.</t>
  </si>
  <si>
    <t xml:space="preserve">Plan Dimension as Project Hierarchy</t>
  </si>
  <si>
    <t xml:space="preserve">If the Plan Dimension is a Project Hierarchy, will return the value as a Project Hierarchy business object. Otherwise will return nothing.</t>
  </si>
  <si>
    <t xml:space="preserve">If the Plan Dimension is a Project Phase, will return the value as a Project Plan Phase business object. Otherwise will return nothing.</t>
  </si>
  <si>
    <t xml:space="preserve">Plan Dimension as Project Role</t>
  </si>
  <si>
    <t xml:space="preserve">If the Plan Dimension is an Project Role, returns the value as a Project Role business object. Otherwise returns nothing.</t>
  </si>
  <si>
    <t xml:space="preserve">If the Plan Dimension is a Project Task, will return the value as a Project Plan Task business object. Otherwise will return nothing.</t>
  </si>
  <si>
    <t xml:space="preserve">Plan Dimension as Prospect</t>
  </si>
  <si>
    <t xml:space="preserve">If the Plan Dimension is a Prospect, will return the value as a Prospect business object. Otherwise will return nothing.</t>
  </si>
  <si>
    <t xml:space="preserve">Plan Dimension as Region</t>
  </si>
  <si>
    <t xml:space="preserve">If the Plan Dimension is a Region, will return the value as a Region business object. Otherwise will return nothing.</t>
  </si>
  <si>
    <t xml:space="preserve">If the Plan Dimension is a Region Hierarchy, will return the value as a Region Hierarchy business object. Otherwise will return nothing.</t>
  </si>
  <si>
    <t xml:space="preserve">If the Plan Dimension is a Revenue Category, will return the value as a Revenue Category business object. Otherwise will return nothing.</t>
  </si>
  <si>
    <t xml:space="preserve">If the Plan Dimension is a Revenue Category Hierarchy, will return the value as a Revenue Category Hierarchy business object. Otherwise will return nothing.</t>
  </si>
  <si>
    <t xml:space="preserve">If the Plan Dimension is a Sales Item, will return the value as a Sales Item business object. Otherwise will return nothing.</t>
  </si>
  <si>
    <t xml:space="preserve">If the Plan Dimension is a Spend Category, will return the value as a Spend Category business object. Otherwise will return nothing.</t>
  </si>
  <si>
    <t xml:space="preserve">If the Plan Dimension is a Spend Category Hierarchy, will return the value as a Spend Category Hierarchy business object. Otherwise will return nothing.</t>
  </si>
  <si>
    <t xml:space="preserve">If the Plan Dimension is a Sponsor, will return the value as a Sponsor business object. Otherwise will return nothing.</t>
  </si>
  <si>
    <t xml:space="preserve">Plan Dimension as Supervisory Organization</t>
  </si>
  <si>
    <t xml:space="preserve">If the Plan Dimension is a Supervisory Organization, will return the value as a Supervisory Organization business object. Otherwise will return nothing.</t>
  </si>
  <si>
    <t xml:space="preserve">Plan Dimension as Supplier</t>
  </si>
  <si>
    <t xml:space="preserve">If the Plan Dimension is a Supplier, will return the value as a Supplier business object. Otherwise will return nothing.</t>
  </si>
  <si>
    <t xml:space="preserve">Plan Dimension as Time Type</t>
  </si>
  <si>
    <t xml:space="preserve">If the Plan Dimension is a Time Type, will return the value as a Time Type business object. Otherwise will return nothing.</t>
  </si>
  <si>
    <t xml:space="preserve">Plan Dimension as Work Shift</t>
  </si>
  <si>
    <t xml:space="preserve">If the Plan Dimension is a Work Shift, returns the value as a Work Shift business object. Otherwise returns nothing.</t>
  </si>
  <si>
    <t xml:space="preserve">Plan Dimension as Worker Sub-Type</t>
  </si>
  <si>
    <t xml:space="preserve">If the Plan Dimension is a Worker Sub-Type, will return the value as a Position Worker Type business object. Otherwise will return nothing.</t>
  </si>
  <si>
    <t xml:space="preserve">Plan Dimension as Worker Type</t>
  </si>
  <si>
    <t xml:space="preserve">If the Plan Dimension is a Worker Type, will return the value as a Worker Type business object. Otherwise will return nothing.</t>
  </si>
  <si>
    <t xml:space="preserve">Planned Bonus - Percent</t>
  </si>
  <si>
    <t xml:space="preserve">The sum of the planned bonus target percents. Planned bonus targets are determined by the type of bonus plan and the individual worker.</t>
  </si>
  <si>
    <t xml:space="preserve">Political Affiliation</t>
  </si>
  <si>
    <t xml:space="preserve">The political affiliation of the worker. This report field cannot be secured by country.</t>
  </si>
  <si>
    <t xml:space="preserve">Political Affiliation (Country Securable)</t>
  </si>
  <si>
    <t xml:space="preserve">The political affiliation of the worker.</t>
  </si>
  <si>
    <t xml:space="preserve">Political Affiliation (Locale Sensitive and Country Securable)</t>
  </si>
  <si>
    <t xml:space="preserve">The political affiliation of the person, which is based on the localization setting for the worker.</t>
  </si>
  <si>
    <t xml:space="preserve">Political Affiliation (Locale Sensitive)</t>
  </si>
  <si>
    <t xml:space="preserve">The political affiliation of the person, which is based on the localization setting for the worker. This report field cannot be secured by country.</t>
  </si>
  <si>
    <t xml:space="preserve">Position Time Type</t>
  </si>
  <si>
    <t xml:space="preserve">The position time type for the worker's primary position or benefit jobs.  For example, full time or part time</t>
  </si>
  <si>
    <t xml:space="preserve">Position Time Types (Benefit Jobs)</t>
  </si>
  <si>
    <t xml:space="preserve">The position time type for the worker's benefit jobs.  For example, full time or part time</t>
  </si>
  <si>
    <t xml:space="preserve">The worker type for the worker's primary position. (e.g. Regular, Intern, Temp).</t>
  </si>
  <si>
    <t xml:space="preserve">Positions for Worker</t>
  </si>
  <si>
    <t xml:space="preserve">Returns all of the positions for a Worker.</t>
  </si>
  <si>
    <t xml:space="preserve">Positions for Worker as of End Date</t>
  </si>
  <si>
    <t xml:space="preserve">Returns all Positions for a worker as of End Date</t>
  </si>
  <si>
    <t xml:space="preserve">Postal Code Sets for Location</t>
  </si>
  <si>
    <t xml:space="preserve">Returns the postal code sets that the worker's Location belongs to</t>
  </si>
  <si>
    <t xml:space="preserve">Postal Code Sets for Primary Home Address</t>
  </si>
  <si>
    <t xml:space="preserve">The postal code set of a worker's primary home address.</t>
  </si>
  <si>
    <t xml:space="preserve">Potential - Performance Review with Calibration</t>
  </si>
  <si>
    <t xml:space="preserve">The potential from the assess potential event from the in-progress performance review started with a calibration program. The calibration event should be in-progress and this CRF will not return historical data for completed calibration events.</t>
  </si>
  <si>
    <t xml:space="preserve">Potential - Talent Review with Calibration</t>
  </si>
  <si>
    <t xml:space="preserve">The potential for the talent review started with a calibration program. The potential comes from the employee potential assessment potential within the talent review. The calibration event should be in-progress and this CRF will not return historical data for completed calibration events.</t>
  </si>
  <si>
    <t xml:space="preserve">Potential Assessment</t>
  </si>
  <si>
    <t xml:space="preserve">Returns the current potential assessment for an employee.  This will not return anything for a contingent worker as there are no potential assessments tracked for them.</t>
  </si>
  <si>
    <t xml:space="preserve">Potential Assessment Notes</t>
  </si>
  <si>
    <t xml:space="preserve">Assess Worker object.  Returns the most recent Employee Potential Assessment Notes for this Worker.</t>
  </si>
  <si>
    <t xml:space="preserve">Returns the first potential assessment value for the employee.</t>
  </si>
  <si>
    <t xml:space="preserve">Potential Assessment Value 2</t>
  </si>
  <si>
    <t xml:space="preserve">Returns the second potential assessment value for the employee.</t>
  </si>
  <si>
    <t xml:space="preserve">Potential Assessments</t>
  </si>
  <si>
    <t xml:space="preserve">Returns all the potential assessment events for the worker. Does not include potential assessments from calibration events.</t>
  </si>
  <si>
    <t xml:space="preserve">Potential Assessments - All</t>
  </si>
  <si>
    <t xml:space="preserve">Returns all the potential assessment events for the worker.</t>
  </si>
  <si>
    <t xml:space="preserve">Potential Section</t>
  </si>
  <si>
    <t xml:space="preserve">Returns True when the user has access to the Potential Section.</t>
  </si>
  <si>
    <t xml:space="preserve">Identifies the pre-hire  for the worker.  Allows you to drill into the details and access related actions for the worker when they were a pre-hire.</t>
  </si>
  <si>
    <t xml:space="preserve">Preferred Communication Language</t>
  </si>
  <si>
    <t xml:space="preserve">Indicates the preferred communication language for the worker</t>
  </si>
  <si>
    <t xml:space="preserve">Preferred Display Language</t>
  </si>
  <si>
    <t xml:space="preserve">Preferred Language of the Worker.</t>
  </si>
  <si>
    <t xml:space="preserve">Preferred First Name</t>
  </si>
  <si>
    <t xml:space="preserve">The preferred first name of a candidate.</t>
  </si>
  <si>
    <t xml:space="preserve">Preferred Full Name</t>
  </si>
  <si>
    <t xml:space="preserve">The preferred full name of a candidate.</t>
  </si>
  <si>
    <t xml:space="preserve">Preferred Last Name</t>
  </si>
  <si>
    <t xml:space="preserve">The preferred last name of a candidate.</t>
  </si>
  <si>
    <t xml:space="preserve">Preferred Learning Languages</t>
  </si>
  <si>
    <t xml:space="preserve">The user's 1 or more language preferences for the learning content. Example: English, Spanish.</t>
  </si>
  <si>
    <t xml:space="preserve">Preferred Locale</t>
  </si>
  <si>
    <t xml:space="preserve">Preferred Locale of the Worker.</t>
  </si>
  <si>
    <t xml:space="preserve">Preferred Name - Middle Name</t>
  </si>
  <si>
    <t xml:space="preserve">The worker's preferred middle name.</t>
  </si>
  <si>
    <t xml:space="preserve">Preferred Name - Salutation</t>
  </si>
  <si>
    <t xml:space="preserve">The salutation from the full preferred name.</t>
  </si>
  <si>
    <t xml:space="preserve">Preferred Name - Secondary Last Name</t>
  </si>
  <si>
    <t xml:space="preserve">The worker's preferred secondary family name.</t>
  </si>
  <si>
    <t xml:space="preserve">Preferred Name - Social Suffix</t>
  </si>
  <si>
    <t xml:space="preserve">The social suffix from the worker's full preferred name.</t>
  </si>
  <si>
    <t xml:space="preserve">Preferred Name in General Display Format</t>
  </si>
  <si>
    <t xml:space="preserve">The full preferred name in the general display format.</t>
  </si>
  <si>
    <t xml:space="preserve">Preferred Name in Reporting Display Format</t>
  </si>
  <si>
    <t xml:space="preserve">The full preferred name in the reporting display format.</t>
  </si>
  <si>
    <t xml:space="preserve">Previous Worker</t>
  </si>
  <si>
    <t xml:space="preserve">Returns true for external candidates who identify on their job application they've previously worked at the organization.</t>
  </si>
  <si>
    <t xml:space="preserve">Previous Worker Email</t>
  </si>
  <si>
    <t xml:space="preserve">Answer for the previous worker email question on the job application.</t>
  </si>
  <si>
    <t xml:space="preserve">Previous Worker Location</t>
  </si>
  <si>
    <t xml:space="preserve">Answer for the previous worker work location question on the job application.</t>
  </si>
  <si>
    <t xml:space="preserve">Previous Worker Manager</t>
  </si>
  <si>
    <t xml:space="preserve">Answer for the previous worker manager question on the job application.</t>
  </si>
  <si>
    <t xml:space="preserve">Primary Academic Appointment</t>
  </si>
  <si>
    <t xml:space="preserve">Returns the current primary Academic Appointment instance.  If there are two primary appointments, it will return the primary appointment that was established first.</t>
  </si>
  <si>
    <t xml:space="preserve">Primary Address - Country Name</t>
  </si>
  <si>
    <t xml:space="preserve">"The country name of the worker's primary work or home address. Identifies the work address for workers with a work address override. Example: A worker has a specific work address that is different from their default location address. The worker's primary home address is returned by default. "</t>
  </si>
  <si>
    <t xml:space="preserve">Primary Address - Formatted Line 1</t>
  </si>
  <si>
    <t xml:space="preserve">Line 1 of the formatted primary work or home address for the worker. Work address is used only for workers with a work address override (i.e., a worker-specific work address that is normally different from their default business site location address). Data from the worker's primary home address is returned otherwise.</t>
  </si>
  <si>
    <t xml:space="preserve">Primary Address - Formatted Line 2</t>
  </si>
  <si>
    <t xml:space="preserve">Line 2 of the formatted primary work or home address for the worker. Work address is used only for workers with a work address override (i.e., a worker-specific work address that is normally different from their default business site location address). Data from the worker's primary home address is returned otherwise.</t>
  </si>
  <si>
    <t xml:space="preserve">Primary Address - Formatted Line 3</t>
  </si>
  <si>
    <t xml:space="preserve">Line 3 of the formatted primary work or home address for the worker. Work address is used only for workers with a work address override (i.e., a worker-specific work address that is normally different from their default business site location address). Data from the worker's primary home address is returned otherwise.</t>
  </si>
  <si>
    <t xml:space="preserve">Primary Address - Formatted Line 4</t>
  </si>
  <si>
    <t xml:space="preserve">Line 4 of the formatted primary work or home address for the worker. Work address is used only for workers with a work address override (i.e., a worker-specific work address that is normally different from their default business site location address). Data from the worker's primary home address is returned otherwise.</t>
  </si>
  <si>
    <t xml:space="preserve">Primary Address - Full</t>
  </si>
  <si>
    <t xml:space="preserve">Primary Address - Full with Country</t>
  </si>
  <si>
    <t xml:space="preserve">The worker's primary work or home address with country. Work address is used only for workers with a work address override (i.e., a worker-specific work address that is normally different from their default location address). Data from the worker's primary home address is returned otherwise.</t>
  </si>
  <si>
    <t xml:space="preserve">Primary Address - Line 1</t>
  </si>
  <si>
    <t xml:space="preserve">Address Line 1 of Worker Primary Home Address.</t>
  </si>
  <si>
    <t xml:space="preserve">Primary Address - Line 2</t>
  </si>
  <si>
    <t xml:space="preserve">Address Line 2 if not empty, otherwise City for Worker Primary Home Address.</t>
  </si>
  <si>
    <t xml:space="preserve">Primary Address - Line 3</t>
  </si>
  <si>
    <t xml:space="preserve">Address Line 3 if not empty, otherwise City for Worker Primary Home Address.</t>
  </si>
  <si>
    <t xml:space="preserve">Primary Address - Postal Code</t>
  </si>
  <si>
    <t xml:space="preserve">The postal code of the worker's primary work or home address. Work address is used only for workers with a work address override (i.e., a worker-specific work address that is normally different from their default location address). Data from the worker's primary home address is returned otherwise.</t>
  </si>
  <si>
    <t xml:space="preserve">Primary Address - State/Province</t>
  </si>
  <si>
    <t xml:space="preserve">The state or province of the worker's primary work or home address. Work address is used only for workers with a work address override (i.e., a worker-specific work address that is normally different from their default location address). Data from the worker's primary home address is returned otherwise.</t>
  </si>
  <si>
    <t xml:space="preserve">Primary Address from Work or Home or Location</t>
  </si>
  <si>
    <t xml:space="preserve">Returns Primary Work Address, and if none then returns the Primary Home Address. If neither exists then returns the default location address for the worker's primary position.</t>
  </si>
  <si>
    <t xml:space="preserve">Primary Business Phone for Worker Company</t>
  </si>
  <si>
    <t xml:space="preserve">Primary Business Phone for Worker Company.</t>
  </si>
  <si>
    <t xml:space="preserve">Primary Compensation Basis - Annualized in USD</t>
  </si>
  <si>
    <t xml:space="preserve">The annualized primary compensation basis for a worker. This is the sum of a worker's compensation amounts that are considered components of the worker's primary compensation basis. The number is annualized and represented in USD.</t>
  </si>
  <si>
    <t xml:space="preserve">Primary Compensation Basis - Currency</t>
  </si>
  <si>
    <t xml:space="preserve">The currency associated with the employee's primary compensation basis.</t>
  </si>
  <si>
    <t xml:space="preserve">Primary Compensation Basis - Name</t>
  </si>
  <si>
    <t xml:space="preserve">The primary compensation basis for an employee.</t>
  </si>
  <si>
    <t xml:space="preserve">Primary Compensation Basis - Segment</t>
  </si>
  <si>
    <t xml:space="preserve">The segment placement for the employee's primary compensation basis.  The employee's primary compensation basis are compared to the compensation grade profile pay range to determine a segment placement.  If no compensation grade profile exists, the compensation grade pay range is used.</t>
  </si>
  <si>
    <t xml:space="preserve">Primary Compensation Basis Annualized in Reporting Currency - Amount</t>
  </si>
  <si>
    <t xml:space="preserve">The annualized primary compensation basis for a worker. This is the sum of a worker's compensation amounts that are considered components of the worker's primary compensation basis. The number is annualized and represented in the standard currency for the Workday system.</t>
  </si>
  <si>
    <t xml:space="preserve">Primary Compensation Basis Pay Range</t>
  </si>
  <si>
    <t xml:space="preserve">The worker's pay range associated with the primary compensation basis as defined on the compensation grade or compensation grade profile.</t>
  </si>
  <si>
    <t xml:space="preserve">Primary High Level Scheduling Organization</t>
  </si>
  <si>
    <t xml:space="preserve">Primary High Level Scheduling Organization for the Worker.</t>
  </si>
  <si>
    <t xml:space="preserve">Primary Home Address - City (Workday Owned)</t>
  </si>
  <si>
    <t xml:space="preserve">Returns city for primary home address of the worker.  Only works for city values provided by Workday, not for cities entered as free text.</t>
  </si>
  <si>
    <t xml:space="preserve">Primary Home Address - City (Workday Owned) Code</t>
  </si>
  <si>
    <t xml:space="preserve">Returns city code for primary home address of the worker. Only works for city values provided by Workday, not for cities entered as free text.</t>
  </si>
  <si>
    <t xml:space="preserve">Primary Home Address - Formatted Line 1</t>
  </si>
  <si>
    <t xml:space="preserve">Primary Home Address - Formatted Line 2</t>
  </si>
  <si>
    <t xml:space="preserve">Primary Home Address - Formatted Line 3</t>
  </si>
  <si>
    <t xml:space="preserve">Primary Home Address - Formatted Line 4</t>
  </si>
  <si>
    <t xml:space="preserve">Primary Home Address - Province</t>
  </si>
  <si>
    <t xml:space="preserve">Returns the Province of this Worker's Primary Home Address.</t>
  </si>
  <si>
    <t xml:space="preserve">Primary Home Address Entry</t>
  </si>
  <si>
    <t xml:space="preserve">The primary home address instance of a worker.</t>
  </si>
  <si>
    <t xml:space="preserve">Primary Home Address State (As of Period End Date)</t>
  </si>
  <si>
    <t xml:space="preserve">Returns the primary home address state for the worker as of the period end date.</t>
  </si>
  <si>
    <t xml:space="preserve">Primary Home Address State (As of Period Start Date)</t>
  </si>
  <si>
    <t xml:space="preserve">Returns the primary home address state for the worker as of the period start date.</t>
  </si>
  <si>
    <t xml:space="preserve">Primary Home Phone</t>
  </si>
  <si>
    <t xml:space="preserve">The primary home phone number for the worker.</t>
  </si>
  <si>
    <t xml:space="preserve">Primary Mobile Phone</t>
  </si>
  <si>
    <t xml:space="preserve">The primary mobile phone number for the worker, formatted according to the Phone Number View Option in Edit Tenant Setup - System. The number is either the home primary mobile phone number, the work primary mobile phone number if home doesn’t exist, or is blank if neither exist.</t>
  </si>
  <si>
    <t xml:space="preserve">Primary Position Employee Type is Trainee</t>
  </si>
  <si>
    <t xml:space="preserve">Returns 'Is Trainee Type' boolean attribute for primary position employee type.</t>
  </si>
  <si>
    <t xml:space="preserve">Primary Scheduling Organization</t>
  </si>
  <si>
    <t xml:space="preserve">Primary Scheduling Organization for the Worker.</t>
  </si>
  <si>
    <t xml:space="preserve">Primary Work Address - Formatted Line 1</t>
  </si>
  <si>
    <t xml:space="preserve">Primary Work Address - Formatted Line 2</t>
  </si>
  <si>
    <t xml:space="preserve">Primary Work Address - Formatted Line 3</t>
  </si>
  <si>
    <t xml:space="preserve">Primary Work Address - Formatted Line 4</t>
  </si>
  <si>
    <t xml:space="preserve">Primary Work Address - Full on Single Line</t>
  </si>
  <si>
    <t xml:space="preserve">Returns the primary work address for the worker, or from their default primary work location, full format on a single line.</t>
  </si>
  <si>
    <t xml:space="preserve">Primary Work Address Entry</t>
  </si>
  <si>
    <t xml:space="preserve">The primary work address instance of a worker.</t>
  </si>
  <si>
    <t xml:space="preserve">Primary Work Mobile Phone</t>
  </si>
  <si>
    <t xml:space="preserve">The primary work mobile phone number for the worker.</t>
  </si>
  <si>
    <t xml:space="preserve">Primary Work Phone</t>
  </si>
  <si>
    <t xml:space="preserve">Returns the primary work phone number for the worker.</t>
  </si>
  <si>
    <t xml:space="preserve">Primary Work State as of Period End Date</t>
  </si>
  <si>
    <t xml:space="preserve">Returns the Workers work state as of the Period End Date. If Worker has an Alternative Work Location then that state is returned, if not then the Business Location state is returned.</t>
  </si>
  <si>
    <t xml:space="preserve">Primary Work State as of Period Start Date</t>
  </si>
  <si>
    <t xml:space="preserve">Returns the Workers work state as of the Period Start Date. If Worker has an Alternative Work Location then that state is returned, if not then the Business Location state is returned.</t>
  </si>
  <si>
    <t xml:space="preserve">Probation End Date (Not Effective Dated)</t>
  </si>
  <si>
    <t xml:space="preserve">The date that the employee's probation period ends. This report field returns the date as of the current date because it isn't effective-dated.</t>
  </si>
  <si>
    <t xml:space="preserve">Probation Extended End Date</t>
  </si>
  <si>
    <t xml:space="preserve">The date that the extended probation period ends for the employee's primary position.</t>
  </si>
  <si>
    <t xml:space="preserve">Probation Extended End Date (Not Effective Dated)</t>
  </si>
  <si>
    <t xml:space="preserve">The date that the extended probation period ends. This report field returns the date as of the current date because it isn't effective-dated.</t>
  </si>
  <si>
    <t xml:space="preserve">Probation Note</t>
  </si>
  <si>
    <t xml:space="preserve">Returns the Probation Note from the Probation Period from the primary position of a worker as of the effective date</t>
  </si>
  <si>
    <t xml:space="preserve">Returns the effective Probation Period from the primary position of a worker</t>
  </si>
  <si>
    <t xml:space="preserve">Returns the Probation Reason from the Probation Period from the primary position of a worker as of the effective date</t>
  </si>
  <si>
    <t xml:space="preserve">Probation Periods</t>
  </si>
  <si>
    <t xml:space="preserve">The associated probation periods for the employee's primary position.</t>
  </si>
  <si>
    <t xml:space="preserve">Probation Start Date</t>
  </si>
  <si>
    <t xml:space="preserve">The probation period start date for the worker's primary position.</t>
  </si>
  <si>
    <t xml:space="preserve">Probation Start Date (Not Effective Dated)</t>
  </si>
  <si>
    <t xml:space="preserve">The date that the employee's probation period starts. This report field returns the current date because it isn't effective-dated.</t>
  </si>
  <si>
    <t xml:space="preserve">Probation Type</t>
  </si>
  <si>
    <t xml:space="preserve">Returns the Probation Type from the Probation Period from the primary position of a worker as of the effective date</t>
  </si>
  <si>
    <t xml:space="preserve">Probation Type (Not Effective Dated)</t>
  </si>
  <si>
    <t xml:space="preserve">The type for the employee's probation period. Example: New Hire. This report field returns the type as of the current date because it isn't effective-dated.</t>
  </si>
  <si>
    <t xml:space="preserve">Processing Position Cost Center - ID</t>
  </si>
  <si>
    <t xml:space="preserve">The cost center ID for the worker's processing position. You should only use this report field when the Primary Business Object is Payroll Result.</t>
  </si>
  <si>
    <t xml:space="preserve">Processing Position Cost Centers</t>
  </si>
  <si>
    <t xml:space="preserve">The cost centers for the worker's processing position. You should only use this report field when the Primary Business Object is Payroll Result.</t>
  </si>
  <si>
    <t xml:space="preserve">Processing Position Hourly Rate Amount</t>
  </si>
  <si>
    <t xml:space="preserve">The hourly rate for an employee based on the payroll period end date. If the employee is not paid hourly, then the field displays 0. You should only use this report field when the Primary Business Object is Payroll Result.</t>
  </si>
  <si>
    <t xml:space="preserve">Processing Position Location</t>
  </si>
  <si>
    <t xml:space="preserve">The processing position location for the worker. You should only use this report field when the Primary Business Object is Payroll Result.</t>
  </si>
  <si>
    <t xml:space="preserve">Processing Position Location - Public Phone</t>
  </si>
  <si>
    <t xml:space="preserve">The public phone number of the worker's processing position location. You should only use this report field when the Primary Business Object is Payroll Result.</t>
  </si>
  <si>
    <t xml:space="preserve">Processing Position Manager - Level 01</t>
  </si>
  <si>
    <t xml:space="preserve">The immediate manager for the worker's processing position. This is the manager for the worker's supervisory organization. You should only use this report field when the Primary Business Object is Payroll Result.  Example: Worker A is in Organization 1 which is managed by Worker B. This will return Worker B.</t>
  </si>
  <si>
    <t xml:space="preserve">Processing Position Region - ID</t>
  </si>
  <si>
    <t xml:space="preserve">The region ID for the worker's processing position. You should only use this report field when the Primary Business Object is Payroll Result.</t>
  </si>
  <si>
    <t xml:space="preserve">Processing Position Regions</t>
  </si>
  <si>
    <t xml:space="preserve">The regions for the worker's processing position. You should only use this report field when the Primary Business Object is Payroll Result.</t>
  </si>
  <si>
    <t xml:space="preserve">Processing Position Supervisory Organization</t>
  </si>
  <si>
    <t xml:space="preserve">The supervisory organization for the worker's processing position. You should only use this report field when the Primary Business Object is Payroll Result.</t>
  </si>
  <si>
    <t xml:space="preserve">Processing Position Supervisory Organization - Hierarchy</t>
  </si>
  <si>
    <t xml:space="preserve">The supervisory organization and superior organizations for the worker's processing position. You should only use this report field when the Primary Business Object is Payroll Result.</t>
  </si>
  <si>
    <t xml:space="preserve">Processing Position Supervisory Organization - ID</t>
  </si>
  <si>
    <t xml:space="preserve">The organization code for the worker's processing position's supervisory organization. You should only use this report field when the Primary Business Object is Payroll Result.</t>
  </si>
  <si>
    <t xml:space="preserve">Processing Position Total Base Pay Annualized Amount</t>
  </si>
  <si>
    <t xml:space="preserve">The annualized base pay for an employee's processing position. This is the sum of an employee's compensation elements that are considered base pay. The number is annualized and represented in the currency of the employee's compensation grade profile or compensation grade if no compensation grade profile exists. You should only use this report field when the Primary Business Object is Payroll Result.</t>
  </si>
  <si>
    <t xml:space="preserve">Processing Position Total Base Pay Frequency</t>
  </si>
  <si>
    <t xml:space="preserve">The frequency of the employee's processing position base pay. You should only use this report field when the Primary Business Object is Payroll Result.</t>
  </si>
  <si>
    <t xml:space="preserve">Returns procurement card transactions for Worker that are eligible for purging based on the financial data retention period.</t>
  </si>
  <si>
    <t xml:space="preserve">Contains the professional affiliation references for a worker.</t>
  </si>
  <si>
    <t xml:space="preserve">Contains the professional affiliations for professional organizations that the worker belongs to.</t>
  </si>
  <si>
    <t xml:space="preserve">Professional Affiliations as Text</t>
  </si>
  <si>
    <t xml:space="preserve">Professional Affiliations for Committee Candidate</t>
  </si>
  <si>
    <t xml:space="preserve">Returns the Professional Affiliation names, if they exist, for a committee member candidate.</t>
  </si>
  <si>
    <t xml:space="preserve">This CRF is setup to receive a Custom Organization 01 or Custom Organization 01 Hierarchy Organization as input and return a Custom Organization 01 or Custom Organization 01 Hierarchy Business Object so that it can be used as a control field in a composite report.</t>
  </si>
  <si>
    <t xml:space="preserve">This CRF is setup to receive a Program or Program Hierarchy Organization as input and return a Program or Program Hierarchy Business Object so that it can be used as a control field in a composite report.</t>
  </si>
  <si>
    <t xml:space="preserve">Programs</t>
  </si>
  <si>
    <t xml:space="preserve">The programs for the worker's primary job.</t>
  </si>
  <si>
    <t xml:space="preserve">The project cost rate rule that applies to the worker.</t>
  </si>
  <si>
    <t xml:space="preserve">All active Dynamic Resource Pools for a Worker</t>
  </si>
  <si>
    <t xml:space="preserve">The project groups associated with the project the worker entered time for.  Only available for Transfer Price Rate Sheet</t>
  </si>
  <si>
    <t xml:space="preserve">Project Hierarchy for Project</t>
  </si>
  <si>
    <t xml:space="preserve">The project hierarchy associated with the project the worker entered time for.  Only available for Transfer Price Rate Sheet</t>
  </si>
  <si>
    <t xml:space="preserve">This CRF is setup to receive a Project or  Project  Hierarchy Organization as input and return a  Project  or  Project  Hierarchy Business Object so that it can be used as a control field in a composite report.</t>
  </si>
  <si>
    <t xml:space="preserve">The project plan task evaluations for a worker that match the specified project and project hierarchies. This report field returns only the approved ratings that are not excluded from calculations. The associated rating scale determines exclusion from calculations.</t>
  </si>
  <si>
    <t xml:space="preserve">Project Roles</t>
  </si>
  <si>
    <t xml:space="preserve">All project roles from their assignments on projects.</t>
  </si>
  <si>
    <t xml:space="preserve">Project Roles for Worker's Time</t>
  </si>
  <si>
    <t xml:space="preserve">The project roles associated with the worker's time. Only available for transfer pricing rate sheets.</t>
  </si>
  <si>
    <t xml:space="preserve">The standard cost rate sheet the worker's standard cost rate is determined from.</t>
  </si>
  <si>
    <t xml:space="preserve">Project Timesheet Lines - All Statuses for Date parms</t>
  </si>
  <si>
    <t xml:space="preserve">Returns Project Timesheet Lines that were created for the Worker. Includes 1) Project Timesheets of all Statuses 2) Project Timesheets for the period derived from the required Start and End Date range. Prompts user at run-time for Start and End Date.</t>
  </si>
  <si>
    <t xml:space="preserve">Project Timesheet Lines for Project and Project Hierarchy in Date Range</t>
  </si>
  <si>
    <t xml:space="preserve">Contains the project timesheet lines for a worker that are within a date range and match the project or project hierarchy values passed by the report parameters.</t>
  </si>
  <si>
    <t xml:space="preserve">Project Timesheet Periods Not Reported by Worker for Date Range</t>
  </si>
  <si>
    <t xml:space="preserve">The timesheet periods for which the worker has not reported project time for a given date range.  The report parameter "Project Timesheet Statuses Considered Reported" is used by this report field to identify which statuses are considered reported.  If no statuses are provided, all project timesheet periods are considered unreported and will be returned.</t>
  </si>
  <si>
    <t xml:space="preserve">Project Timesheet Statuses Considered Reported</t>
  </si>
  <si>
    <t xml:space="preserve">Project Timesheets - All Statuses</t>
  </si>
  <si>
    <t xml:space="preserve">All project timesheets created for the worker, regardless of status.</t>
  </si>
  <si>
    <t xml:space="preserve">Project Timesheets - All Statuses for Date parms</t>
  </si>
  <si>
    <t xml:space="preserve">Returns Project Timesheets that were created for the Worker. Includes 1) Project Timesheets of all Statuses 2) Project Timesheets for the period derived from the required Start and End Date range. Prompts user at run-time for Start and End Date.</t>
  </si>
  <si>
    <t xml:space="preserve">Project Worker</t>
  </si>
  <si>
    <t xml:space="preserve">Worker that is a Project Resource.</t>
  </si>
  <si>
    <t xml:space="preserve">Prompt - Skill Interests</t>
  </si>
  <si>
    <t xml:space="preserve">The expressed skill interests of your employees. You can select this prompt as the comparison value when you use the Skill Interests report field in custom reports. You can't report on crowdsourced skills when you use this prompt.</t>
  </si>
  <si>
    <t xml:space="preserve">Skill Interests</t>
  </si>
  <si>
    <t xml:space="preserve">Prompt: Skills</t>
  </si>
  <si>
    <t xml:space="preserve">All active and inactive Internal Skills as well as Skill Cloud Skills for a worker.</t>
  </si>
  <si>
    <t xml:space="preserve">Pronouns (Locale Sensitive)</t>
  </si>
  <si>
    <t xml:space="preserve">The pronouns for the person. Returns values based on the localization setting for Worker</t>
  </si>
  <si>
    <t xml:space="preserve">The most recent consent status for the prospect based on their latest consent response submission.</t>
  </si>
  <si>
    <t xml:space="preserve">Prospect Level</t>
  </si>
  <si>
    <t xml:space="preserve">The targeted management level for the prospect.</t>
  </si>
  <si>
    <t xml:space="preserve">The Prospect status name as of the effective date. This value will display the prospect label override when populated.</t>
  </si>
  <si>
    <t xml:space="preserve">The name of the type of prospect. When there is no selected prospect type, this value will display the default prospect type.</t>
  </si>
  <si>
    <t xml:space="preserve">Province of Employment (Work State)</t>
  </si>
  <si>
    <t xml:space="preserve">The state from the work address for the worker. If the work address is blank, then uses the state of the primary address from the worker's location.  If the work state is outside of Canada, return United States or Other.</t>
  </si>
  <si>
    <t xml:space="preserve">All provisioning group assignments for a worker, regardless of their status</t>
  </si>
  <si>
    <t xml:space="preserve">Public Addresses</t>
  </si>
  <si>
    <t xml:space="preserve">Public Addresses for the worker.</t>
  </si>
  <si>
    <t xml:space="preserve">Public Email Addresses</t>
  </si>
  <si>
    <t xml:space="preserve">The public email addresses for the worker</t>
  </si>
  <si>
    <t xml:space="preserve">Public Home Addresses</t>
  </si>
  <si>
    <t xml:space="preserve">The home addresses that are public for this person.</t>
  </si>
  <si>
    <t xml:space="preserve">Public Home Phones</t>
  </si>
  <si>
    <t xml:space="preserve">Returns the public home phone numbers for the worker.</t>
  </si>
  <si>
    <t xml:space="preserve">Public Instant Messengers</t>
  </si>
  <si>
    <t xml:space="preserve">Public Instant Messengers for the worker.</t>
  </si>
  <si>
    <t xml:space="preserve">Public Other IDs</t>
  </si>
  <si>
    <t xml:space="preserve">Contains the Public Custom IDs for the worker.</t>
  </si>
  <si>
    <t xml:space="preserve">Public Phones</t>
  </si>
  <si>
    <t xml:space="preserve">All Public Phones  for the worker.</t>
  </si>
  <si>
    <t xml:space="preserve">Public Preference - Birthday</t>
  </si>
  <si>
    <t xml:space="preserve">True if the worker decides to enable their birthday to be public on their worker profile and related reports.</t>
  </si>
  <si>
    <t xml:space="preserve">Public Preference - Education</t>
  </si>
  <si>
    <t xml:space="preserve">True if the worker decides to enable their education to be public on their worker profile and related reports.</t>
  </si>
  <si>
    <t xml:space="preserve">Public Preference - Military Service</t>
  </si>
  <si>
    <t xml:space="preserve">True if the worker decides to enable their military service to be public on their worker profile and related reports.</t>
  </si>
  <si>
    <t xml:space="preserve">Public Preference - Pronoun</t>
  </si>
  <si>
    <t xml:space="preserve">True if the worker decides to enable their pronoun to be public on their worker profile and related reports.</t>
  </si>
  <si>
    <t xml:space="preserve">Public Preference - Sexual Orientation</t>
  </si>
  <si>
    <t xml:space="preserve">True if the worker decides to enable their sexual orientation to be public on their worker profile and related reports.</t>
  </si>
  <si>
    <t xml:space="preserve">Public Primary Home Phone</t>
  </si>
  <si>
    <t xml:space="preserve">Returns the primary public home phone number for the worker.</t>
  </si>
  <si>
    <t xml:space="preserve">Public Primary Work Address</t>
  </si>
  <si>
    <t xml:space="preserve">Public Work Address for the Person. Shows the alternate primary work address for the work if they have one and it is marked public, otherwise shows the default address from the location of the worker's primary job which controls the security visibility.</t>
  </si>
  <si>
    <t xml:space="preserve">Public Primary Work Email Address</t>
  </si>
  <si>
    <t xml:space="preserve">The Primary, Public, Work Email Address for the worker.</t>
  </si>
  <si>
    <t xml:space="preserve">Public Primary Work Phone</t>
  </si>
  <si>
    <t xml:space="preserve">Returns the primary public work phone number for the worker.</t>
  </si>
  <si>
    <t xml:space="preserve">Public Primary Work Phone Number</t>
  </si>
  <si>
    <t xml:space="preserve">The Primary, Public, Work Phone Number for the worker.</t>
  </si>
  <si>
    <t xml:space="preserve">Public Primary Work Shipping Address</t>
  </si>
  <si>
    <t xml:space="preserve">Returns the Public Primary Work Shipping Address for a worker.</t>
  </si>
  <si>
    <t xml:space="preserve">Public Web Addresses</t>
  </si>
  <si>
    <t xml:space="preserve">Public web addresses for the worker.</t>
  </si>
  <si>
    <t xml:space="preserve">Public Work Address - Full with Country</t>
  </si>
  <si>
    <t xml:space="preserve">The full primary work address for the worker with country. If blank, then uses the primary address from the worker's location.</t>
  </si>
  <si>
    <t xml:space="preserve">Public Work Mobile Phones</t>
  </si>
  <si>
    <t xml:space="preserve">Returns the mobile work phone numbers that have public visibility for a worker.</t>
  </si>
  <si>
    <t xml:space="preserve">Public Work Phones</t>
  </si>
  <si>
    <t xml:space="preserve">Returns the public work phones for the worker.</t>
  </si>
  <si>
    <t xml:space="preserve">Contains the Publications that a worker has achieved.</t>
  </si>
  <si>
    <t xml:space="preserve">Purged Worker ID</t>
  </si>
  <si>
    <t xml:space="preserve">Returns the Instance ID of a Purged Worker.</t>
  </si>
  <si>
    <t xml:space="preserve">This field returns the Qualification Equivalence Rule for a Worker's job profile.</t>
  </si>
  <si>
    <t xml:space="preserve">Qualified As Full-time Based On ACA Measurement Period</t>
  </si>
  <si>
    <t xml:space="preserve">Returns true if worker is qualified as full-time according to his/her most recent (and active) ACA Measurement Period.</t>
  </si>
  <si>
    <t xml:space="preserve">Race/Ethnicity (Locale Sensitive and Country Securable)</t>
  </si>
  <si>
    <t xml:space="preserve">The ethnicity of the worker. (Note: Ensure values are set in maintain ethnicities). This field will never contain multiple values. Use the 'Ethnicity (multiple allowed)' report field if you use Allow Multiple Ethnicities.</t>
  </si>
  <si>
    <t xml:space="preserve">Race/Ethnicity (Locale Sensitive)</t>
  </si>
  <si>
    <t xml:space="preserve">The ethnicity of the worker. (Note: Ensure values are set in 'Maintain Ethnicities'). This field cannot contain multiple values. Use the 'Ethnicity (multiple allowed)' report field if you use 'Allow Multiple Ethnicities'. This report field cannot be secured by country.</t>
  </si>
  <si>
    <t xml:space="preserve">Race/Ethnicity - Visual Survey</t>
  </si>
  <si>
    <t xml:space="preserve">The race/ethnicity of the worker through the employer's visual survey. This field cannot contain multiple values. Use the 'Ethnicity - Visual Survey (multiple allowed)' report field if you use 'Allow Multiple Ethnicities'. This report field cannot be secured by country.</t>
  </si>
  <si>
    <t xml:space="preserve">Race/Ethnicity - Visual Survey (Country Securable)</t>
  </si>
  <si>
    <t xml:space="preserve">The race/ethnicity of the worker identified through the employer's visual survey. This field can't contain multiple values. Use the Ethnicity - Visual Survey (multiple allowed) report field if you use Allow Multiple Ethnicities.</t>
  </si>
  <si>
    <t xml:space="preserve">Race/Ethnicity - Visual Survey (Multiple Allowed and Country Securable)</t>
  </si>
  <si>
    <t xml:space="preserve">The race/ethnicity of the worker identified through the employer's visual survey. This field may contain multiple values only for workers located in a country where Allow Multiple Ethnicities is in effect.</t>
  </si>
  <si>
    <t xml:space="preserve">Race/Ethnicity - Visual Survey (multiple allowed)</t>
  </si>
  <si>
    <t xml:space="preserve">The race/ethnicity of the worker identified through the employer's visual survey. This field may contain multiple values only for workers located in a country where 'Allow Multiple Ethnicities' is in effect. This report field cannot be secured by country.</t>
  </si>
  <si>
    <t xml:space="preserve">The race/ethnicity details of the worker. You can use the Maintain Localization Settings task to secure this report field by country.</t>
  </si>
  <si>
    <t xml:space="preserve">The category associated with the race/ethnicity details that the worker selected. You can use the Maintain Race/Ethnicity Details task to configure the categories.</t>
  </si>
  <si>
    <t xml:space="preserve">Race/Ethnicity for Committee Candidate</t>
  </si>
  <si>
    <t xml:space="preserve">The race/ethnicity, if available, for a committee member candidate. This report field cannot be secured by country.</t>
  </si>
  <si>
    <t xml:space="preserve">Rating - Current</t>
  </si>
  <si>
    <t xml:space="preserve">The overall rating for the last completed performance review with a review period end date on or before today. The overall rating comes from the Overall section in the manager's evaluation (reviews with no Overall section and without ratings enabled are excluded). When 2 or more reviews have the same end date, we reference the review with the most recent completion timestamp.</t>
  </si>
  <si>
    <t xml:space="preserve">Rating - Current (Non-Indexed)</t>
  </si>
  <si>
    <t xml:space="preserve">Rating - Current Normalized</t>
  </si>
  <si>
    <t xml:space="preserve">Returns the normalized calculated numerical rating value from the overall rating of a manager's evaluation for the 2nd previous performance review for the worker(reviews with no Overall section and without ratings enabled are excluded).   The 2nd previous review is determined by the field "Review Templates Used in Performance Over Time Report Field" configured on the Maintain Employee Review Setup task. This field defines a set of review templates, which are then ordered by the event completion timestamp, with the 3rd most  recently completed 1 defined as the 2nd previous review. Note that the ratings are normalized using the rating scale specified in the Rating Scale Used In Performance Over Time report field configured on the same Maintain Employee Review Setup task.  When 2 or more reviews have the same end date, we reference the review with the most recent completion timestamp.</t>
  </si>
  <si>
    <t xml:space="preserve">Rating - Most Recent</t>
  </si>
  <si>
    <t xml:space="preserve">The overall rating for the most recent performance review with a review period start date on or before today. The overall rating comes from the Overall section in the manager's evaluation with a review period start date on or before today (reviews with no Overall section and without ratings enabled are excluded). The performance review may be in progress or completed and must be visible to the worker.   When 2 or more reviews have the same end date and are in progress and completed; we compare the initiation timestamp of the in progress reviews and the completion timestamp of the completed reviews. We return the overall rating from the review which has the most recent timestamp.   When 2 or more reviews have the same end date and all are in progress, this is the rating from the review with the latest initiation timestamp. When 2 or more reviews have the same end date and all are completed, this is the rating from the review with the latest completion timestamp.</t>
  </si>
  <si>
    <t xml:space="preserve">Rating - Most Recent (Include Calculated Override)</t>
  </si>
  <si>
    <t xml:space="preserve">The overall rating for the most recent performance review with a review period start date on or before today. The overall rating comes from the Overall section in the manager's evaluation  (reviews with no Overall section and without ratings enabled are excluded) and includes calculated ratings that have been overridden. The performance review may be in progress or completed and must be visible to the worker.   When 2 or more reviews have the same end date and are in progress and completed; we compare the initiation timestamp of the in progress reviews and the completion timestamp of the completed reviews. We return the overall rating from the review which has the most recent timestamp.   When 2 or more reviews have the same end date and all are in progress, this is the rating from the review with the latest initiation timestamp. When 2 or more reviews have the same end date and all are completed, this is the review with the latest completion timestamp.</t>
  </si>
  <si>
    <t xml:space="preserve">Rating - Most Recent (Indexed)</t>
  </si>
  <si>
    <t xml:space="preserve">The overall rating for the most recent performance review with a review period start date on or before today. The overall rating comes from the Overall section in the manager's evaluation with a review period start date on or before today (reviews with no Overall section and without ratings enabled are excluded). The performance review may be in progress or completed and must be visible to the worker.   When 2 or more reviews have the same end date and are in progress and completed; we compare the initiation timestamp of the in progress reviews and the completion timestamp of the completed reviews. We return the overall rating from the review which has the most recent timestamp.   When 2 or more reviews have the same end date and all are in progress, this is the rating from the review with the latest initiation timestamp. When 2 or more reviews have the same end date and all are completed, this is the rating from the review with the latest completion timestamp.   Use for indexed reporting to improve performance.</t>
  </si>
  <si>
    <t xml:space="preserve">Rating - Overall for Reviews with Calibration</t>
  </si>
  <si>
    <t xml:space="preserve">The overall rating for the employee review started with a calibration program.  The overall rating comes from the overall section in the manager's evaluation. The calibration event should be in-progress and this CRF will not return historical data for completed calibration events.</t>
  </si>
  <si>
    <t xml:space="preserve">Rating - Previous</t>
  </si>
  <si>
    <t xml:space="preserve">The overall rating for the last completed performance review with a review period end date 1 year ago on or before today. The Overall Rating comes from the Overall section in the manager's evaluation (reviews with no Overall section and without ratings enabled are excluded). If the last completed performance review was 1 year ago from today's date or earlier this report field and the Rating - Current report field will return the Overall Rating from the same performance review. When 2 or more reviews have the same end date and all are completed, the rating returned is from the review with the latest completion timestamp.</t>
  </si>
  <si>
    <t xml:space="preserve">Rating - Previous Normalized</t>
  </si>
  <si>
    <t xml:space="preserve">The normalized Overall Rating for the latest of all the performance reviews completed one year ago from today's date. The Overall Rating comes from the Overall section in the manager's evaluation. A normalized rating uses the rating scale on the Maintain Employee Review Setup page so all employee's ratings are on the same scale. A normalized rating is good to use when different parts of your organization use different rating scales for the overall review. If the last completed performance review was one year ago from today's date or earlier this CRF and the Rating - Current Normalized CRF will return the Overall Rating from the same performance review.</t>
  </si>
  <si>
    <t xml:space="preserve">Rating - Selected Template</t>
  </si>
  <si>
    <t xml:space="preserve">The rating for currently selected template from the latest completed performance review with an Overall section(reviews with no Overall section and without ratings enabled are excluded).</t>
  </si>
  <si>
    <t xml:space="preserve">Rating Range Maximum</t>
  </si>
  <si>
    <t xml:space="preserve">Returns the Employee Review Rating Range Maximum for the default rating scale of the tenant setup. Only used for Talent Card Reporting.</t>
  </si>
  <si>
    <t xml:space="preserve">Recent Time Clock Events</t>
  </si>
  <si>
    <t xml:space="preserve">Returns worker's 10 most recent time clock events for the Week of the effective moment.</t>
  </si>
  <si>
    <t xml:space="preserve">Recruiter Overload</t>
  </si>
  <si>
    <t xml:space="preserve">Indicates whether the number of job requisitions assigned to the recruiter is equal to or greater than the Recruiter Overload Count.</t>
  </si>
  <si>
    <t xml:space="preserve">The results of the recruiting assessment test for the candidate's job applications.</t>
  </si>
  <si>
    <t xml:space="preserve">The recruiting assessments for the candidate's job applications.</t>
  </si>
  <si>
    <t xml:space="preserve">Reference ID</t>
  </si>
  <si>
    <t xml:space="preserve">The Reference ID to use for lookups within our Workday Web Services. For supervisory organizations, this is also the 'Organization ID'</t>
  </si>
  <si>
    <t xml:space="preserve">Reference ID for Worktag and Dimension</t>
  </si>
  <si>
    <t xml:space="preserve">Returns the Reference ID for a given Accounting Worktag and Aggregation Dimension.</t>
  </si>
  <si>
    <t xml:space="preserve">Reference ID Type XML Name</t>
  </si>
  <si>
    <t xml:space="preserve">Returns the type (XML-formatted) of the Reference Index for this class. Runs on any Instance. Non deterministic, use the deterministic alternative Effective Primary Reference ID Type XML Name to ensure a consistent return value.</t>
  </si>
  <si>
    <t xml:space="preserve">Reference ID Value</t>
  </si>
  <si>
    <t xml:space="preserve">Returns the Reference Index value for this class. Runs on any Instance. Non deterministic, use the deterministic alternative Effective Primary Reference ID to ensure a consistent return value.</t>
  </si>
  <si>
    <t xml:space="preserve">Reference ID Value for Type</t>
  </si>
  <si>
    <t xml:space="preserve">The Reference Index value for this instance when an index is provided. This report field returns data on any instance.</t>
  </si>
  <si>
    <t xml:space="preserve">Index</t>
  </si>
  <si>
    <t xml:space="preserve">The reference letter documents that were created for the worker.</t>
  </si>
  <si>
    <t xml:space="preserve">Referral Candidate Ownership Start Date</t>
  </si>
  <si>
    <t xml:space="preserve">The date the worker took ownership of the referral candidate.</t>
  </si>
  <si>
    <t xml:space="preserve">Referral Date</t>
  </si>
  <si>
    <t xml:space="preserve">The date and time the candidate was referred.</t>
  </si>
  <si>
    <t xml:space="preserve">Referral Information</t>
  </si>
  <si>
    <t xml:space="preserve">Active candidates and prospects that have a referral source and a job requisition or job family. Also includes prospects with a referral source but no job requisition or job family when the Include Blank Job Requisitions or Families check box is selected. Prospects aren't included when the job requisition for the job application matches the job requisition they were referred to, the referral source the same, and the job family is blank.</t>
  </si>
  <si>
    <t xml:space="preserve">Include When Job Requisition and Family Blank</t>
  </si>
  <si>
    <t xml:space="preserve">Referral Jobs Applied For</t>
  </si>
  <si>
    <t xml:space="preserve">All job applications for a candidate that the processing user has referred.</t>
  </si>
  <si>
    <t xml:space="preserve">Referral Points</t>
  </si>
  <si>
    <t xml:space="preserve">The number of referral activity points a worker has accumulated within a date range.</t>
  </si>
  <si>
    <t xml:space="preserve">Referral Prospect</t>
  </si>
  <si>
    <t xml:space="preserve">Returns the prospect for the candidate if one exists that the processing user has referred.</t>
  </si>
  <si>
    <t xml:space="preserve">The relationship between the referring worker and the referral prospect.</t>
  </si>
  <si>
    <t xml:space="preserve">Referred a Candidate</t>
  </si>
  <si>
    <t xml:space="preserve">True if the person has ever referred a candidate. This includes referrals that are in progress or denied.</t>
  </si>
  <si>
    <t xml:space="preserve">Referred by</t>
  </si>
  <si>
    <t xml:space="preserve">The workers who referred the worker/candidate.</t>
  </si>
  <si>
    <t xml:space="preserve">Referred this Worker</t>
  </si>
  <si>
    <t xml:space="preserve">Worker who referred this worker (if any)</t>
  </si>
  <si>
    <t xml:space="preserve">Region - ID</t>
  </si>
  <si>
    <t xml:space="preserve">The region id for the worker's primary position.</t>
  </si>
  <si>
    <t xml:space="preserve">Region - Name</t>
  </si>
  <si>
    <t xml:space="preserve">The name of the region for the worker's primary position.</t>
  </si>
  <si>
    <t xml:space="preserve">The region hierarchy for the worker's primary position's region.</t>
  </si>
  <si>
    <t xml:space="preserve">Region Hierarchy Viewable by Everyone</t>
  </si>
  <si>
    <t xml:space="preserve">The region hierarchy for the worker's primary position's region.  Only returns region hierarchies whose visibility is set to 'Everyone'.</t>
  </si>
  <si>
    <t xml:space="preserve">Region of Birth (Locale Sensitive)</t>
  </si>
  <si>
    <t xml:space="preserve">Indicates the region of birth for the person. Returns value based on the localization setting for Worker</t>
  </si>
  <si>
    <t xml:space="preserve">This CRF is setup to receive a Region or Region Hierarchy Organization as input and return a Region or Region Hierarchy Business Object so that it can be used as a control field in a composite report.</t>
  </si>
  <si>
    <t xml:space="preserve">Regions</t>
  </si>
  <si>
    <t xml:space="preserve">Contains the regions for the worker's primary position.</t>
  </si>
  <si>
    <t xml:space="preserve">Regions Viewable by Everyone</t>
  </si>
  <si>
    <t xml:space="preserve">Contains the regions for the worker's primary position.  Only returns regions whose visibility is set to 'Everyone'.</t>
  </si>
  <si>
    <t xml:space="preserve">Regrettable Termination Status</t>
  </si>
  <si>
    <t xml:space="preserve">Regular Pay Group Detail</t>
  </si>
  <si>
    <t xml:space="preserve">Regular Pay Group Detail for Worker</t>
  </si>
  <si>
    <t xml:space="preserve">Regular Pay Group Frequency for Worker's Primary Position</t>
  </si>
  <si>
    <t xml:space="preserve">Returns the regular payroll frequency of the pay group of the worker's primary position. If the worker has only 1 position, then this is their primary position. Examples of payroll frequency would include Bi-weekly and Semi-monthly.</t>
  </si>
  <si>
    <t xml:space="preserve">The groups of related absence occurrences for the worker.</t>
  </si>
  <si>
    <t xml:space="preserve">Persons related to a worker. These include beneficiaries, dependents, and emergency contacts.</t>
  </si>
  <si>
    <t xml:space="preserve">Relative Types for all Countries</t>
  </si>
  <si>
    <t xml:space="preserve">Returns Relative Type tenanted values for all countries.</t>
  </si>
  <si>
    <t xml:space="preserve">Relatives' Name (Locale Sensitive and Country Securable)</t>
  </si>
  <si>
    <t xml:space="preserve">The names of relatives of the worker.</t>
  </si>
  <si>
    <t xml:space="preserve">Relatives' Name (Locale Sensitive)</t>
  </si>
  <si>
    <t xml:space="preserve">The names of the relatives of the worker. This report field cannot be secured by country.</t>
  </si>
  <si>
    <t xml:space="preserve">The religion of the worker. This report field cannot be secured by country.</t>
  </si>
  <si>
    <t xml:space="preserve">Religion (Country Securable)</t>
  </si>
  <si>
    <t xml:space="preserve">The religion of the worker.</t>
  </si>
  <si>
    <t xml:space="preserve">Religion (Locale Sensitive and Country Securable)</t>
  </si>
  <si>
    <t xml:space="preserve">The religion of the worker, which is based on the localization setting for the worker.</t>
  </si>
  <si>
    <t xml:space="preserve">Religion (Locale Sensitive)</t>
  </si>
  <si>
    <t xml:space="preserve">The religion of the worker, which is based on the localization setting for the worker. This report field cannot be secured by country.</t>
  </si>
  <si>
    <t xml:space="preserve">Relocation - Long Term</t>
  </si>
  <si>
    <t xml:space="preserve">Indicates if an employee is willing to relocate as part of their job in the long term.</t>
  </si>
  <si>
    <t xml:space="preserve">Relocation - Short Term</t>
  </si>
  <si>
    <t xml:space="preserve">Indicates if an employee is willing to relocate as part of their job in the short term.</t>
  </si>
  <si>
    <t xml:space="preserve">Relocation Additional Information</t>
  </si>
  <si>
    <t xml:space="preserve">The additional information about the employee's willingness to relocate.</t>
  </si>
  <si>
    <t xml:space="preserve">Relocation Preference</t>
  </si>
  <si>
    <t xml:space="preserve">The current relocation information for the employee.  You can use this report field to access the relocation information and it's related report fields.</t>
  </si>
  <si>
    <t xml:space="preserve">Relocation Preference - History</t>
  </si>
  <si>
    <t xml:space="preserve">Returns all the relocation history for an employee.  This includes all completed (approved) relocation changes that have happened for an employee over time.  You can use this report field to access the relocation information and it's related report fields.</t>
  </si>
  <si>
    <t xml:space="preserve">Relocation Preference - Last Updated</t>
  </si>
  <si>
    <t xml:space="preserve">The last date the employee's relocation preference information was updated.</t>
  </si>
  <si>
    <t xml:space="preserve">Relocation Section</t>
  </si>
  <si>
    <t xml:space="preserve">Returns True when the user has access to the Relocation Section.</t>
  </si>
  <si>
    <t xml:space="preserve">Return all Reminder Records for the Subscriber.</t>
  </si>
  <si>
    <t xml:space="preserve">Remit-To Address</t>
  </si>
  <si>
    <t xml:space="preserve">Remit To Address associated with the Worker or Pre-Hire</t>
  </si>
  <si>
    <t xml:space="preserve">Remit-To Address for Payee</t>
  </si>
  <si>
    <t xml:space="preserve">The remit to address for the payee or supplier connection. This report field doesn't return data if the payee is a worker, customer, or investor.</t>
  </si>
  <si>
    <t xml:space="preserve">Remit-To Addressee Name</t>
  </si>
  <si>
    <t xml:space="preserve">The alternate names of the payee. If the payee doesn't have alternate names, this report field returns the payee name. This data is used for delivered reporting printing.</t>
  </si>
  <si>
    <t xml:space="preserve">Remit-To Advice Name</t>
  </si>
  <si>
    <t xml:space="preserve">Remit-To Payee Name</t>
  </si>
  <si>
    <t xml:space="preserve">The remittance integration system for the supplier.</t>
  </si>
  <si>
    <t xml:space="preserve">Reporting Gender (Locale Sensitive)</t>
  </si>
  <si>
    <t xml:space="preserve">The reporting gender for the person. Returns a value based on the localization setting for the worker.</t>
  </si>
  <si>
    <t xml:space="preserve">Reporting Type</t>
  </si>
  <si>
    <t xml:space="preserve">Returns 'Direct' if the user running the report is the supervisory Manager of the Worker. Else, returns 'Matrix' if the user running the report is the Matrix Manager of the Worker. The worker's primary position is used to evaluate Reporting Type.</t>
  </si>
  <si>
    <t xml:space="preserve">Request to be Deleted Confirmation Message</t>
  </si>
  <si>
    <t xml:space="preserve">The confirmation message the candidate viewed after requesting to be purged. This will display in the language the candidate viewed the confirmation message in.</t>
  </si>
  <si>
    <t xml:space="preserve">Request to be Deleted Language</t>
  </si>
  <si>
    <t xml:space="preserve">The language the candidate viewed the Request to be Deleted Message and the Request to be Deleted Confirmation Message at the time of the request.</t>
  </si>
  <si>
    <t xml:space="preserve">Request to be Deleted Message</t>
  </si>
  <si>
    <t xml:space="preserve">The instructional text the candidate viewed prior to requesting to be deleted in the language that they viewed it in.</t>
  </si>
  <si>
    <t xml:space="preserve">Request to be Deleted Moment</t>
  </si>
  <si>
    <t xml:space="preserve">The date and time that the candidate requested to be deleted.</t>
  </si>
  <si>
    <t xml:space="preserve">Requested Business Assets</t>
  </si>
  <si>
    <t xml:space="preserve">The business assets requested and not yet issued to the worker.</t>
  </si>
  <si>
    <t xml:space="preserve">Requests where the Workday Object was selected on the Close step of the Request business process.</t>
  </si>
  <si>
    <t xml:space="preserve">The comprehensive list of all requisitions for the worker (selected as the Requester on the requisitions). This fields displays requisitions of all statuses: Draft, In Progress, Approved, Completed, Cancelled, Denied, and Closed.</t>
  </si>
  <si>
    <t xml:space="preserve">Resignation Date</t>
  </si>
  <si>
    <t xml:space="preserve">The date the employee submitted their resignation notice for the most recent termination.</t>
  </si>
  <si>
    <t xml:space="preserve">Resource Plan Details</t>
  </si>
  <si>
    <t xml:space="preserve">The resource plan details for the workers named in the Restricted to Workers field.</t>
  </si>
  <si>
    <t xml:space="preserve">Resource Plan Lines with Pending Request</t>
  </si>
  <si>
    <t xml:space="preserve">The resource plan lines for pending worker requests.</t>
  </si>
  <si>
    <t xml:space="preserve">Resource Pools that Worker belongs to.</t>
  </si>
  <si>
    <t xml:space="preserve">Resume Attachments</t>
  </si>
  <si>
    <t xml:space="preserve">Returns the candidate's most recent application attachment.</t>
  </si>
  <si>
    <t xml:space="preserve">Resume Summary</t>
  </si>
  <si>
    <t xml:space="preserve">The resume summary for the candidate.</t>
  </si>
  <si>
    <t xml:space="preserve">Retained Compensation Grade</t>
  </si>
  <si>
    <t xml:space="preserve">The retained compensation grade associated with the worker's primary position.</t>
  </si>
  <si>
    <t xml:space="preserve">Retained Compensation Grade Profile</t>
  </si>
  <si>
    <t xml:space="preserve">The retained compensation grade profile associated with the worker's primary position.</t>
  </si>
  <si>
    <t xml:space="preserve">Retained Compensation Package</t>
  </si>
  <si>
    <t xml:space="preserve">The retained compensation package associated with the worker's primary position.</t>
  </si>
  <si>
    <t xml:space="preserve">Retained Compensation Step</t>
  </si>
  <si>
    <t xml:space="preserve">The retained compensation step associated with the worker's primary position.</t>
  </si>
  <si>
    <t xml:space="preserve">Retained Step Start Date</t>
  </si>
  <si>
    <t xml:space="preserve">The start date of the retained compensation step associated with the worker's primary position. If the retained step was changed manually, this report field returns that event's effective date.</t>
  </si>
  <si>
    <t xml:space="preserve">Retention Period Target End Date</t>
  </si>
  <si>
    <t xml:space="preserve">The date that the worker's primary position no longer retains its previous compensation package, compensation grade or compensation grade profile, and step.</t>
  </si>
  <si>
    <t xml:space="preserve">Retention Risk Date</t>
  </si>
  <si>
    <t xml:space="preserve">Returns the date associated with the current published results of the retention risk model. This field only populates for employees who have a retention risk bucket and who have a length of service of least 6 months. Enable the Retention Risk insight application to use this reporting field.</t>
  </si>
  <si>
    <t xml:space="preserve">Retention Risk Score</t>
  </si>
  <si>
    <t xml:space="preserve">Returns the likelihood of the employee leaving the organization based on the set of attributes this employee shares with those that have voluntarily left the organization. The maximum score is 100, and the higher the score indicates higher risk. This field only populates for employees with a length of service of at least 6 months. Enable the Retention Risk Insight Application to view this score. Use this field only for employee sorting. Workday recommends using the Retention Risk Bucket field in any reports.</t>
  </si>
  <si>
    <t xml:space="preserve">The retiree organization for the retiree.</t>
  </si>
  <si>
    <t xml:space="preserve">Retirement Date as of Period End Date</t>
  </si>
  <si>
    <t xml:space="preserve">The effective date of worker's retirement as of period end date.</t>
  </si>
  <si>
    <t xml:space="preserve">Retirement Eligibility Date</t>
  </si>
  <si>
    <t xml:space="preserve">The retirement eligibility date for the employee.</t>
  </si>
  <si>
    <t xml:space="preserve">Retirement Savings Elections</t>
  </si>
  <si>
    <t xml:space="preserve">Contains all retirement savings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</si>
  <si>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 xml:space="preserve">Return Unknown</t>
  </si>
  <si>
    <t xml:space="preserve">Returns "Yes" if it is unknown if the Canadian worker is expected to return as specified on the most recent termination transaction. This field is specific to Canadian employment.</t>
  </si>
  <si>
    <t xml:space="preserve">Review - Last Completed (All Review Periods)</t>
  </si>
  <si>
    <t xml:space="preserve">The last employee review where the status is Completed regardless of the review period.</t>
  </si>
  <si>
    <t xml:space="preserve">Review - Last Completed (Past Review Periods)</t>
  </si>
  <si>
    <t xml:space="preserve">The last employee review where the status is completed with a review period end date on or before today. When 2 or more reviews have the same end date, we reference the review with the most recent completion timestamp.</t>
  </si>
  <si>
    <t xml:space="preserve">Review Documents</t>
  </si>
  <si>
    <t xml:space="preserve">The review information for a signed or acknowledged document or for document with uploaded attachment for the worker. This field encapsulates the document, signature information and uploaded document for the review.</t>
  </si>
  <si>
    <t xml:space="preserve">Review Rating - Current Configured</t>
  </si>
  <si>
    <t xml:space="preserve">Returns the normalized calculated numerical rating value from the overall rating of a manager's evaluation for the current performance review for the worker (reviews with no Overall section and without ratings enabled are excluded). The current review is determined by the field "Review Templates Used in Performance Over Time Report Field" configured on the Maintain Employee Review Setup task. This field defines a set of review templates, which are then ordered by the event completion timestamp, with the most recently completed 1 defined as the current review. Note that the ratings are normalized using the rating scale specified in the Rating Scale Used In Performance Over Time report field configured on the same Maintain Employee Review Setup task.  When 2 or more reviews have the same end date, we reference the review with the most recent completion timestamp.</t>
  </si>
  <si>
    <t xml:space="preserve">Review Rating - Previous Configured</t>
  </si>
  <si>
    <t xml:space="preserve">Returns the normalized calculated numerical rating value from the overall rating of a manager's evaluation for the previous performance review for the worker (reviews with no Overall section and without ratings enabled are excluded). . The previous review is determined by the field "Review Templates Used in Performance Over Time Report Field" configured on the Maintain Employee Review Setup task. This field defines a set of review templates, which are then ordered by the event completion timestamp, with the 2nd most recently completed 1 defined as the previous review. Note that the ratings are normalized using the rating scale specified in the Rating Scale Used In Performance Over Time report field configured on the same Maintain Employee Review Setup task.  When 2 or more reviews have the same end date, we reference the review with the most recent completion timestamp.</t>
  </si>
  <si>
    <t xml:space="preserve">Review Section Rating - Most Recent</t>
  </si>
  <si>
    <t xml:space="preserve">The rating for the selected section from the most recent performance review with an Overall section. The performance review may be in progress or completed and viewable by the processing worker. The rating comes from the selected section in the manager's evaluation with a review period start date on or before today (reviews with no Overall section and without ratings enabled are excluded).</t>
  </si>
  <si>
    <t xml:space="preserve">Employee Review Section Type for Calibration</t>
  </si>
  <si>
    <t xml:space="preserve">Returns all the Employee Review Templates for a Worker</t>
  </si>
  <si>
    <t xml:space="preserve">Review ~Rating~ - Previous 2 Configured</t>
  </si>
  <si>
    <t xml:space="preserve">Returns the normalized calculated numerical rating value from the overall rating of a manager's evaluation for the 2nd previous performance review for the worker(reviews with no Overall section and without ratings enabled are excluded).   The 2nd previous review is determined by the field "Review Templates Used in Performance Over Time Report Field" configured on the Maintain Employee Review Setup task. This field defines a set of review templates, which are then ordered by the event completion timestamp, with the 3rd most recently completed 1 defined as the 2nd previous review. Note that the ratings are normalized using the rating scale specified in the Rating Scale Used In Performance Over Time report field configured on the same Maintain Employee Review Setup task.  When 2 or more reviews have the same end date, we reference the review with the most recent completion timestamp.</t>
  </si>
  <si>
    <t xml:space="preserve">Reviews - All Authorized Workers' Completed Reviews</t>
  </si>
  <si>
    <t xml:space="preserve">Returns all completed employee reviews for workers current user has access to.</t>
  </si>
  <si>
    <t xml:space="preserve">Reviews - All Completed</t>
  </si>
  <si>
    <t xml:space="preserve">Returns all completed employee reviews for workers using event security.</t>
  </si>
  <si>
    <t xml:space="preserve">Reviews - All Statuses</t>
  </si>
  <si>
    <t xml:space="preserve">Returns all employee reviews for workers regardless of status using event security.</t>
  </si>
  <si>
    <t xml:space="preserve">Reviews - All Workers' Completed Reviews</t>
  </si>
  <si>
    <t xml:space="preserve">Returns all completed employee reviews for workers.</t>
  </si>
  <si>
    <t xml:space="preserve">Reviews - All Workers' Completed Reviews (Business Rules)</t>
  </si>
  <si>
    <t xml:space="preserve">Returns all completed employee reviews for workers. To be used only for Calculated Fields and Business Process Logic (i.e. Entry/exit validations)</t>
  </si>
  <si>
    <t xml:space="preserve">Reviews - All Workers' Reviews All Statuses</t>
  </si>
  <si>
    <t xml:space="preserve">Role Name</t>
  </si>
  <si>
    <t xml:space="preserve">The name of the role.</t>
  </si>
  <si>
    <t xml:space="preserve">RPT AC Worker FTE Rounded</t>
  </si>
  <si>
    <t xml:space="preserve">RPT DD Worker Days Until Contract Expiry</t>
  </si>
  <si>
    <t xml:space="preserve">Number of days between Report Effective Date (i.e. effective date used to report on the worker population) and Worker's Contract End Date.</t>
  </si>
  <si>
    <t xml:space="preserve">RPT EE Worker Contract End Date</t>
  </si>
  <si>
    <t xml:space="preserve">Returns the Worker's contract end date (End Employment Date for Employees, Contract End Date for Contingent Workers).</t>
  </si>
  <si>
    <t xml:space="preserve">RPT EE Worker Manager or Non-Manager</t>
  </si>
  <si>
    <t xml:space="preserve">RPT EE Worker Status</t>
  </si>
  <si>
    <t xml:space="preserve">Returns 'Active', 'On Leave', 'Retired' or 'Terminated'.</t>
  </si>
  <si>
    <t xml:space="preserve">RPT EMI Worker Benefit Changes within prompts</t>
  </si>
  <si>
    <t xml:space="preserve">RPT ESI Worker Current Medical Insurance Election</t>
  </si>
  <si>
    <t xml:space="preserve">RPT ESI Worker In Progress Period Results</t>
  </si>
  <si>
    <t xml:space="preserve">RPT ESI Worker Last Completed Period Results</t>
  </si>
  <si>
    <t xml:space="preserve">RPT ESI Worker Move Time Off Plans to Worker</t>
  </si>
  <si>
    <t xml:space="preserve">RPT ESI Worker Pay Group Detail for Regular 3rd Party Run Category</t>
  </si>
  <si>
    <t xml:space="preserve">RPT ESI Worker Pay Group Detail for Regular Run Category</t>
  </si>
  <si>
    <t xml:space="preserve">RPT ESI Worker Time Entry Template</t>
  </si>
  <si>
    <t xml:space="preserve">RPT LRB Worker Retirement Eligibility</t>
  </si>
  <si>
    <t xml:space="preserve">RPT LRV Worker Critical Job</t>
  </si>
  <si>
    <t xml:space="preserve">RPT LRV Worker Current Medical Coverage</t>
  </si>
  <si>
    <t xml:space="preserve">RPT LRV Worker in Supervisory Org</t>
  </si>
  <si>
    <t xml:space="preserve">RPT LRV Worker Paid Through Payroll Interface</t>
  </si>
  <si>
    <t xml:space="preserve">RPT LRV Worker Pay Group Detail</t>
  </si>
  <si>
    <t xml:space="preserve">RPT SRI Worker Time is DT</t>
  </si>
  <si>
    <t xml:space="preserve">Prompt - Date 2</t>
  </si>
  <si>
    <t xml:space="preserve">RPT SRI Worker Time Off is PTO</t>
  </si>
  <si>
    <t xml:space="preserve">RPT SRI Worker Time Off is Sick Leave</t>
  </si>
  <si>
    <t xml:space="preserve">RPT TF Account Posting Rule Condition Value Revenue Categories</t>
  </si>
  <si>
    <t xml:space="preserve">RPT TF Account Posting Rule Condition Value Spend Categories</t>
  </si>
  <si>
    <t xml:space="preserve">RPT TF Worker Business Title is not Job Profile Name</t>
  </si>
  <si>
    <t xml:space="preserve">RPT TF Worker Has Dependents</t>
  </si>
  <si>
    <t xml:space="preserve">RPT TF Worker Is Highly Compensated</t>
  </si>
  <si>
    <t xml:space="preserve">RPT TF Worker is Terminated but not Retired</t>
  </si>
  <si>
    <t xml:space="preserve">Indicates whether the worker is terminated but not retired as of the current date.</t>
  </si>
  <si>
    <t xml:space="preserve">RPT TF Worker Retired</t>
  </si>
  <si>
    <t xml:space="preserve">Indicates whether the worker is retired as of the current date.</t>
  </si>
  <si>
    <t xml:space="preserve">RPT TF Worker Title Exceptions</t>
  </si>
  <si>
    <t xml:space="preserve">Returns Safety Incident events for the Worker that are completed and viewable by the Processing Person.</t>
  </si>
  <si>
    <t xml:space="preserve">Salary Plan Assignment Details</t>
  </si>
  <si>
    <t xml:space="preserve">This field provides a text representation of the Salary plans assigned to the worker.</t>
  </si>
  <si>
    <t xml:space="preserve">The active career paths that the worker has saved.</t>
  </si>
  <si>
    <t xml:space="preserve">Sch/Col ID</t>
  </si>
  <si>
    <t xml:space="preserve">Sch/Col Short Name</t>
  </si>
  <si>
    <t xml:space="preserve">Schedulable Worker</t>
  </si>
  <si>
    <t xml:space="preserve">Returns true if the worker is schedulable for Workday Scheduling. Returns true if the worker has a position with a primary scheduling organization.</t>
  </si>
  <si>
    <t xml:space="preserve">Returns the schedule blocks for a worker for a date range (including Ad-Hoc Scheduled blocks). Workday generates the blocks from work schedule calendar events with start or end times that fall within the specified range. A work schedule calendar event can produce multiple schedule blocks.</t>
  </si>
  <si>
    <t xml:space="preserve">Returns the schedule shifts for a worker for a date range. Workday generates both draft and published shifts from Workday Scheduling with start and end times that fall within the specified range.</t>
  </si>
  <si>
    <t xml:space="preserve">Scheduled Hours by Weekdays</t>
  </si>
  <si>
    <t xml:space="preserve">The scheduled weekly hours divided by five and multiplied by the number of weekdays within a range passed by the report parameters taking into account hiring and termination dates. Uses Scheduled Weekly Hours of the worker's primary position.</t>
  </si>
  <si>
    <t xml:space="preserve">Scheduled Weekly Hours (Benefit Jobs)</t>
  </si>
  <si>
    <t xml:space="preserve">The weekly hours for the worker's benefit jobs.  This is used in the Full Time Equivalent calculation: Scheduled Weekly Hours / Standard Weekly Hours.</t>
  </si>
  <si>
    <t xml:space="preserve">Scheduled Weekly Hours Times Number of Periods</t>
  </si>
  <si>
    <t xml:space="preserve">The scheduled weekly hours multiplied by the number of periods within a range passed by the report parameters.   Uses Scheduled Weekly Hours of the worker's primary position.</t>
  </si>
  <si>
    <t xml:space="preserve">Scheduling Work Schedule Calendars</t>
  </si>
  <si>
    <t xml:space="preserve">All Work Schedule Calendar definitions for Scheduling Worker.</t>
  </si>
  <si>
    <t xml:space="preserve">Scheduling Organization Settings Override for Worker.</t>
  </si>
  <si>
    <t xml:space="preserve">Scheduling Preferences for Worker.</t>
  </si>
  <si>
    <t xml:space="preserve">Scheduling Qualification for Worker.</t>
  </si>
  <si>
    <t xml:space="preserve">All Work Schedule Assignments for Scheduling Workers.</t>
  </si>
  <si>
    <t xml:space="preserve">Schools</t>
  </si>
  <si>
    <t xml:space="preserve">Used for faceted search only.  Brings back schools for the worker education achievements.</t>
  </si>
  <si>
    <t xml:space="preserve">Schools as Text</t>
  </si>
  <si>
    <t xml:space="preserve">The first alphabetic 400 schools (both unrecognized or recognized in the Schools table) entered in the candidate's recent job application or Prospect information. This is also used when text based searching for a candidate by a school.</t>
  </si>
  <si>
    <t xml:space="preserve">Schools in Common</t>
  </si>
  <si>
    <t xml:space="preserve">Schools in common between the current user and the worker.</t>
  </si>
  <si>
    <t xml:space="preserve">Second to Last Bonus Or One-Time Payment - Amount</t>
  </si>
  <si>
    <t xml:space="preserve">The amount of the second to last bonus payment paid to a employee.  This includes both recurring bonus payments, as well as one-time bonus payments.</t>
  </si>
  <si>
    <t xml:space="preserve">Second to Last Bonus Or One-Time Payment - Date</t>
  </si>
  <si>
    <t xml:space="preserve">The effective date of the second to last bonus payment paid to a employee.  This includes both recurring bonus payments, as well as one-time bonus payments.</t>
  </si>
  <si>
    <t xml:space="preserve">Second to Last Bonus Or One-Time Payment - Percent</t>
  </si>
  <si>
    <t xml:space="preserve">The percent of the second to last bonus payment paid to a employee.  This includes both recurring bonus payments, as well as one-time bonus payments.</t>
  </si>
  <si>
    <t xml:space="preserve">Second to Last Bonus Or One-Time Payment - Plan</t>
  </si>
  <si>
    <t xml:space="preserve">Returns the plan for second to last recurring bonus payments or one-time payments paid to an employee, regardless if there are one or multiple payments on the same date.</t>
  </si>
  <si>
    <t xml:space="preserve">Secondary Last Name</t>
  </si>
  <si>
    <t xml:space="preserve">The secondary last name for the candidate.</t>
  </si>
  <si>
    <t xml:space="preserve">Secured Photo</t>
  </si>
  <si>
    <t xml:space="preserve">The photo displayed on the profile for the worker. Only visible when you configure security access.</t>
  </si>
  <si>
    <t xml:space="preserve">Segment 1 Top</t>
  </si>
  <si>
    <t xml:space="preserve">The value of the upper limit for the first segment of the compensation pay range in the currency for the associated compensation grade or compensation grade profile.</t>
  </si>
  <si>
    <t xml:space="preserve">Segment 2 Top</t>
  </si>
  <si>
    <t xml:space="preserve">The upper limit for the second segment of the compensation pay range in the currency for the associated compensation grade or compensation grade profile.</t>
  </si>
  <si>
    <t xml:space="preserve">Segment 3 Top</t>
  </si>
  <si>
    <t xml:space="preserve">The top of segment 3 for the worker's pay range or the pay range maximum if the pay range has three segments.</t>
  </si>
  <si>
    <t xml:space="preserve">Segment 4 Top</t>
  </si>
  <si>
    <t xml:space="preserve">The top of segment 4 for a worker's pay range or the pay range maximum if the pay range has four segments.</t>
  </si>
  <si>
    <t xml:space="preserve">Segment 5 Top</t>
  </si>
  <si>
    <t xml:space="preserve">The top of segment 5 for a worker's pay range or the pay range maximum if the pay range has five segments.</t>
  </si>
  <si>
    <t xml:space="preserve">Selected Organization for Headcount</t>
  </si>
  <si>
    <t xml:space="preserve">The organization of the worker based on the selected organization. This supports Supervisory, Cost Center, Cost Center Hierarchy, and Company Hierarchy organization types.</t>
  </si>
  <si>
    <t xml:space="preserve">Organizations by Type</t>
  </si>
  <si>
    <t xml:space="preserve">Selected Organization for Headcount (For Filters)</t>
  </si>
  <si>
    <t xml:space="preserve">The organization of the worker based on the selected organization. This supports Supervisory, Cost Center, Cost Center Hierarchy, Company Hierarchy, Location Hierarchy, and Custom organization types.</t>
  </si>
  <si>
    <t xml:space="preserve">Selective Service Registration</t>
  </si>
  <si>
    <t xml:space="preserve">The Selective Service Registration for the person.</t>
  </si>
  <si>
    <t xml:space="preserve">Selective Service Registration (Locale Sensitive)</t>
  </si>
  <si>
    <t xml:space="preserve">The Selective Service Registration for the person. The value is based on the localization setting for worker.</t>
  </si>
  <si>
    <t xml:space="preserve">Self-Identification of Disability Code (SF256)</t>
  </si>
  <si>
    <t xml:space="preserve">The Self-Identification of Disability Code of the worker. </t>
  </si>
  <si>
    <t xml:space="preserve">The Self-Identification of Disability Status of the worker.</t>
  </si>
  <si>
    <t xml:space="preserve">Self-Identification of Hispanic or Latino (SF-181)</t>
  </si>
  <si>
    <t xml:space="preserve">The Self-Identification of Hispanic or Latino of the worker.</t>
  </si>
  <si>
    <t xml:space="preserve">The Self-Identification of Racial Category of the worker.</t>
  </si>
  <si>
    <t xml:space="preserve">Self-Ratings from In Progress Skill Assessment</t>
  </si>
  <si>
    <t xml:space="preserve">The self-ratings entered by this worker in this worker's in progress ~Assess Skill~ event.</t>
  </si>
  <si>
    <t xml:space="preserve">Seniority Date as of Processing Effective Moment</t>
  </si>
  <si>
    <t xml:space="preserve">The seniority date for the worker as of Effective Processing Moment</t>
  </si>
  <si>
    <t xml:space="preserve">The settlement bank accounts for a payable entity. You can use this field to drill into the details and access the related actions menu.</t>
  </si>
  <si>
    <t xml:space="preserve">Severance Date</t>
  </si>
  <si>
    <t xml:space="preserve">The severance date for the worker.</t>
  </si>
  <si>
    <t xml:space="preserve">Severance Worksheet Sent to Payroll</t>
  </si>
  <si>
    <t xml:space="preserve">Severance Worksheet information is eligible for Payroll upon completion of the Termination Process. When used, new Salary Plans or One Time Payment Plans may be assigned to support severance payments.</t>
  </si>
  <si>
    <t xml:space="preserve">Sexual Orientation &amp; Gender Identity</t>
  </si>
  <si>
    <t xml:space="preserve">The sexual orientation and gender identity of the worker. This report field cannot be secured by country.</t>
  </si>
  <si>
    <t xml:space="preserve">Sexual Orientation &amp; Gender Identity (Country Securable)</t>
  </si>
  <si>
    <t xml:space="preserve">The sexual orientation and gender identity of the worker.</t>
  </si>
  <si>
    <t xml:space="preserve">Sexual Orientation (Locale Sensitive)</t>
  </si>
  <si>
    <t xml:space="preserve">Indicates the Sexual Orientation for the person. Returns value based on the localization setting for Worker</t>
  </si>
  <si>
    <t xml:space="preserve">Sexual Orientations (Locale Sensitive)</t>
  </si>
  <si>
    <t xml:space="preserve">The sexual orientations for the person. Returns values based on the localization setting for Worker.</t>
  </si>
  <si>
    <t xml:space="preserve">SF 2817 - Employing Department or Agency</t>
  </si>
  <si>
    <t xml:space="preserve">The worker's employing department or agency to be printed in Section 2 of SF 2817.</t>
  </si>
  <si>
    <t xml:space="preserve">The shift profiles associated with the Worker.</t>
  </si>
  <si>
    <t xml:space="preserve">Returns the Bank Accounts for which the worker has the signatory details.</t>
  </si>
  <si>
    <t xml:space="preserve">SIN</t>
  </si>
  <si>
    <t xml:space="preserve">A Social Insurance Number (SIN) is a number issued in Canada to administer various government programs.</t>
  </si>
  <si>
    <t xml:space="preserve">SIN (Unexpired)</t>
  </si>
  <si>
    <t xml:space="preserve">A Social Insurance Number (SIN) is a number issued in Canada to administer various government programs. This CRF will not return an expired SIN.</t>
  </si>
  <si>
    <t xml:space="preserve">Single Job Family</t>
  </si>
  <si>
    <t xml:space="preserve">One job family from the worker's primary position.</t>
  </si>
  <si>
    <t xml:space="preserve">The skill endorsements for the worker's skill.</t>
  </si>
  <si>
    <t xml:space="preserve">Skill for Worker</t>
  </si>
  <si>
    <t xml:space="preserve">All the skills used by the worker.</t>
  </si>
  <si>
    <t xml:space="preserve">The expressed skill interests of your employees. When using this report field in custom reports, Workday recommends that you select any in the selection list as the operator and Prompt - Skill Interests as the comparison value on the Filter tab of the custom report.</t>
  </si>
  <si>
    <t xml:space="preserve">Worker Skill Item Categories</t>
  </si>
  <si>
    <t xml:space="preserve">Worker Skill Item Category Group</t>
  </si>
  <si>
    <t xml:space="preserve">Skill Ratings for Worker</t>
  </si>
  <si>
    <t xml:space="preserve">The skill ratings for the worker's skill.</t>
  </si>
  <si>
    <t xml:space="preserve">Skills as Text for Search Reports</t>
  </si>
  <si>
    <t xml:space="preserve">Internal use only.  The skills that the candidate has as a text string with spaces between each skill.  This is used when text based searching for a candidate by a skill and is not exposed in report writer for a customer to directly use.  Contains skills submitted by candidates that do not match exactly with a skill in the skills table AND skills submitted by candidates that match exactly with a skill in the skills table.</t>
  </si>
  <si>
    <t xml:space="preserve">Internal use only.  The skills that the Committee candidate has as a text string with spaces between each skill.  This is used when text based searching for a candidate by a skill and is not exposed in report writer for a customer to directly use.</t>
  </si>
  <si>
    <t xml:space="preserve">All Skills Cloud Skills for a Worker</t>
  </si>
  <si>
    <t xml:space="preserve">Skills for Committee Candidate</t>
  </si>
  <si>
    <t xml:space="preserve">Returns skills, if they exist, for a committee member candidate.</t>
  </si>
  <si>
    <t xml:space="preserve">Skills in Common</t>
  </si>
  <si>
    <t xml:space="preserve">Skills in common between the current user and the worker.</t>
  </si>
  <si>
    <t xml:space="preserve">Skills Interests - Section</t>
  </si>
  <si>
    <t xml:space="preserve">Returns true when the worker has access to the Skill Interests section.</t>
  </si>
  <si>
    <t xml:space="preserve">Snapshot</t>
  </si>
  <si>
    <t xml:space="preserve">Trended Record Snapshot Type</t>
  </si>
  <si>
    <t xml:space="preserve">Social</t>
  </si>
  <si>
    <t xml:space="preserve">The social network accounts for the candidate.</t>
  </si>
  <si>
    <t xml:space="preserve">The social benefits locality for the worker. This report field cannot be secured by country.</t>
  </si>
  <si>
    <t xml:space="preserve">Social Benefits Locality  (Locale Sensitive and Country Securable)</t>
  </si>
  <si>
    <t xml:space="preserve">The social benefits tracked for the worker.</t>
  </si>
  <si>
    <t xml:space="preserve">Social Benefits Locality  (Locale Sensitive)</t>
  </si>
  <si>
    <t xml:space="preserve">The social benefits tracked for the worker. This report field cannot be secured by country.</t>
  </si>
  <si>
    <t xml:space="preserve">Social Benefits Locality (Country Securable)</t>
  </si>
  <si>
    <t xml:space="preserve">The social benefits locality for the worker.</t>
  </si>
  <si>
    <t xml:space="preserve">Social Network Accounts</t>
  </si>
  <si>
    <t xml:space="preserve">Contains the social network accounts (twitter, facebook, google+, or linkedin) for a worker.</t>
  </si>
  <si>
    <t xml:space="preserve">Social Security Number - Formatted</t>
  </si>
  <si>
    <t xml:space="preserve">The social security number for the worker in display format.</t>
  </si>
  <si>
    <t xml:space="preserve">Source</t>
  </si>
  <si>
    <t xml:space="preserve">The source for the candidate (linkedin, facebook, etc).</t>
  </si>
  <si>
    <t xml:space="preserve">The source category associated with the candidate's job application. If the candidate has multiple job applications, Workday uses the most recent.</t>
  </si>
  <si>
    <t xml:space="preserve">This CRF is used as a facet in the Find Workers report.</t>
  </si>
  <si>
    <t xml:space="preserve">Spend Authorizations entered for Worker</t>
  </si>
  <si>
    <t xml:space="preserve">Spend on Worker</t>
  </si>
  <si>
    <t xml:space="preserve">Spend on Worker in Date Range in Target Currency</t>
  </si>
  <si>
    <t xml:space="preserve">Currency for Worker Spend</t>
  </si>
  <si>
    <t xml:space="preserve">Spend on Worker in Job Profile</t>
  </si>
  <si>
    <t xml:space="preserve">The spend amount for the worker in the job profile for the date range specified.</t>
  </si>
  <si>
    <t xml:space="preserve">Job Cost Category</t>
  </si>
  <si>
    <t xml:space="preserve">Contains all spending account elections for an employee.  This includes elections made in current and future enrollment periods.  To return elections that the employee is currently enrolled in, filter on the elections where Currently Enrolled is true.  Note that the rows and data returned associated with this field are "effective date" aware. Entering an effective date at run time will control what data is returned.</t>
  </si>
  <si>
    <t xml:space="preserve">Spouse</t>
  </si>
  <si>
    <t xml:space="preserve">The spouse of the Worker as of Effective Date of the report.</t>
  </si>
  <si>
    <t xml:space="preserve">Spouse Age 65 or Older</t>
  </si>
  <si>
    <t xml:space="preserve">True if the worker's spouse is 65 or older, as of the effective date.</t>
  </si>
  <si>
    <t xml:space="preserve">Spouse could have Health Care coverage elsewhere</t>
  </si>
  <si>
    <t xml:space="preserve">This box is checked when the employee has indicated that the spouse is eligible for coverage through their own employer.</t>
  </si>
  <si>
    <t xml:space="preserve">Spouse is enrolled in Medicare Part A</t>
  </si>
  <si>
    <t xml:space="preserve">The spouse is enrolled in Medicare Part A. A spouse is enrolled if the effective date, where the report field is used, is on or after the Part A effective date and on or before any existing Part A termination date.</t>
  </si>
  <si>
    <t xml:space="preserve">Spouse's Name</t>
  </si>
  <si>
    <t xml:space="preserve">Worker Spouse Name</t>
  </si>
  <si>
    <t xml:space="preserve">SSN</t>
  </si>
  <si>
    <t xml:space="preserve">The masked social security number, shows only the last 4 digits, others are hidden.</t>
  </si>
  <si>
    <t xml:space="preserve">SSP Average Weekly Earnings</t>
  </si>
  <si>
    <t xml:space="preserve">Displays SSP Average Weekly Earnings for Worker</t>
  </si>
  <si>
    <t xml:space="preserve">SSP Average Weekly Earnings below LEL</t>
  </si>
  <si>
    <t xml:space="preserve">Displays "Yes" where SSP Average Weekly Earnings are below the Lower Earnings Limit for Worker, "No" if not.</t>
  </si>
  <si>
    <t xml:space="preserve">SSP Entitlement Expired</t>
  </si>
  <si>
    <t xml:space="preserve">Displays "Yes" where Worker has used their SSP entitlement, "No" if not.</t>
  </si>
  <si>
    <t xml:space="preserve">Staffing History - All</t>
  </si>
  <si>
    <t xml:space="preserve">All staffing transactions that you have permission to view for the Worker.</t>
  </si>
  <si>
    <t xml:space="preserve">Staffing History - Approved</t>
  </si>
  <si>
    <t xml:space="preserve">All of the worker's approved staffing transactions that the user has permission to view.</t>
  </si>
  <si>
    <t xml:space="preserve">Staffing History Approved for Business Rules</t>
  </si>
  <si>
    <t xml:space="preserve">All of the ~worker’s~ approved staffing transactions. Use only for Business Rules.</t>
  </si>
  <si>
    <t xml:space="preserve">Staging Date / Duties Start Date for Worker Company</t>
  </si>
  <si>
    <t xml:space="preserve">Returns Company Country Payroll Configuration Pension Staging Date for Worker Company.</t>
  </si>
  <si>
    <t xml:space="preserve">Start Date for Convenience of Employer Rule</t>
  </si>
  <si>
    <t xml:space="preserve">Returns the start date of the convenience of employer rule.</t>
  </si>
  <si>
    <t xml:space="preserve">State of Remote Work</t>
  </si>
  <si>
    <t xml:space="preserve">Returns the value for Convenience of Employer Remote Work State if populated</t>
  </si>
  <si>
    <t xml:space="preserve">State Unemployment Insurance (Work) - Effective As of Date</t>
  </si>
  <si>
    <t xml:space="preserve">Returns the State Unemployment Insurance (Work) - Effective As of Date for Worker Tax Elections</t>
  </si>
  <si>
    <t xml:space="preserve">State Unemployment Insurance (Work) - Exempt Indicator</t>
  </si>
  <si>
    <t xml:space="preserve">Returns the State Unemployment Insurance (Work) - Exempt Indicator for Worker Tax Elections</t>
  </si>
  <si>
    <t xml:space="preserve">State Unemployment Insurance (Work) - Last Updated</t>
  </si>
  <si>
    <t xml:space="preserve">Returns the State Unemployment Insurance (Work) - Last Updated Date for Worker Tax Elections</t>
  </si>
  <si>
    <t xml:space="preserve">State Unemployment Insurance (Work) - State</t>
  </si>
  <si>
    <t xml:space="preserve">Returns the State Unemployment Insurance (Work) - State for Worker Tax Elections</t>
  </si>
  <si>
    <t xml:space="preserve">State Withholding (Domicile) - # of Additional Allowances</t>
  </si>
  <si>
    <t xml:space="preserve">Returns State Withholding (Domicile) - Additional Allowances for Worker Tax Elections</t>
  </si>
  <si>
    <t xml:space="preserve">State Withholding (Domicile) - # of Allowances</t>
  </si>
  <si>
    <t xml:space="preserve">Returns State Withholding (Domicile) - Allowances for Worker Tax Elections</t>
  </si>
  <si>
    <t xml:space="preserve">State Withholding (Domicile) - # of Dependents</t>
  </si>
  <si>
    <t xml:space="preserve">Returns State Withholding (Domicile) - Dependent Allowance for Worker Tax Elections</t>
  </si>
  <si>
    <t xml:space="preserve">State Withholding (Domicile) - 6a W-4 Maine Exempted</t>
  </si>
  <si>
    <t xml:space="preserve">Returns State Withholding (Domicile) - 6a W-4 Maine Exempted for Worker Tax Elections</t>
  </si>
  <si>
    <t xml:space="preserve">State Withholding (Domicile) - 6b W-4P Maine Exempted</t>
  </si>
  <si>
    <t xml:space="preserve">Returns State Withholding (Domicile) - 6b W-4P Maine Exempted for Worker Tax Elections</t>
  </si>
  <si>
    <t xml:space="preserve">State Withholding (Domicile) - 6c W-4ME Maine Exempted</t>
  </si>
  <si>
    <t xml:space="preserve">Returns State Withholding (Domicile) - 6c Maine W-4ME Exempted for Worker Tax Elections</t>
  </si>
  <si>
    <t xml:space="preserve">State Withholding (Domicile) - 6d Retirement Maine Exempted</t>
  </si>
  <si>
    <t xml:space="preserve">Returns State Withholding (Domicile) - 6d Maine 1099R Exempt for Worker Tax Elections</t>
  </si>
  <si>
    <t xml:space="preserve">State Withholding (Domicile) - Additional Amount</t>
  </si>
  <si>
    <t xml:space="preserve">Returns State Withholding (Domicile) - Additional Amount for Worker Tax Elections</t>
  </si>
  <si>
    <t xml:space="preserve">State Withholding (Domicile) - Allocation Percent</t>
  </si>
  <si>
    <t xml:space="preserve">Returns State Withholding (Domicile) - Allocation Percent for Worker Tax Elections</t>
  </si>
  <si>
    <t xml:space="preserve">State Withholding (Domicile) - Allocation Percent (Arizona)</t>
  </si>
  <si>
    <t xml:space="preserve">Returns State Withholding (Domicile) - Allocation Percent (Arizona) for Worker Tax Elections</t>
  </si>
  <si>
    <t xml:space="preserve">State Withholding (Domicile) - Certificate of Non Residence</t>
  </si>
  <si>
    <t xml:space="preserve">Returns State Withholding (Domicile) - Certificate of Non Residence for Worker Tax Elections</t>
  </si>
  <si>
    <t xml:space="preserve">State Withholding (Domicile) - Certificate of Residence</t>
  </si>
  <si>
    <t xml:space="preserve">Returns State Withholding (Domicile) - Certificate of Residence for Worker Tax Elections</t>
  </si>
  <si>
    <t xml:space="preserve">State Withholding (Domicile) - Constant Percent</t>
  </si>
  <si>
    <t xml:space="preserve">Returns State Withholding (Domicile) - Constant Percent for Worker Tax Elections</t>
  </si>
  <si>
    <t xml:space="preserve">State Withholding (Domicile) - Domicile State</t>
  </si>
  <si>
    <t xml:space="preserve">Returns State Witholding (Domicile) - Domicile State</t>
  </si>
  <si>
    <t xml:space="preserve">State Withholding (Domicile) - Effective As of Date</t>
  </si>
  <si>
    <t xml:space="preserve">Returns the State Withholding (Domicile) - Effective As Of Date for Worker Tax Elections</t>
  </si>
  <si>
    <t xml:space="preserve">State Withholding (Domicile) - Employee Blind</t>
  </si>
  <si>
    <t xml:space="preserve">Returns State Withholding (Domicile) - Employee Blind for Worker Tax Elections</t>
  </si>
  <si>
    <t xml:space="preserve">State Withholding (Domicile) - Estimated Deductions</t>
  </si>
  <si>
    <t xml:space="preserve">Returns State Withholding (Domicile) - Estimated Deductions for Worker Tax Elections</t>
  </si>
  <si>
    <t xml:space="preserve">State Withholding (Domicile) - Exempt</t>
  </si>
  <si>
    <t xml:space="preserve">Returns State Withholding (Domicile) - Exempt for Worker Tax Elections</t>
  </si>
  <si>
    <t xml:space="preserve">State Withholding (Domicile) - Exempt Reason</t>
  </si>
  <si>
    <t xml:space="preserve">Returns State Withholding (Domicile) - Exempt Reason</t>
  </si>
  <si>
    <t xml:space="preserve">State Withholding (Domicile) - Exemptions</t>
  </si>
  <si>
    <t xml:space="preserve">Returns State Withholding (Domicile) - Exemptions for Worker Tax Elections</t>
  </si>
  <si>
    <t xml:space="preserve">State Withholding (Domicile) - Full Time Student</t>
  </si>
  <si>
    <t xml:space="preserve">Returns State Withholding (Domicile) - Full Time Student for Worker Tax Elections</t>
  </si>
  <si>
    <t xml:space="preserve">State Withholding (Domicile) - Head of Household</t>
  </si>
  <si>
    <t xml:space="preserve">Returns State Withholding (Domicile) - Head of Household for Worker Tax Elections</t>
  </si>
  <si>
    <t xml:space="preserve">State Withholding (Domicile) - Last Updated Date</t>
  </si>
  <si>
    <t xml:space="preserve">Returns the State Withholding (Domicile) - Last Updated Date for Worker Tax Elections</t>
  </si>
  <si>
    <t xml:space="preserve">State Withholding (Domicile) - Lock In Letter</t>
  </si>
  <si>
    <t xml:space="preserve">Returns State Withholding (Domicile) - Lock In Letter for Worker Tax Elections</t>
  </si>
  <si>
    <t xml:space="preserve">State Withholding (Domicile) - Lower Tax Rate</t>
  </si>
  <si>
    <t xml:space="preserve">Returns State Withholding (Domicile) - Lower Tax Rate for Worker Tax Elections</t>
  </si>
  <si>
    <t xml:space="preserve">State Withholding (Domicile) - Marital Status</t>
  </si>
  <si>
    <t xml:space="preserve">Returns the State Withholding (Domicile) - Marital Status for Worker Tax Elections</t>
  </si>
  <si>
    <t xml:space="preserve">State Withholding (Domicile) - MSRR Exempt</t>
  </si>
  <si>
    <t xml:space="preserve">Returns State Withholding (Domicile) - MSRR Exempt for Worker Tax Elections</t>
  </si>
  <si>
    <t xml:space="preserve">State Withholding (Domicile) - No Wage No Tax</t>
  </si>
  <si>
    <t xml:space="preserve">Returns State Withholding (Domicile) - No Wage No Tax for Worker Tax Elections</t>
  </si>
  <si>
    <t xml:space="preserve">State Withholding (Domicile) - Rate Table</t>
  </si>
  <si>
    <t xml:space="preserve">Returns State Withholding (Domicile) - Rate Table for Worker Tax Elections</t>
  </si>
  <si>
    <t xml:space="preserve">State Withholding (Domicile) - Reciprocity Tax Credit</t>
  </si>
  <si>
    <t xml:space="preserve">Returns State Withholding (Domicile) - Reciprocity Tax Credit for Worker Tax Elections</t>
  </si>
  <si>
    <t xml:space="preserve">State Withholding (Domicile) - Reduced Withholding Amount</t>
  </si>
  <si>
    <t xml:space="preserve">Returns State Withholding (Domicile) - Reduced Withholding Amount for Worker Tax Elections</t>
  </si>
  <si>
    <t xml:space="preserve">State Withholding (Domicile) - Spouse Blind</t>
  </si>
  <si>
    <t xml:space="preserve">Returns State Withholding (Domicile) - Spouse Blind for Worker Tax Elections</t>
  </si>
  <si>
    <t xml:space="preserve">State Withholding (Home) - Constant Percent</t>
  </si>
  <si>
    <t xml:space="preserve">Returns State Withholding (Home) - Constant Percent for Worker Tax Elections</t>
  </si>
  <si>
    <t xml:space="preserve">State Withholding (Other) Withholding Percent</t>
  </si>
  <si>
    <t xml:space="preserve">The worker's overriding tax rate for the WA: Seattle Payroll Expense Tax [USA].</t>
  </si>
  <si>
    <t xml:space="preserve">State Withholding (Resident) - # of Additional Allowances</t>
  </si>
  <si>
    <t xml:space="preserve">Returns State Withholding (Resident) - # of Additional Allowances for Worker Tax Elections</t>
  </si>
  <si>
    <t xml:space="preserve">State Withholding (Resident) - # of Allowances</t>
  </si>
  <si>
    <t xml:space="preserve">Returns State Withholding (Resident) - # of Allowances for Worker Tax Elections</t>
  </si>
  <si>
    <t xml:space="preserve">State Withholding (Resident) - # of Dependents</t>
  </si>
  <si>
    <t xml:space="preserve">Returns State Withholding (Resident) - # of Dependents for Worker Tax Elections</t>
  </si>
  <si>
    <t xml:space="preserve">State Withholding (Resident) - 6a Maine W-4 Exempt</t>
  </si>
  <si>
    <t xml:space="preserve">Returns State Withholding (Resident) - 6a Maine W-4 Exempt for Worker Tax Elections</t>
  </si>
  <si>
    <t xml:space="preserve">State Withholding (Resident) - 6b Maine W-4P Exempt</t>
  </si>
  <si>
    <t xml:space="preserve">Returns State Withholding (Resident) - 6b Maine W-4P Exempt for Worker Tax Elections</t>
  </si>
  <si>
    <t xml:space="preserve">State Withholding (Resident) - 6c Maine W-4ME Exempt</t>
  </si>
  <si>
    <t xml:space="preserve">Returns State Withholding (Resident) - 6c Maine W-4ME Exempt for Worker Tax Elections</t>
  </si>
  <si>
    <t xml:space="preserve">State Withholding (Resident) - 6d Maine 1099R Exempt</t>
  </si>
  <si>
    <t xml:space="preserve">Returns State Withholding (Resident) - 6d Maine 1099R Exempt for Worker Tax Elections</t>
  </si>
  <si>
    <t xml:space="preserve">State Withholding (Resident) - Additional Amount</t>
  </si>
  <si>
    <t xml:space="preserve">Returns State Withholding (Resident) - Additional Amount for Worker Tax Elections</t>
  </si>
  <si>
    <t xml:space="preserve">State Withholding (Resident) - Adopted Dependent Exemptions</t>
  </si>
  <si>
    <t xml:space="preserve">The number of adopted dependent exemptions.</t>
  </si>
  <si>
    <t xml:space="preserve">State Withholding (Resident) - Allocation Percent</t>
  </si>
  <si>
    <t xml:space="preserve">Returns State Withholding (Resident) - Allocation Percent for Worker Tax Elections</t>
  </si>
  <si>
    <t xml:space="preserve">State Withholding (Resident) - Allocation Percent (Arizona)</t>
  </si>
  <si>
    <t xml:space="preserve">Returns State Withholding (Resident) - Allocation Percent (Arizona) for Worker Tax Elections</t>
  </si>
  <si>
    <t xml:space="preserve">State Withholding (Resident) - Amount Exemption Claimed</t>
  </si>
  <si>
    <t xml:space="preserve">Returns State Withholding (Resident) - Amount Exemption Claimed for Worker Tax Elections</t>
  </si>
  <si>
    <t xml:space="preserve">State Withholding (Resident) - Certificate of Non Residence</t>
  </si>
  <si>
    <t xml:space="preserve">Returns State Withholding (Resident) - Certificate of Non Residence for Worker Tax Elections</t>
  </si>
  <si>
    <t xml:space="preserve">State Withholding (Resident) - Certificate of Residence</t>
  </si>
  <si>
    <t xml:space="preserve">Returns State Withholding (Resident) - Certificate of Residence for Worker Tax Elections</t>
  </si>
  <si>
    <t xml:space="preserve">State Withholding (Resident) - Domicile State</t>
  </si>
  <si>
    <t xml:space="preserve">Returns State Witholding (Resident) - Domicile State</t>
  </si>
  <si>
    <t xml:space="preserve">State Withholding (Resident) - Effective As Of Date</t>
  </si>
  <si>
    <t xml:space="preserve">Returns the State Withholding (Resident) - Effective As Of Date for Worker Tax Elections</t>
  </si>
  <si>
    <t xml:space="preserve">State Withholding (Resident) - Employee Blind</t>
  </si>
  <si>
    <t xml:space="preserve">Returns State Withholding (Resident) - Employee Blind for Worker Tax Elections</t>
  </si>
  <si>
    <t xml:space="preserve">State Withholding (Resident) - Estimated Deduction</t>
  </si>
  <si>
    <t xml:space="preserve">Returns State Withholding (Resident) - Estimated Deduction for Worker Tax Elections</t>
  </si>
  <si>
    <t xml:space="preserve">State Withholding (Resident) - Exempt Indicator</t>
  </si>
  <si>
    <t xml:space="preserve">Returns State Withholding (Resident) - Exempt Indicator for Worker Tax Elections</t>
  </si>
  <si>
    <t xml:space="preserve">State Withholding (Resident) - Exempt Reason</t>
  </si>
  <si>
    <t xml:space="preserve">Returns State Withholding (Resident) - Exempt Reason</t>
  </si>
  <si>
    <t xml:space="preserve">State Withholding (Resident) - First-time Dependent Exemptions</t>
  </si>
  <si>
    <t xml:space="preserve">The number of first-time dependent exemptions.</t>
  </si>
  <si>
    <t xml:space="preserve">State Withholding (Resident) - Full Time Student</t>
  </si>
  <si>
    <t xml:space="preserve">Returns State Withholding (Resident) - Full Time Student for Worker Tax Elections</t>
  </si>
  <si>
    <t xml:space="preserve">State Withholding (Resident) - Head of Household</t>
  </si>
  <si>
    <t xml:space="preserve">Returns State Withholding (Resident) - Head of Household for Worker Tax Elections</t>
  </si>
  <si>
    <t xml:space="preserve">State Withholding (Resident) - Last Updated Date</t>
  </si>
  <si>
    <t xml:space="preserve">Returns the State Withholding (Resident) - Last Updated Date for Worker Tax Elections</t>
  </si>
  <si>
    <t xml:space="preserve">State Withholding (Resident) - Lock In Letter</t>
  </si>
  <si>
    <t xml:space="preserve">Returns the State Withholding (Resident) - Lock In Letter for Worker Tax Elections</t>
  </si>
  <si>
    <t xml:space="preserve">State Withholding (Resident) - Lower Tax Rate</t>
  </si>
  <si>
    <t xml:space="preserve">Returns State Withholding (Resident) - Lower Tax Rate for Worker Tax Elections</t>
  </si>
  <si>
    <t xml:space="preserve">State Withholding (Resident) - Marital Status</t>
  </si>
  <si>
    <t xml:space="preserve">Returns State Withholding (Resident) - Marital Status for Worker Tax Elections</t>
  </si>
  <si>
    <t xml:space="preserve">State Withholding (Resident) - Married Filing Jointly with Both Spouses Working</t>
  </si>
  <si>
    <t xml:space="preserve">True if State Withholding (Resident) Married Filing Jointly with Both Spouses Working applies.</t>
  </si>
  <si>
    <t xml:space="preserve">State Withholding (Resident) - MSRR Exempt</t>
  </si>
  <si>
    <t xml:space="preserve">Returns State Withholding (Resident) - MSRR Exempt for Worker Tax Elections</t>
  </si>
  <si>
    <t xml:space="preserve">State Withholding (Resident) - No Wage No Tax Exempt</t>
  </si>
  <si>
    <t xml:space="preserve">Returns the State Withholding (Resident) - No Wage No Tax Exempt for Worker Tax Elections</t>
  </si>
  <si>
    <t xml:space="preserve">State Withholding (Resident) - Rate Table</t>
  </si>
  <si>
    <t xml:space="preserve">Returns State Withholding (Resident) - Rate Table for Worker Tax Elections</t>
  </si>
  <si>
    <t xml:space="preserve">State Withholding (Resident) - Reciprocity Tax Credit Amount</t>
  </si>
  <si>
    <t xml:space="preserve">Returns State Withholding (Resident) - Reciprocity Tax Credit Amount for Worker Tax Elections</t>
  </si>
  <si>
    <t xml:space="preserve">State Withholding (Resident) - Reduced Withholding</t>
  </si>
  <si>
    <t xml:space="preserve">Returns State Withholding (Resident) - Reduced Withholding for Worker Tax Elections</t>
  </si>
  <si>
    <t xml:space="preserve">State Withholding (Resident) - Services Localized in Illinois</t>
  </si>
  <si>
    <t xml:space="preserve">Returns Yes if the Services Localized in Illinois field is selected on the worker tax election for Illinois.</t>
  </si>
  <si>
    <t xml:space="preserve">State Withholding (Resident) - Spouse Indicator</t>
  </si>
  <si>
    <t xml:space="preserve">Returns State Withholding (Resident) - Spouse Indicator for Worker Tax Elections</t>
  </si>
  <si>
    <t xml:space="preserve">State Withholding (Resident) - State</t>
  </si>
  <si>
    <t xml:space="preserve">Returns State Withholding (Resident) - State for Worker Tax Elections</t>
  </si>
  <si>
    <t xml:space="preserve">State Withholding (Resident) - State Tax Code</t>
  </si>
  <si>
    <t xml:space="preserve">Returns Tax code of State Withholding (Resident) for Worker</t>
  </si>
  <si>
    <t xml:space="preserve">State Withholding (Resident) - Total Allowance Amount</t>
  </si>
  <si>
    <t xml:space="preserve">The State Withholding (Resident) Total Allowance Amount.</t>
  </si>
  <si>
    <t xml:space="preserve">State Withholding (Resident) - WH-4 Filed</t>
  </si>
  <si>
    <t xml:space="preserve">Returns whether Form WH-4 Filed is selected.</t>
  </si>
  <si>
    <t xml:space="preserve">State Withholding (Resident) - WH-47 Filed</t>
  </si>
  <si>
    <t xml:space="preserve">Returns whether Form WH-47 Filed is selected.</t>
  </si>
  <si>
    <t xml:space="preserve">State Withholding (Resident) - Zero/No Annual Withholding Allowance</t>
  </si>
  <si>
    <t xml:space="preserve">True if State Withholding (Resident) Zero/No Annual Withholding Allowance applies.</t>
  </si>
  <si>
    <t xml:space="preserve">State Withholding (Work) - # of Additional Allowances</t>
  </si>
  <si>
    <t xml:space="preserve">Returns State Withholding (Work) - # of Additional Allowances for Worker Tax Elections</t>
  </si>
  <si>
    <t xml:space="preserve">State Withholding (Work) - # of Allowances</t>
  </si>
  <si>
    <t xml:space="preserve">Returns State Withholding (Work) - # of Allowances for Worker Tax Elections</t>
  </si>
  <si>
    <t xml:space="preserve">State Withholding (Work) - # of Dependents</t>
  </si>
  <si>
    <t xml:space="preserve">Returns State Withholding (Work) - # of Dependents for Worker Tax Elections</t>
  </si>
  <si>
    <t xml:space="preserve">State Withholding (Work) - 6a Maine W-4 Exempt</t>
  </si>
  <si>
    <t xml:space="preserve">Returns State Withholding (Work) - 6a Maine W-4 Exempt for Worker Tax Elections</t>
  </si>
  <si>
    <t xml:space="preserve">State Withholding (Work) - 6b Maine W-4P Exempt</t>
  </si>
  <si>
    <t xml:space="preserve">Returns State Withholding (Work) - 6b Maine W-4P Exempt for Worker Tax Elections</t>
  </si>
  <si>
    <t xml:space="preserve">State Withholding (Work) - 6c Maine W-4ME Exempt</t>
  </si>
  <si>
    <t xml:space="preserve">Returns State Withholding (Work) - 6c Maine W-4ME Exempt for Worker Tax Elections</t>
  </si>
  <si>
    <t xml:space="preserve">State Withholding (Work) - 6d Maine 1099R Exempt</t>
  </si>
  <si>
    <t xml:space="preserve">Returns State Withholding (Work) - 6d Maine 1099R Exempt for Worker Tax Elections</t>
  </si>
  <si>
    <t xml:space="preserve">State Withholding (Work) - Additional Amount</t>
  </si>
  <si>
    <t xml:space="preserve">Returns State Withholding (Work) - Additional Amount for Worker Tax Elections</t>
  </si>
  <si>
    <t xml:space="preserve">State Withholding (Work) - Adopted Dependent Exemptions</t>
  </si>
  <si>
    <t xml:space="preserve">State Withholding (Work) - Allocation Percent</t>
  </si>
  <si>
    <t xml:space="preserve">Returns State Withholding (Work) - Allocation Percent for Worker Tax Elections</t>
  </si>
  <si>
    <t xml:space="preserve">State Withholding (Work) - Allocation Percent (Arizona)</t>
  </si>
  <si>
    <t xml:space="preserve">Returns State Withholding (Work) - Allocation Percent (Arizona) for Worker Tax Elections</t>
  </si>
  <si>
    <t xml:space="preserve">State Withholding (Work) - Amount Exemption Claimed</t>
  </si>
  <si>
    <t xml:space="preserve">Returns State Withholding (Work) - Amount Exemption Claimed for Worker Tax Elections</t>
  </si>
  <si>
    <t xml:space="preserve">State Withholding (Work) - Certificate of Non-Residence</t>
  </si>
  <si>
    <t xml:space="preserve">Returns State Withholding (Work) - Certificate of Non Residence for Worker Tax Elections</t>
  </si>
  <si>
    <t xml:space="preserve">State Withholding (Work) - Certificate of Residence</t>
  </si>
  <si>
    <t xml:space="preserve">Returns State Withholding (Work) - Certificate of Residence for Worker Tax Elections</t>
  </si>
  <si>
    <t xml:space="preserve">State Withholding (Work) - Constant Percent</t>
  </si>
  <si>
    <t xml:space="preserve">Returns State Withholding (Work) - Constant Percent for Worker Tax Elections</t>
  </si>
  <si>
    <t xml:space="preserve">State Withholding (Work) - Domicile State</t>
  </si>
  <si>
    <t xml:space="preserve">Returns State Withholding (Work) - Domicile State for Worker Tax Elections</t>
  </si>
  <si>
    <t xml:space="preserve">State Withholding (Work) - Effective As Of Date</t>
  </si>
  <si>
    <t xml:space="preserve">Returns the State Withholding (Work) - Effective As Of Date for Worker Tax Elections</t>
  </si>
  <si>
    <t xml:space="preserve">State Withholding (Work) - Employee Blind</t>
  </si>
  <si>
    <t xml:space="preserve">Returns State Withholding (Work) - Employee Blind for Worker Tax Elections</t>
  </si>
  <si>
    <t xml:space="preserve">State Withholding (Work) - Estimated Deduction</t>
  </si>
  <si>
    <t xml:space="preserve">Returns State Withholding (Work) - Estimated Deduction for Worker Tax Elections</t>
  </si>
  <si>
    <t xml:space="preserve">State Withholding (Work) - Exempt Indicator</t>
  </si>
  <si>
    <t xml:space="preserve">Returns State Withholding (Work) - Exempt Indicator for Worker Tax Elections</t>
  </si>
  <si>
    <t xml:space="preserve">State Withholding (Work) - Exempt Reason</t>
  </si>
  <si>
    <t xml:space="preserve">Returns State Withholding (Work) - Exempt Reason</t>
  </si>
  <si>
    <t xml:space="preserve">State Withholding (Work) - First-time Dependent Exemptions</t>
  </si>
  <si>
    <t xml:space="preserve">State Withholding (Work) - Full Time Student</t>
  </si>
  <si>
    <t xml:space="preserve">Returns State Withholding (Work) - Full Time Student for Worker Tax Elections</t>
  </si>
  <si>
    <t xml:space="preserve">State Withholding (Work) - Head of Household</t>
  </si>
  <si>
    <t xml:space="preserve">Returns State Withholding (Work) - Head of Household for Worker Tax Elections</t>
  </si>
  <si>
    <t xml:space="preserve">State Withholding (Work) - Last Updated Date</t>
  </si>
  <si>
    <t xml:space="preserve">Returns the State Withholding (Work) - Last Updated Date for Worker Tax Elections</t>
  </si>
  <si>
    <t xml:space="preserve">State Withholding (Work) - Lock In Letter</t>
  </si>
  <si>
    <t xml:space="preserve">Returns the State Withholding (Work) - Lock In Letter for Worker Tax Elections</t>
  </si>
  <si>
    <t xml:space="preserve">State Withholding (Work) - Lower Tax Rate</t>
  </si>
  <si>
    <t xml:space="preserve">Returns State Withholding (Work) - Lower Tax Rate for Worker Tax Elections</t>
  </si>
  <si>
    <t xml:space="preserve">State Withholding (Work) - Marital Status</t>
  </si>
  <si>
    <t xml:space="preserve">Returns State Withholding (Work) - Marital Status for Worker Tax Elections</t>
  </si>
  <si>
    <t xml:space="preserve">State Withholding (Work) - Married Filing Jointly with Both Spouses Working</t>
  </si>
  <si>
    <t xml:space="preserve">True if State Withholding (Work) Married Filing Jointly with Both Spouses Working applies.</t>
  </si>
  <si>
    <t xml:space="preserve">State Withholding (Work) - MSRR Exempt</t>
  </si>
  <si>
    <t xml:space="preserve">Returns State Witholding (Work) - MSRR Exempt for Worker Tax Elections</t>
  </si>
  <si>
    <t xml:space="preserve">State Withholding (Work) - No Wage No Tax Exempt</t>
  </si>
  <si>
    <t xml:space="preserve">Returns the State Withholding (Work) - No Wage No Tax Exempt for Worker Tax Elections</t>
  </si>
  <si>
    <t xml:space="preserve">State Withholding (Work) - Rate Table</t>
  </si>
  <si>
    <t xml:space="preserve">Returns State Withholding (Work) - Rate Table for Worker Tax Elections</t>
  </si>
  <si>
    <t xml:space="preserve">State Withholding (Work) - Reciprocity Tax Credit Amount</t>
  </si>
  <si>
    <t xml:space="preserve">Returns State Withholding (Work) - Reciprocity Tax Credit Amount for Worker Tax Elections</t>
  </si>
  <si>
    <t xml:space="preserve">State Withholding (Work) - Reduced Withholding</t>
  </si>
  <si>
    <t xml:space="preserve">Returns State Withholding (Work) - Reduced Withholding for Worker Tax Elections</t>
  </si>
  <si>
    <t xml:space="preserve">State Withholding (Work) - Services Localized in Illinois</t>
  </si>
  <si>
    <t xml:space="preserve">State Withholding (Work) - Spouse Indicator</t>
  </si>
  <si>
    <t xml:space="preserve">Returns State Withholding (Work) - Spouse Indicator for Worker Tax Elections</t>
  </si>
  <si>
    <t xml:space="preserve">State Withholding (Work) - State</t>
  </si>
  <si>
    <t xml:space="preserve">Returns State Withholding (Work) - State for Worker Tax Elections</t>
  </si>
  <si>
    <t xml:space="preserve">State Withholding (Work) - State Tax Code</t>
  </si>
  <si>
    <t xml:space="preserve">Returns Tax code of State Withholding (Work) for Worker</t>
  </si>
  <si>
    <t xml:space="preserve">State Withholding (Work) - Total Allowance Amount</t>
  </si>
  <si>
    <t xml:space="preserve">The State Withholding (Work) Total Allowance Amount.</t>
  </si>
  <si>
    <t xml:space="preserve">State Withholding (Work) - WH-4 Filed</t>
  </si>
  <si>
    <t xml:space="preserve">State Withholding (Work) - WH-47 Filed</t>
  </si>
  <si>
    <t xml:space="preserve">State Withholding (Work) - Zero/No Annual Withholding Allowance</t>
  </si>
  <si>
    <t xml:space="preserve">True if State Withholding (Work) - Zero/No Annual Withholding Allowance applies.</t>
  </si>
  <si>
    <t xml:space="preserve">Returns State Withholding Other Tax Elections.</t>
  </si>
  <si>
    <t xml:space="preserve">State Withholding SUI - EIN</t>
  </si>
  <si>
    <t xml:space="preserve">State Withholding SUI - EIN Based on the worker's primary work state or location state and company, returns the Withholding State Unemployment Insurance EIN value if specified; if not specified and configured to use EIN from State returns that State's Withholding EIN; else If Withholding EIN is configured to use FEIN returns the Company's Federal EIN.  If neither Unemployment or WIthholding are specified, returns the FEIN.</t>
  </si>
  <si>
    <t xml:space="preserve">State Withholding WI or IN EIC (Resident) - Effective As Of Date</t>
  </si>
  <si>
    <t xml:space="preserve">Returns the State Withholding Indiana or Wisconsin EIC (Resident) - Effective As Of Date for Worker Tax Elections</t>
  </si>
  <si>
    <t xml:space="preserve">State Withholding WI or IN EIC (Resident) - Exempt Indicator</t>
  </si>
  <si>
    <t xml:space="preserve">Returns the State Withholding Indiana or Wisconsin EIC (Resident) - Number of Allowances for Worker Tax Elections</t>
  </si>
  <si>
    <t xml:space="preserve">State Withholding WI or IN EIC (Resident) - Last Updated</t>
  </si>
  <si>
    <t xml:space="preserve">Returns the State Withholding Indiana or Wisconsin EIC (Resident) - Last Updated Date for Worker Tax Elections</t>
  </si>
  <si>
    <t xml:space="preserve">State Withholding WI or IN EIC (Work) - Effective As Of Date</t>
  </si>
  <si>
    <t xml:space="preserve">Returns the State Withholding Indiana or Wisconsin EIC (Work) - Effective As Of Date for Worker Tax Elections</t>
  </si>
  <si>
    <t xml:space="preserve">State Withholding WI or IN EIC (Work) - Exempt Indicator</t>
  </si>
  <si>
    <t xml:space="preserve">Returns the State Withholding Indiana or Wisconsin EIC (Work) - Number of Allowances for Worker Tax Elections</t>
  </si>
  <si>
    <t xml:space="preserve">State Withholding WI or IN EIC (Work) - Last Updated</t>
  </si>
  <si>
    <t xml:space="preserve">Returns the State Withholding Indiana or Wisconsin EIC (Work) - Last Updated Date for Worker Tax Elections</t>
  </si>
  <si>
    <t xml:space="preserve">State Withholding: ESS Age for Entrepreneur Exemption</t>
  </si>
  <si>
    <t xml:space="preserve">Returns the age of the workers who elected the Puerto Rico Entrepreneur Exemption.</t>
  </si>
  <si>
    <t xml:space="preserve">State Work is Directed from</t>
  </si>
  <si>
    <t xml:space="preserve">Returns the value for Convenience of Employer State if populated.</t>
  </si>
  <si>
    <t xml:space="preserve">Stock Grants</t>
  </si>
  <si>
    <t xml:space="preserve">Contains the stock grants that have been approved.</t>
  </si>
  <si>
    <t xml:space="preserve">Stock Grants - All Statuses</t>
  </si>
  <si>
    <t xml:space="preserve">Contains the stock grants of all statuses including approved, denied, in progress, etc.</t>
  </si>
  <si>
    <t xml:space="preserve">Stock Plan Assignment Details</t>
  </si>
  <si>
    <t xml:space="preserve">This field provides a text representation of the Stock plans assigned to the worker.</t>
  </si>
  <si>
    <t xml:space="preserve">Contains the stock plans assigned to an employee.</t>
  </si>
  <si>
    <t xml:space="preserve">The student instance for the worker.</t>
  </si>
  <si>
    <t xml:space="preserve">Student Loan Deductions for P45</t>
  </si>
  <si>
    <t xml:space="preserve">Return 'Y' if Worker has Active Student Loan Deduction for P45.</t>
  </si>
  <si>
    <t xml:space="preserve">Date that corresponds to the end of the sub-period.</t>
  </si>
  <si>
    <t xml:space="preserve">This CRF is used to expose Subspecialties to the Find Workers report.</t>
  </si>
  <si>
    <t xml:space="preserve">Succession Plan - Any</t>
  </si>
  <si>
    <t xml:space="preserve">Accesses the Worker (Employee) as its primary object.   For each Worker (Employee) whom the logged in / processing user have access to, this CRF returns succession plans for the Worker (Employee).</t>
  </si>
  <si>
    <t xml:space="preserve">Succession Plan Candidates</t>
  </si>
  <si>
    <t xml:space="preserve">Returns the succession plan candidates that the employee is a candidate for. Only returns a value for employees as contingent workers are not tracked for succession.</t>
  </si>
  <si>
    <t xml:space="preserve">Succession Plan Candidates - Any</t>
  </si>
  <si>
    <t xml:space="preserve">Returns the succession plan candidates the employee belongs to when the user's constrained role has access to the employee.</t>
  </si>
  <si>
    <t xml:space="preserve">Succession Plan Section</t>
  </si>
  <si>
    <t xml:space="preserve">Returns True when the user has access to the Succession Plan Section.</t>
  </si>
  <si>
    <t xml:space="preserve">Succession Plans</t>
  </si>
  <si>
    <t xml:space="preserve">Contains the succession plans that the employee is on. Only returns a value for employees as contingent workers are not tracked for succession.</t>
  </si>
  <si>
    <t xml:space="preserve">Succession Plans as of Talent Review Completed Date</t>
  </si>
  <si>
    <t xml:space="preserve">Contains the succession plans that the employee was on as of the Talent Review Completed Date. Only returns a value for employees as contingent workers are not tracked for succession.</t>
  </si>
  <si>
    <t xml:space="preserve">Succession Pool Candidates - Any</t>
  </si>
  <si>
    <t xml:space="preserve">Returns the succession pool candidates the employee belongs to when the user's constrained role has access to the employee.</t>
  </si>
  <si>
    <t xml:space="preserve">Succession Pool Candidates - Restricted and Unrestricted Pools</t>
  </si>
  <si>
    <t xml:space="preserve">Returns restricted and unrestricted succession pool candidates that the worker is a candidate for.</t>
  </si>
  <si>
    <t xml:space="preserve">Succession Pool Candidates for Unrestricted Pools</t>
  </si>
  <si>
    <t xml:space="preserve">Returns the unrestricted succession pool candidates that the worker is a candidate for.</t>
  </si>
  <si>
    <t xml:space="preserve">Succession Pools - Any</t>
  </si>
  <si>
    <t xml:space="preserve">Accesses the Worker (Employee) as its primary object. For each Worker (Employee) whom the logged in / processing user have access to, this CRF returns active succession pools for the Worker (Employee).</t>
  </si>
  <si>
    <t xml:space="preserve">Suggested Skills</t>
  </si>
  <si>
    <t xml:space="preserve">The Suggested Skills for a Worker</t>
  </si>
  <si>
    <t xml:space="preserve">Superannuation Choice Status</t>
  </si>
  <si>
    <t xml:space="preserve">True if the worker has entered a Superannuation choice.</t>
  </si>
  <si>
    <t xml:space="preserve">The position(s), position restriction(s), service center(s), etc assigned to leadership role(s) for supervisory organization. The leadership role for supervisory organizations is usually Manager, but any role can be designated as a leadership role in 'Maintain Assignable Roles'.  If there is a position restriction with an overlap, both are returned.</t>
  </si>
  <si>
    <t xml:space="preserve">Supervisory Organization (Benefits)</t>
  </si>
  <si>
    <t xml:space="preserve">The worker's Supervisory Organization from their Primary Position</t>
  </si>
  <si>
    <t xml:space="preserve">Supervisory Organization - All Positions</t>
  </si>
  <si>
    <t xml:space="preserve">All supervisory organizations associated with the worker. Includes supervisory organizations from primary and additional positions and jobs.</t>
  </si>
  <si>
    <t xml:space="preserve">Supervisory Organization - Effective Dated</t>
  </si>
  <si>
    <t xml:space="preserve">Supervisory Organization - Hierarchy</t>
  </si>
  <si>
    <t xml:space="preserve">The supervisory organization and superior organizations for the worker's primary position.</t>
  </si>
  <si>
    <t xml:space="preserve">Supervisory Organization - ID</t>
  </si>
  <si>
    <t xml:space="preserve">The Organization Code for the worker's primary position's supervisory organization.</t>
  </si>
  <si>
    <t xml:space="preserve">Supervisory Organization - Organization Top -&gt; Organization</t>
  </si>
  <si>
    <t xml:space="preserve">The supervisory organization for the worker's primary position formatted as Organization Top -&gt; Organization (e.g. Marketing &amp; Sales -&gt; Sales Support) and evaluated based on visibility setting on the supervisory organization.</t>
  </si>
  <si>
    <t xml:space="preserve">Supervisory Organization - Primary Location</t>
  </si>
  <si>
    <t xml:space="preserve">The primary location for the organization for the worker's primary position.</t>
  </si>
  <si>
    <t xml:space="preserve">Supervisory Organization - Superior</t>
  </si>
  <si>
    <t xml:space="preserve">The immediate superior organization for the worker's primary position's supervisory organization.</t>
  </si>
  <si>
    <t xml:space="preserve">Supervisory Organization and Superior Organizations Viewable by Everyone</t>
  </si>
  <si>
    <t xml:space="preserve">The supervisory organization and superior organization for the worker's primary position.  Used for faceted search only. Only returns supervisory organizations whose visibility is set to 'Everyone'.</t>
  </si>
  <si>
    <t xml:space="preserve">Supervisory Organization for Committee Candidate</t>
  </si>
  <si>
    <t xml:space="preserve">Returns the Supervisory Organization, if it exists, for a committee member candidate.</t>
  </si>
  <si>
    <t xml:space="preserve">Supervisory Organization Top</t>
  </si>
  <si>
    <t xml:space="preserve">The top organization for the supervisory organization for the worker's primary position.</t>
  </si>
  <si>
    <t xml:space="preserve">Supervisory Organizations (Benefit Jobs)</t>
  </si>
  <si>
    <t xml:space="preserve">The worker's supervisory organization. Specified by the benefit jobs that you use to determine benefits eligibility.</t>
  </si>
  <si>
    <t xml:space="preserve">Supervisory Organizations - Manager not in Management Chain</t>
  </si>
  <si>
    <t xml:space="preserve">Contains the supervisory organization that the worker is a manager for but the worker is not in the same supervisory management chain for the worker's primary position.</t>
  </si>
  <si>
    <t xml:space="preserve">Supervisory Organizations with Worker in Leadership Role</t>
  </si>
  <si>
    <t xml:space="preserve">All supervisory organizations, excluding inherited organizations, in which the worker has a leadership role.</t>
  </si>
  <si>
    <t xml:space="preserve">Returns all instances of Suppliers and their alternate names.</t>
  </si>
  <si>
    <t xml:space="preserve">Supporting Roles on Worker Profile</t>
  </si>
  <si>
    <t xml:space="preserve">Returns same workers as seen on 'Supporting Roles' tab on Worker profile.</t>
  </si>
  <si>
    <t xml:space="preserve">Contains all the positions a worker has held over time.  It is formatted to fit into the Job History section of the Talent Card.</t>
  </si>
  <si>
    <t xml:space="preserve">Talent Highlights</t>
  </si>
  <si>
    <t xml:space="preserve">The Talent Highlights for the worker based off of the worker business object.</t>
  </si>
  <si>
    <t xml:space="preserve">Talent Matrix Competency</t>
  </si>
  <si>
    <t xml:space="preserve">Returns the Competency Level for the Competency associated with the Talent Matrix.</t>
  </si>
  <si>
    <t xml:space="preserve">Talent Matrix Placement Column</t>
  </si>
  <si>
    <t xml:space="preserve">Returns the Talent Matrix Placement Column Number for the worker.</t>
  </si>
  <si>
    <t xml:space="preserve">Talent Matrix Placement Column as of Talent Review Completed Date</t>
  </si>
  <si>
    <t xml:space="preserve">Returns the Talent Matrix Placement Column Number for the worker at the time of the Talent Review Completed Date.</t>
  </si>
  <si>
    <t xml:space="preserve">Returns the Primary Talent Matrix Placement nBox Report for the worker from Tenant Setup.</t>
  </si>
  <si>
    <t xml:space="preserve">Talent Matrix Placement Row</t>
  </si>
  <si>
    <t xml:space="preserve">Returns the Talent Matrix Placement Row Number for the worker.</t>
  </si>
  <si>
    <t xml:space="preserve">Talent Matrix Placement Row as of Talent Review Completed Date</t>
  </si>
  <si>
    <t xml:space="preserve">Returns the Talent Matrix Placement Row Number for the worker at the time of the Talent Review Completed Date.</t>
  </si>
  <si>
    <t xml:space="preserve">Talent Matrix Review Rating</t>
  </si>
  <si>
    <t xml:space="preserve">Returns talent matrix review rating for an employee. Only returns a value for employees as contingent workers do not have talent matrix review rating tracked.</t>
  </si>
  <si>
    <t xml:space="preserve">Talent Matrix Section</t>
  </si>
  <si>
    <t xml:space="preserve">Returns True when the user has access to the Worker Data Talent Matrix domain.</t>
  </si>
  <si>
    <t xml:space="preserve">Talent Pool - Any</t>
  </si>
  <si>
    <t xml:space="preserve">The active non-private pools for workers and active private pools you own. This report field returns data for all workers, if you have a role on the Worker Data: Succession Plan - Any domain security policy, and restricted pools, regardless of your access on the View Talent Pool report. To view talent pools for specific workers who you have access to view, use the All Talent Pools report field.</t>
  </si>
  <si>
    <t xml:space="preserve">Tracks the adding and removing of members from talent pools by worker.</t>
  </si>
  <si>
    <t xml:space="preserve">Talent Pools</t>
  </si>
  <si>
    <t xml:space="preserve">Returns the Static Talent Pools that this worker is a member of.  Returns only Static Talent Pools that are active and unrestricted.</t>
  </si>
  <si>
    <t xml:space="preserve">Returns the most recent Talent Review Document that the processing person can view.</t>
  </si>
  <si>
    <t xml:space="preserve">Talent Review Event</t>
  </si>
  <si>
    <t xml:space="preserve">Returns the most recently completed Talent Review for a worker. If the worker has no completed Talent Reviews and one in-progress, the in-progress Talent Review is returned.</t>
  </si>
  <si>
    <t xml:space="preserve">Talent Statement Text</t>
  </si>
  <si>
    <t xml:space="preserve">Returns Talent Statement text for the Worker</t>
  </si>
  <si>
    <t xml:space="preserve">Returns Talent Statements for the Worker</t>
  </si>
  <si>
    <t xml:space="preserve">Talent Summary Section</t>
  </si>
  <si>
    <t xml:space="preserve">Returns True when the user has access to the Talent Summary Section.</t>
  </si>
  <si>
    <t xml:space="preserve">Target Bonus - Amount</t>
  </si>
  <si>
    <t xml:space="preserve">The target bonus for the employee.  If the worker is assigned more than one bonus plan, the values are summed.  The number is represented in the currency and frequency of the employee's compensation grade profile, or compensation grade if no compensation grade profile exists.This field will not return a result for calculations based off of eligible earnings override.</t>
  </si>
  <si>
    <t xml:space="preserve">Target Bonus - Currency</t>
  </si>
  <si>
    <t xml:space="preserve">The target bonus currency from the employee's compensation grade profile, or compensation grade if no compensation grade profile exists.</t>
  </si>
  <si>
    <t xml:space="preserve">Target Bonus - Frequency</t>
  </si>
  <si>
    <t xml:space="preserve">The target bonus frequency from the employee's compensation grade profile, or compensation grade if no compensation grade profile exists.</t>
  </si>
  <si>
    <t xml:space="preserve">Target Bonus - Percent</t>
  </si>
  <si>
    <t xml:space="preserve">The sum of bonus targets for the worker. This excludes any assigned percentages for a target.</t>
  </si>
  <si>
    <t xml:space="preserve">Target Bonus Amount with Eligible Earnings Override</t>
  </si>
  <si>
    <t xml:space="preserve">The target bonus for theemployee. Use this field for all compensation bases on the award calculation, including eligible earnings override. This field has a default prompt, Eligible Earnings Override Period.</t>
  </si>
  <si>
    <t xml:space="preserve">Eligible Earning Override Period</t>
  </si>
  <si>
    <t xml:space="preserve">Target Bonus Annualized in Reporting Currency - Amount</t>
  </si>
  <si>
    <t xml:space="preserve">The target bonus for the employee, represented in the reporting currency for the Workday system.  If the employee is assigned more than one bonus plan, the values are summed.</t>
  </si>
  <si>
    <t xml:space="preserve">Target Bonus Annualized in Reporting Currency - Currency</t>
  </si>
  <si>
    <t xml:space="preserve">Target Bonus Annualized in Reporting Currency - Frequency</t>
  </si>
  <si>
    <t xml:space="preserve">The frequency associated with the employee's annualized target bonus. Returns the "Annual" Frequency.</t>
  </si>
  <si>
    <t xml:space="preserve">Target Bonus including Percent Assigned - Percent</t>
  </si>
  <si>
    <t xml:space="preserve">The target bonus percent for the employee.  If the worker is assigned more than one bonus plan, the values are summed.  However, because percent-based bonus may use different calculation basis (e.g., base pay, on-target earnings, or eligible earnings), the sum of the target bonus percent may not be entirely accurate. The bonus percent also includes the percent assigned in its calculation.</t>
  </si>
  <si>
    <t xml:space="preserve">Target Commission - Amount</t>
  </si>
  <si>
    <t xml:space="preserve">The target commission for the employee. If the employee is assigned more than one commission plan, Workday sums the values. The number is based on employee pay range frequency and represented in the currency of the employee’s compensation grade profile-,- or compensation grade if no compensation grade profile exists.</t>
  </si>
  <si>
    <t xml:space="preserve">Target Commission - Annualized Amount</t>
  </si>
  <si>
    <t xml:space="preserve">The target commission for the employee. If the employee is assigned more than one commission plan, the values are summed. The number is annualized and represented in the currency of the employee's compensation grade profile, or compensation grade if no compensation grade profile exists.</t>
  </si>
  <si>
    <t xml:space="preserve">Target Commission - Currency</t>
  </si>
  <si>
    <t xml:space="preserve">The currency associated with the employee's target commission.</t>
  </si>
  <si>
    <t xml:space="preserve">Target Commission - Frequency</t>
  </si>
  <si>
    <t xml:space="preserve">The frequency associated with the employee's target commission.</t>
  </si>
  <si>
    <t xml:space="preserve">Target Commission Annualized in Reporting Currency - Amount</t>
  </si>
  <si>
    <t xml:space="preserve">The target commission for the employee, represented in the reporting currency for the Workday system.  If the employee is assigned more than one commission plan, the values are summed.</t>
  </si>
  <si>
    <t xml:space="preserve">Target Commission Annualized in Reporting Currency - Currency</t>
  </si>
  <si>
    <t xml:space="preserve">Target Commission Annualized in Reporting Currency - Frequency</t>
  </si>
  <si>
    <t xml:space="preserve">The frequency associated with the employee's target commission. Returns the "Annual" Frequency.</t>
  </si>
  <si>
    <t xml:space="preserve">Target Rating for Competency</t>
  </si>
  <si>
    <t xml:space="preserve">The target competency rating for the worker of a given Competency.</t>
  </si>
  <si>
    <t xml:space="preserve">Tax Code at Leaving Date for P45</t>
  </si>
  <si>
    <t xml:space="preserve">Returns tax code for Worker's P45.</t>
  </si>
  <si>
    <t xml:space="preserve">Tax Code Basis for P45</t>
  </si>
  <si>
    <t xml:space="preserve">Returns "X" if Tax Code Basis is non cumulative for Worker's P45.</t>
  </si>
  <si>
    <t xml:space="preserve">The default tax code for a supplier or customer.</t>
  </si>
  <si>
    <t xml:space="preserve">Tax Month Number for P45</t>
  </si>
  <si>
    <t xml:space="preserve">Returns Tax Month Number for Worker's P45.</t>
  </si>
  <si>
    <t xml:space="preserve">Tax Week Number for P45</t>
  </si>
  <si>
    <t xml:space="preserve">Returns Tax Week Number for Worker's P45.</t>
  </si>
  <si>
    <t xml:space="preserve">TB EE Worker Employee Type or Employee Contract Type</t>
  </si>
  <si>
    <t xml:space="preserve">TB ESI Worker Employee Type</t>
  </si>
  <si>
    <t xml:space="preserve">TB FT Worker Contract Type</t>
  </si>
  <si>
    <t xml:space="preserve">TB FT Worker Employee Type</t>
  </si>
  <si>
    <t xml:space="preserve">TB TF Worker has a Contract</t>
  </si>
  <si>
    <t xml:space="preserve">Tenure Category - Position</t>
  </si>
  <si>
    <t xml:space="preserve">The tenure category for the worker in the current position. Examples: Less than 1 year, 1-2 years, 3-4 years. You can view values for this report field if you have access to the ~worker’s~ primary position.</t>
  </si>
  <si>
    <t xml:space="preserve">Tenure Category for Committee Candidate</t>
  </si>
  <si>
    <t xml:space="preserve">Returns the tenure category for a committee member candidate, based on the years since their hire date.</t>
  </si>
  <si>
    <t xml:space="preserve">Tenure Home</t>
  </si>
  <si>
    <t xml:space="preserve">Returns the Academic Unit for the worker's current Appointment that has the earliest date for a Tenure Status equivalent to tenured.</t>
  </si>
  <si>
    <t xml:space="preserve">Terminated (based on report date)</t>
  </si>
  <si>
    <t xml:space="preserve">True if a worker is terminated or if their contract ends as of the current date or specified date. This report field can't be used in condition rules.</t>
  </si>
  <si>
    <t xml:space="preserve">Terminated while On Leave</t>
  </si>
  <si>
    <t xml:space="preserve">Returns true when a Worker has been terminated while on leave. This field uses the latest Termination date and compare against latest First Day of Leave and Actual Last Day of Leave or Estimated Last Day of Leave dates.</t>
  </si>
  <si>
    <t xml:space="preserve">Terminated with an Active Flexible Work Arrangement</t>
  </si>
  <si>
    <t xml:space="preserve">True if a worker has an active flexible work arrangement as of their most recent Termination or End Contingent Worker Contract effective date.</t>
  </si>
  <si>
    <t xml:space="preserve">Terminated Worker and Future Hire</t>
  </si>
  <si>
    <t xml:space="preserve">A terminated worker who's also a current future hire.</t>
  </si>
  <si>
    <t xml:space="preserve">Termination Date - All</t>
  </si>
  <si>
    <t xml:space="preserve">The Effective Date of the worker's last termination. Doesn't include future-dated terminations. To exclude terminations with a next-day rehire, use the Termination Date report field.</t>
  </si>
  <si>
    <t xml:space="preserve">Termination Date Greater than Processing Date</t>
  </si>
  <si>
    <t xml:space="preserve">Returns the first termination date after the effective date of the worker event.</t>
  </si>
  <si>
    <t xml:space="preserve">Termination Date Recent or Future for Worker</t>
  </si>
  <si>
    <t xml:space="preserve">The Effective Date of the worker's last termination.</t>
  </si>
  <si>
    <t xml:space="preserve">Termination Reason</t>
  </si>
  <si>
    <t xml:space="preserve">The Primary Reason for the worker's last termination. Doesn't include future-dated terminations or terminations with a rehire on the next day. To include terminations with a next-day rehire, use the Termination Reason - All report field.</t>
  </si>
  <si>
    <t xml:space="preserve">Termination Reason - All</t>
  </si>
  <si>
    <t xml:space="preserve">The Primary Reason for the ~worker’s~ last termination. Doesn’t include future-dated terminations. To exclude terminations with a next-day rehire, use the Termination Reason report field.</t>
  </si>
  <si>
    <t xml:space="preserve">The local termination reason for the worker.</t>
  </si>
  <si>
    <t xml:space="preserve">TFN Status in Government IDs</t>
  </si>
  <si>
    <t xml:space="preserve">True if the worker has a Tax File Number (TFN) recorded in the Edit Government IDs task.</t>
  </si>
  <si>
    <t xml:space="preserve">Thrift Savings Plan TSP Election Contribution Percent</t>
  </si>
  <si>
    <t xml:space="preserve">Aggregated percentage of pay that the employee elects to have deducted per pay period for the Thrift Savings Plan (TSP).</t>
  </si>
  <si>
    <t xml:space="preserve">Time accumulator threshold rules assigned to Worker as of current date.</t>
  </si>
  <si>
    <t xml:space="preserve">Time Accumulator Threshold Rule Opt Outs for Worker</t>
  </si>
  <si>
    <t xml:space="preserve">The Worker's  opt-out events for time accumulator threshold rules.</t>
  </si>
  <si>
    <t xml:space="preserve">Time Blocks for a Worker. Start date and end date are required.</t>
  </si>
  <si>
    <t xml:space="preserve">Time Clock Events for Date Range</t>
  </si>
  <si>
    <t xml:space="preserve">Returns worker's time clock events for a date range.</t>
  </si>
  <si>
    <t xml:space="preserve">Time Entry Created Within a Given Period</t>
  </si>
  <si>
    <t xml:space="preserve">Returns Yes value if time tracking entries have been made within the given date range (Time Tracking Start Date and Time Tracking End Date).</t>
  </si>
  <si>
    <t xml:space="preserve">Time Tracking End Date</t>
  </si>
  <si>
    <t xml:space="preserve">Time in Job Profile</t>
  </si>
  <si>
    <t xml:space="preserve">The length of time a Worker has occupied the current Job Profile.</t>
  </si>
  <si>
    <t xml:space="preserve">Time in Job Profile Start Date</t>
  </si>
  <si>
    <t xml:space="preserve">The start date used to calculate "Time in Job Profile."  The date is the maximum of the inbound business process and the position conversion start date for the worker's current job profile.</t>
  </si>
  <si>
    <t xml:space="preserve">Time in Position</t>
  </si>
  <si>
    <t xml:space="preserve">The length of time that the worker has filled their Primary Position. To calculate this, we use the Conversion Position Start Date for the worker. If there’s no Conversion Position Start Date, we look for the effective date of the most recent change to the Primary Position, which could be a Change Job or Hire event. We then calculate the time in position as the difference between this date and today's date (or termination date).</t>
  </si>
  <si>
    <t xml:space="preserve">Time in Position Talent Review</t>
  </si>
  <si>
    <t xml:space="preserve">The length of time that the worker is in the primary position.</t>
  </si>
  <si>
    <t xml:space="preserve">Time Off Completed Details</t>
  </si>
  <si>
    <t xml:space="preserve">Contain time off line item details approved for an employee.</t>
  </si>
  <si>
    <t xml:space="preserve">Time Off Details</t>
  </si>
  <si>
    <t xml:space="preserve">Contain time off line item details approved, pending, canceled or denied for an employee</t>
  </si>
  <si>
    <t xml:space="preserve">Time Off Hours for Time Off in Days</t>
  </si>
  <si>
    <t xml:space="preserve">Returns the number of hours of the absence for a Pay Component during the period according the Work Schedule Calendar for the ​worker​. Hours are calculated when the Pay Component includes Related Calc "FRA Days" that is calculated with Absence Component Related Calculations, and if those ACRC refer to Time Offs in days.</t>
  </si>
  <si>
    <t xml:space="preserve">Time Off Plans for Worker with Visible Balances</t>
  </si>
  <si>
    <t xml:space="preserve">Eligible time off plans for worker where the time off plan balance visibility is NOT "Never Show" and where the time off balance is not hidden from worker self service.</t>
  </si>
  <si>
    <t xml:space="preserve">Time Off Plans Eligible and Visible</t>
  </si>
  <si>
    <t xml:space="preserve">Time Off Service Date</t>
  </si>
  <si>
    <t xml:space="preserve">The Time Off Service Date for the ~Worker.~</t>
  </si>
  <si>
    <t xml:space="preserve">Time Offs Without Status</t>
  </si>
  <si>
    <t xml:space="preserve">Returns all Time offs without statuses</t>
  </si>
  <si>
    <t xml:space="preserve">The time zone of the location of a worker's primary position.</t>
  </si>
  <si>
    <t xml:space="preserve">Timesheet Periods Not Reported by Worker for Date Range</t>
  </si>
  <si>
    <t xml:space="preserve">The timesheet periods not reported by a worker for a given date range.</t>
  </si>
  <si>
    <t xml:space="preserve">Title of Guest or Recipient or Passenger</t>
  </si>
  <si>
    <t xml:space="preserve">Title of Expense Participant.</t>
  </si>
  <si>
    <t xml:space="preserve">Title Override for Primary Academic Appointment</t>
  </si>
  <si>
    <t xml:space="preserve">The Title Override text for the Worker's primary Academic Appointment.  The primary flag is located on the appointment's Identifier.</t>
  </si>
  <si>
    <t xml:space="preserve">Top Dimension Hierarchy</t>
  </si>
  <si>
    <t xml:space="preserve">The plan Dimension Hierarchies.</t>
  </si>
  <si>
    <t xml:space="preserve">Report Effective Date</t>
  </si>
  <si>
    <t xml:space="preserve">Top Supervisory Organizations Managed by Worker</t>
  </si>
  <si>
    <t xml:space="preserve">The supervisory organizations managed by the Worker. Doesn't include subordinate or inherited organizations.</t>
  </si>
  <si>
    <t xml:space="preserve">Total Base Pay - Amount (Benefit Jobs)</t>
  </si>
  <si>
    <t xml:space="preserve">The base pay for an employee's benefit jobs.  This is the sum of an employee's compensation element amounts that are considered base pay.  The number is represented in the currency and frequency of the employee's compensation grade profile, or compensation grade if no compensation grade profile exists.</t>
  </si>
  <si>
    <t xml:space="preserve">Total Base Pay - Frequency Behavior</t>
  </si>
  <si>
    <t xml:space="preserve">The frequency behavior (workday owned) associated with the employee's primary job base pay.</t>
  </si>
  <si>
    <t xml:space="preserve">This is the market position for the base pay of an employee's primary job.</t>
  </si>
  <si>
    <t xml:space="preserve">Total Base Pay - Payroll</t>
  </si>
  <si>
    <t xml:space="preserve">The payroll system's notion of base pay. Base pay shows up as such in a single amount on the pay check. All other compensation will show up as additional pay with a separate line item on the pay check.</t>
  </si>
  <si>
    <t xml:space="preserve">Total Base Pay - Payroll (Benefit Jobs)</t>
  </si>
  <si>
    <t xml:space="preserve">The payroll system's notion of base pay. Base pay shows up as such in a single amount on the pay check. All other compensation will show up as additional pay with a separate line item on the pay check. Sums up pay for the worker's benefit jobs.</t>
  </si>
  <si>
    <t xml:space="preserve">Total Base Pay Amount</t>
  </si>
  <si>
    <t xml:space="preserve">The annualized base pay for an employee's primary job. Workday adds the base pay compensation elements together and displays the amount in the tenant's default currency.</t>
  </si>
  <si>
    <t xml:space="preserve">Total Base Pay Annualized - Amount (Benefit Jobs)</t>
  </si>
  <si>
    <t xml:space="preserve">The annualized base pay for an employee's benefit jobs.  This is the sum of an employee's compensation elements that are considered base pay.  The number is annualized and represented in the currency of the employee's compensation grade profile, or compensation grade if no compensation grade profile exists.</t>
  </si>
  <si>
    <t xml:space="preserve">Total Base Pay Annualized - Currency</t>
  </si>
  <si>
    <t xml:space="preserve">The currency associated with the employee's annualized base pay.</t>
  </si>
  <si>
    <t xml:space="preserve">Total Base Pay Annualized - Frequency</t>
  </si>
  <si>
    <t xml:space="preserve">The frequency associated with the employee's annualized base pay. Returns the "Annual" Frequency.</t>
  </si>
  <si>
    <t xml:space="preserve">Total Base Pay Annualized - Market Range</t>
  </si>
  <si>
    <t xml:space="preserve">Returns the annualized total base pay market range for an employee's primary job.</t>
  </si>
  <si>
    <t xml:space="preserve">Total Base Pay Annualized Amount</t>
  </si>
  <si>
    <t xml:space="preserve">The annualized base pay for an employee's primary job based on the payroll period end date.  This is the sum of an employee's compensation elements that are considered base pay.  The number is annualized and represented in the currency of the employee's compensation grade profile, or compensation grade if no compensation grade profile exists.</t>
  </si>
  <si>
    <t xml:space="preserve">Total Base Pay Annualized in Reporting Currency - Amount</t>
  </si>
  <si>
    <t xml:space="preserve">The annualized base pay for an employee's primary job.  This is calculated by taking the sum of an employee's compensation elements that are considered base pay.  The number is annualized and represented in the standard currency for the Workday system.</t>
  </si>
  <si>
    <t xml:space="preserve">Total Base Pay Annualized in Reporting Currency - Currency</t>
  </si>
  <si>
    <t xml:space="preserve">Total Base Pay Annualized in Reporting Currency - Frequency</t>
  </si>
  <si>
    <t xml:space="preserve">Total Base Pay Competitive Target Annualized - Amount</t>
  </si>
  <si>
    <t xml:space="preserve">This is the base pay competitive market target amount for an employee's primary job profile. The currency will be based on the worker's base pay currency.</t>
  </si>
  <si>
    <t xml:space="preserve">Total Base Pay Competitive Target Annualized in Reporting Currency - Amount</t>
  </si>
  <si>
    <t xml:space="preserve">This is the base pay competitive market target amount for an employee's primary job profile. The currency will be based on the worker's reporting currency.</t>
  </si>
  <si>
    <t xml:space="preserve">Total Base Pay for Multi Job - Amount</t>
  </si>
  <si>
    <t xml:space="preserve">The base pay for an employee's jobs.  This is the sum of an employee's compensation element amounts that are considered base pay.  The number is represented in the currency and frequency of the employee's compensation grade profile, or compensation grade if no compensation grade profile exists.</t>
  </si>
  <si>
    <t xml:space="preserve">Total Base Pay for Multi Job - Currency</t>
  </si>
  <si>
    <t xml:space="preserve">The currency associated with the employee's primary job base pay.  Used in amount conversions.</t>
  </si>
  <si>
    <t xml:space="preserve">Total Base Pay for Multi Job - Frequency</t>
  </si>
  <si>
    <t xml:space="preserve">The frequency associated with the employee's primary job.  Used in multi job conversions.</t>
  </si>
  <si>
    <t xml:space="preserve">Total Base Pay for Multi Job Annualized - Amount</t>
  </si>
  <si>
    <t xml:space="preserve">The annualized base pay for all employee's jobs.  This is the sum of an employee's compensation elements that are considered base pay.  The number is annualized and represented in the currency of the employee's primary compensation grade profile, or compensation grade if no compensation grade profile exists.</t>
  </si>
  <si>
    <t xml:space="preserve">Total Base Pay for Multi Job Annualized - Currency</t>
  </si>
  <si>
    <t xml:space="preserve">Total Base Pay for Multi Job Annualized - Frequency</t>
  </si>
  <si>
    <t xml:space="preserve">The Annual frequency.</t>
  </si>
  <si>
    <t xml:space="preserve">Total Base Pay for Multi Job Annualized in Reporting Currency - Amount</t>
  </si>
  <si>
    <t xml:space="preserve">The annualized base pay for all employee's jobs.  This is the sum of an employee's compensation elements that are considered base pay.  The number is annualized and represented in the reporting currency for the Workday system.</t>
  </si>
  <si>
    <t xml:space="preserve">Total Base Pay for Multi Job Annualized in Reporting Currency - Currency</t>
  </si>
  <si>
    <t xml:space="preserve">Total Base Pay for Multi Job Annualized in Reporting Currency - Frequency</t>
  </si>
  <si>
    <t xml:space="preserve">Total Base Pay Frequency</t>
  </si>
  <si>
    <t xml:space="preserve">The frequency associated with the employee's primary job base pay based on the payroll period end date.</t>
  </si>
  <si>
    <t xml:space="preserve">Total Blended FTE</t>
  </si>
  <si>
    <t xml:space="preserve">Returns the sum of full time equivalents for all of the worker's  jobs.  This incorporates the percent of year factor setting from Academic Pay's  Annual Work Period. Will also  return proper results when worker has just one job and/or a full year work period.</t>
  </si>
  <si>
    <t xml:space="preserve">Total Blended FTE (Benefit Jobs)</t>
  </si>
  <si>
    <t xml:space="preserve">Returns the sum of full time equivalents for all of the worker's  benefit jobs.  This incorporates the percent of year factor setting from Academic Pay's  Annual Work Period. Will also  return proper results when worker has just one job and/or a full year work period.</t>
  </si>
  <si>
    <t xml:space="preserve">Total Blended FTE as of Period End Date</t>
  </si>
  <si>
    <t xml:space="preserve">Returns the Total Blended FTE for a worker as of the period end date.</t>
  </si>
  <si>
    <t xml:space="preserve">Total Blended FTE as of Period Start Date</t>
  </si>
  <si>
    <t xml:space="preserve">Returns the Total Blended FTE for a worker as of the period start date.</t>
  </si>
  <si>
    <t xml:space="preserve">Total Cash - Market Position</t>
  </si>
  <si>
    <t xml:space="preserve">This is the market position for the total cash of an employee's primary job.</t>
  </si>
  <si>
    <t xml:space="preserve">Total Cash Annualized - Market Range</t>
  </si>
  <si>
    <t xml:space="preserve">Returns the annualized total base pay market range for an employee's primary The currency is based on the primary compensation basis.</t>
  </si>
  <si>
    <t xml:space="preserve">Total Cash Competitive Target Annualized - Amount</t>
  </si>
  <si>
    <t xml:space="preserve">This is the total cash competitive market target amount for an employee's primary compensation basis. The currency is based on the primary compensation basis.</t>
  </si>
  <si>
    <t xml:space="preserve">Total Cash Competitive Target Annualized in Reporting Currency - Amount</t>
  </si>
  <si>
    <t xml:space="preserve">Returns Total Cash Competitive Market Target annualized amount for an Employee's Primary Compensation Basis. The Currency is based on the processing person's Tenant Currency.</t>
  </si>
  <si>
    <t xml:space="preserve">Total Compensation</t>
  </si>
  <si>
    <t xml:space="preserve">Returns the total compensation of the worker based on the given configurations: 1. Include Base Pay 2. Include Commission 3. Include Allowances 4. Include One-Time Payments 5. Currency  These prompts will be added to reports that this field is used in.</t>
  </si>
  <si>
    <t xml:space="preserve">Include One-Time Payments</t>
  </si>
  <si>
    <t xml:space="preserve">Total Credit</t>
  </si>
  <si>
    <t xml:space="preserve">The Total Credit is the sum of credits awarded to an employee during the enrollment process. This amount will likely change as offerings are chosen and will be final when the employee completes enrollment.</t>
  </si>
  <si>
    <t xml:space="preserve">Total Daily Balance</t>
  </si>
  <si>
    <t xml:space="preserve">Displays the total balance for all daily plans eligible for a worker.</t>
  </si>
  <si>
    <t xml:space="preserve">Total Family Count for Medicare Part A</t>
  </si>
  <si>
    <t xml:space="preserve">The total number of family members who are enrolled in Medicare Part A. Worker and Spouse are included if they are enrolled in Medicare Part A or are age 65 or older as of today. A family member is enrolled if the effective date, where the report field is used, is on or after the Part A effective date and on or before any existing Part A termination date.</t>
  </si>
  <si>
    <t xml:space="preserve">Total Flex Credits</t>
  </si>
  <si>
    <t xml:space="preserve">The sum of all Group Level (General, Waived, Enrolled, and Eligible) and Plan Level credits for this worker</t>
  </si>
  <si>
    <t xml:space="preserve">Total FTE</t>
  </si>
  <si>
    <t xml:space="preserve">Returns the full time equivalent for the worker across all of their positions.</t>
  </si>
  <si>
    <t xml:space="preserve">Total FTE % for Multi Job</t>
  </si>
  <si>
    <t xml:space="preserve">The full time equivalent for the worker across all of their positions represented as a percentage.  999.99% is the maximum value we display for this FTE.</t>
  </si>
  <si>
    <t xml:space="preserve">Total FTE % for Multi Job (Not Secured By Position)</t>
  </si>
  <si>
    <t xml:space="preserve">Indexed Version for - The full time equivalent for the worker across all of their positions represented as a percentage.  999.99% is the maximum value we display for this FTE.</t>
  </si>
  <si>
    <t xml:space="preserve">Total FTE (Benefit Jobs)</t>
  </si>
  <si>
    <t xml:space="preserve">The full time equivalent for the worker across all of their benefit jobs.  999.9999 is the maximum value we display for this FTE.</t>
  </si>
  <si>
    <t xml:space="preserve">Total FTE for Multi Job</t>
  </si>
  <si>
    <t xml:space="preserve">The full time equivalent for the worker across all of their positions.  999.9999 is the maximum value we display for this FTE.</t>
  </si>
  <si>
    <t xml:space="preserve">Total Hourly Balance</t>
  </si>
  <si>
    <t xml:space="preserve">Displays the total balance for all hourly plans eligible for a worker.</t>
  </si>
  <si>
    <t xml:space="preserve">Total Hours in Period</t>
  </si>
  <si>
    <t xml:space="preserve">The total number of hours the worker reported on project timesheets that are within the period or periods identified by the date range passed by the report as parameters.  Excludes canceled timesheets.</t>
  </si>
  <si>
    <t xml:space="preserve">Total Number of Tobacco Users</t>
  </si>
  <si>
    <t xml:space="preserve">Returns the total number of tobacco users (worker &amp; dependents).</t>
  </si>
  <si>
    <t xml:space="preserve">Total Paid FTE % for All Positions</t>
  </si>
  <si>
    <t xml:space="preserve">The paid full time equivalent percentage for the worker across all of their positions. The maximum is 999.99%.</t>
  </si>
  <si>
    <t xml:space="preserve">Total Paid FTE for All Positions</t>
  </si>
  <si>
    <t xml:space="preserve">The paid full time equivalent for the worker across all of their positions. The maximum is 999.9999.</t>
  </si>
  <si>
    <t xml:space="preserve">Total Pay - Amount</t>
  </si>
  <si>
    <t xml:space="preserve">The sum of an employee's compensation elements.  The number is represented in the currency and frequency of the employee's compensation grade profile, or compensation grade if no compensation grade profile exists.</t>
  </si>
  <si>
    <t xml:space="preserve">Total Pay - Currency</t>
  </si>
  <si>
    <t xml:space="preserve">The currency associated with the employee's total pay.</t>
  </si>
  <si>
    <t xml:space="preserve">Total Pay - Frequency</t>
  </si>
  <si>
    <t xml:space="preserve">The frequency associated with the employee's total pay.</t>
  </si>
  <si>
    <t xml:space="preserve">Total Pay Annualized - Amount</t>
  </si>
  <si>
    <t xml:space="preserve">The annualized total pay for an employee's primary job.  This is the sum of an employee's compensation elements.  The number is annualized and represented in the currency of the employee's primary compensation grade profile, or compensation grade if no compensation grade profile exists.</t>
  </si>
  <si>
    <t xml:space="preserve">Total Pay Annualized - Currency</t>
  </si>
  <si>
    <t xml:space="preserve">The currency associated with the employee's annualized total pay.</t>
  </si>
  <si>
    <t xml:space="preserve">Total Pay Annualized - Frequency</t>
  </si>
  <si>
    <t xml:space="preserve">The frequency associated with the employee's annualized total pay. Returns the "Annual" Frequency.</t>
  </si>
  <si>
    <t xml:space="preserve">Total Pay Annualized in Reporting Currency - Amount</t>
  </si>
  <si>
    <t xml:space="preserve">The annualized total pay for an employee.  This is calculated by taking the sum of an employee's compensation elements.  The number is annualized and represented in the reporting currency for the Workday system.</t>
  </si>
  <si>
    <t xml:space="preserve">Total Pay Annualized in Reporting Currency - Currency</t>
  </si>
  <si>
    <t xml:space="preserve">Total Pay Annualized in Reporting Currency - Frequency</t>
  </si>
  <si>
    <t xml:space="preserve">Total Pay for Multi Job - Amount</t>
  </si>
  <si>
    <t xml:space="preserve">The sum of an employee's compensation elements for all jobs.  The number is represented in the currency of the employee's primary compensation grade profile, or compensation grade if no compensation grade profile exists.</t>
  </si>
  <si>
    <t xml:space="preserve">Total Pay for Multi Job - Currency</t>
  </si>
  <si>
    <t xml:space="preserve">Total Pay for Multi Job - Frequency</t>
  </si>
  <si>
    <t xml:space="preserve">The frequency associated with the employee's primary job.</t>
  </si>
  <si>
    <t xml:space="preserve">Total Pay for Multi Job Annualized - Amount</t>
  </si>
  <si>
    <t xml:space="preserve">The annualized total pay for an employee.  This is the sum of an employee's compensation elements.  The number is annualized and represented in the currency of the employee's primary compensation grade profile, or compensation grade if no compensation grade profile exists.</t>
  </si>
  <si>
    <t xml:space="preserve">Total Pay for Multi Job Annualized - Currency</t>
  </si>
  <si>
    <t xml:space="preserve">Total Pay for Multi Job Annualized - Frequency</t>
  </si>
  <si>
    <t xml:space="preserve">The frequency associated with the employee's primary job.  Used in annualization conversion. Returns the "Annual" Frequency.</t>
  </si>
  <si>
    <t xml:space="preserve">Total Pay for Multi Job Annualized in Reporting Currency - Amount</t>
  </si>
  <si>
    <t xml:space="preserve">The annualized total pay for an employee.  This is the sum of an employee's compensation elements.  The number is annualized and represented in the reporting currency for the Workday system.</t>
  </si>
  <si>
    <t xml:space="preserve">Total Pay for Multi Job Annualized in Reporting Currency - Currency</t>
  </si>
  <si>
    <t xml:space="preserve">Total Pay for Multi Job Annualized in Reporting Currency - Frequency</t>
  </si>
  <si>
    <t xml:space="preserve">Total Pay for P45</t>
  </si>
  <si>
    <t xml:space="preserve">Returns Worker's total pay to date for P45.</t>
  </si>
  <si>
    <t xml:space="preserve">Total Pay to Date in this Employment for P45</t>
  </si>
  <si>
    <t xml:space="preserve">Returns worker's total pay for employment for which P45 applies.</t>
  </si>
  <si>
    <t xml:space="preserve">Total Project Hours in Date Range</t>
  </si>
  <si>
    <t xml:space="preserve">The total hours for a worker within a date range.  Includes hours filtered by projects passed by the report parameters.  Excludes canceled timesheet status. Total Project Hours include hours reported in Time Tracking.</t>
  </si>
  <si>
    <t xml:space="preserve">Total Project Timesheet Hours - Submitted or Approved</t>
  </si>
  <si>
    <t xml:space="preserve">The total number of hours submitted or approved across multiple projects within the specified period determined by the date range passed by the report as parameters.  Requires Start Date and End Date as parameters.  Includes all Submitted or Approved timesheets.  Note: the hours included in the total is for the date range specified and will not include all hours in the period if only partial date range is provided.</t>
  </si>
  <si>
    <t xml:space="preserve">Total Rewards</t>
  </si>
  <si>
    <t xml:space="preserve">The total rewards amount for the total rewards template assigned to a worker.</t>
  </si>
  <si>
    <t xml:space="preserve">Total Rewards in Specified Currency</t>
  </si>
  <si>
    <t xml:space="preserve">The annualized total rewards amount for the total rewards template assigned to a worker in the specified currency.</t>
  </si>
  <si>
    <t xml:space="preserve">The total rewards items from each section of a Worker's Total Rewards Statement.</t>
  </si>
  <si>
    <t xml:space="preserve">Total Scheduled Weekly Hours for Multi Job</t>
  </si>
  <si>
    <t xml:space="preserve">The total scheduled weekly hours across all of a worker's positions.</t>
  </si>
  <si>
    <t xml:space="preserve">Total Scheduled Weekly Hours for Multi-Job (Benefits)</t>
  </si>
  <si>
    <t xml:space="preserve">Returns the total scheduled hours for all of the worker's positions (or all positions used for benefit eligibility).</t>
  </si>
  <si>
    <t xml:space="preserve">Total Tax for P45</t>
  </si>
  <si>
    <t xml:space="preserve">Returns Worker's total tax to date for P45.</t>
  </si>
  <si>
    <t xml:space="preserve">Total Tax to Date in this Employment for P45</t>
  </si>
  <si>
    <t xml:space="preserve">Returns worker's total tax for employment for which P45 applies.</t>
  </si>
  <si>
    <t xml:space="preserve">Total Time Attendance Points for Worker on Current day</t>
  </si>
  <si>
    <t xml:space="preserve">Total Time Attendance Points (Unexpired and Unjustified ) for Worker on current day. CRF may return "999999" as a guardrail for customers who forget to run the "Calculate Time Attendance Points for Worker for Compensation" prior to giving out bonus.</t>
  </si>
  <si>
    <t xml:space="preserve">Compensation Eligibility</t>
  </si>
  <si>
    <t xml:space="preserve">Total Time Off Units Corrected for Worker for Time Off for Period</t>
  </si>
  <si>
    <t xml:space="preserve">The total number of units corrected for a request for a given period prior to submission.</t>
  </si>
  <si>
    <t xml:space="preserve">Time Off Date to Exclude</t>
  </si>
  <si>
    <t xml:space="preserve">Total Working FTE % for All Positions</t>
  </si>
  <si>
    <t xml:space="preserve">The working full time equivalent percentage for the worker across all of their positions. The maximum is 999.99%.</t>
  </si>
  <si>
    <t xml:space="preserve">Total Working FTE for All Positions</t>
  </si>
  <si>
    <t xml:space="preserve">The working full time equivalent for the worker across all of their positions. The maximum is 999.9999.</t>
  </si>
  <si>
    <t xml:space="preserve">Total Years Experience (Text)</t>
  </si>
  <si>
    <t xml:space="preserve">The total number years of working experience for a candidate.</t>
  </si>
  <si>
    <t xml:space="preserve">Track Type Category Group</t>
  </si>
  <si>
    <t xml:space="preserve">All Academic Track Type Category Groups from the worker's current Academic Appointments. The "effective date" can be specified to return data that is current as of that date.  If not specified, the current date is used.</t>
  </si>
  <si>
    <t xml:space="preserve">Track Type Category Group for Primary Appointment</t>
  </si>
  <si>
    <t xml:space="preserve">Returns the Track Type Category for the Track Type assigned to the worker's Primary Appointment.</t>
  </si>
  <si>
    <t xml:space="preserve">Contains the training that a worker has taken.</t>
  </si>
  <si>
    <t xml:space="preserve">Training Section</t>
  </si>
  <si>
    <t xml:space="preserve">Returns True when the user has access to the Training Section.</t>
  </si>
  <si>
    <t xml:space="preserve">Travel Additional Information</t>
  </si>
  <si>
    <t xml:space="preserve">The additional information about the employee's willingness to travel.</t>
  </si>
  <si>
    <t xml:space="preserve">The current travel information for the employee.</t>
  </si>
  <si>
    <t xml:space="preserve">Travel Preference - Last Updated</t>
  </si>
  <si>
    <t xml:space="preserve">The last date the employee's travel preference information was updated.</t>
  </si>
  <si>
    <t xml:space="preserve">Travel Preferences Section</t>
  </si>
  <si>
    <t xml:space="preserve">Returns True when the user has access to the Travel Preferences Section.</t>
  </si>
  <si>
    <t xml:space="preserve">Trended Worker Organization 1</t>
  </si>
  <si>
    <t xml:space="preserve">Returns an organization for a worker matching the selection criteria specified in the Maintain Trended Worker Organizations configuration. This report field returns a single organization instance.</t>
  </si>
  <si>
    <t xml:space="preserve">Trended Worker Organization 10</t>
  </si>
  <si>
    <t xml:space="preserve">Trended Worker Organization 2</t>
  </si>
  <si>
    <t xml:space="preserve">Trended Worker Organization 3</t>
  </si>
  <si>
    <t xml:space="preserve">Trended Worker Organization 4</t>
  </si>
  <si>
    <t xml:space="preserve">Trended Worker Organization 5</t>
  </si>
  <si>
    <t xml:space="preserve">Trended Worker Organization 6</t>
  </si>
  <si>
    <t xml:space="preserve">Trended Worker Organization 7</t>
  </si>
  <si>
    <t xml:space="preserve">Trended Worker Organization 8</t>
  </si>
  <si>
    <t xml:space="preserve">Trended Worker Organization 9</t>
  </si>
  <si>
    <t xml:space="preserve">Tricare Other Health Care Insurance</t>
  </si>
  <si>
    <t xml:space="preserve">This is the CRF for Tricare Other Health Care Insurance for Worker</t>
  </si>
  <si>
    <t xml:space="preserve">TT ESI Latest End Date Position</t>
  </si>
  <si>
    <t xml:space="preserve">TT LOR GBL Worker Timekeeper (Local)</t>
  </si>
  <si>
    <t xml:space="preserve">TT LOR GBL Worker Timekeeper (Supervisory)</t>
  </si>
  <si>
    <t xml:space="preserve">TT LRV Latest Employment Date (Worker)</t>
  </si>
  <si>
    <t xml:space="preserve">UK NI Category Missing</t>
  </si>
  <si>
    <t xml:space="preserve">Payroll UK Returns true if the Worker in context does not have NI Category effective in between the Worker Payroll ID Effective Date and the Current Effective Moment</t>
  </si>
  <si>
    <t xml:space="preserve">UK Payroll ID as of Payment Date for Worker</t>
  </si>
  <si>
    <t xml:space="preserve">Returns Payroll ID as of payment date for Worker This CRF takes in period as a required parm to return payroll ID based on payment date as effective date.</t>
  </si>
  <si>
    <t xml:space="preserve">UK Tax Details Missing</t>
  </si>
  <si>
    <t xml:space="preserve">Payroll UK Returns true if the Worker in context does not have Tax Details effective in between the Worker Payroll ID Effective Date and the Current Effective Moment</t>
  </si>
  <si>
    <t xml:space="preserve">Unexpired Certification Achievements</t>
  </si>
  <si>
    <t xml:space="preserve">The worker's certifications that haven't expired yet.</t>
  </si>
  <si>
    <t xml:space="preserve">The Uniform Service Reserve Status for the person.</t>
  </si>
  <si>
    <t xml:space="preserve">Uniform Service Reserve Status (Locale Sensitive)</t>
  </si>
  <si>
    <t xml:space="preserve">The Uniform Service Reserve Status for the person. The value is based on the localization setting for worker.</t>
  </si>
  <si>
    <t xml:space="preserve">Contains the Union Member details for each union the worker is associated with.</t>
  </si>
  <si>
    <t xml:space="preserve">Contains Union Membership Events that have been issued for the worker</t>
  </si>
  <si>
    <t xml:space="preserve">Unions Active and Paid Dues</t>
  </si>
  <si>
    <t xml:space="preserve">Contains the Unions that the Worker is Active in and is Paying Dues in.</t>
  </si>
  <si>
    <t xml:space="preserve">Unions All</t>
  </si>
  <si>
    <t xml:space="preserve">Contains all Unions that the worker is associated with;regardless of membership status.</t>
  </si>
  <si>
    <t xml:space="preserve">Unions as of Leave Start Date</t>
  </si>
  <si>
    <t xml:space="preserve">Returns the unions the worker is a member as of the leave start date.</t>
  </si>
  <si>
    <t xml:space="preserve">Unions as of Period End Date</t>
  </si>
  <si>
    <t xml:space="preserve">Returns the unions the worker is a member as of period end date.</t>
  </si>
  <si>
    <t xml:space="preserve">Unions as of Period Start Date</t>
  </si>
  <si>
    <t xml:space="preserve">Returns the unions the worker is a member as of period start date.</t>
  </si>
  <si>
    <t xml:space="preserve">Unions as of Sub Period End Date</t>
  </si>
  <si>
    <t xml:space="preserve">Returns the unions the worker is a member as of the Sub Period End Date, if Sub Period End Date is available; if not available it is as of the Period End Date.</t>
  </si>
  <si>
    <t xml:space="preserve">Unions Paid Dues</t>
  </si>
  <si>
    <t xml:space="preserve">Contains the Unions in which the worker is currently paying dues.</t>
  </si>
  <si>
    <t xml:space="preserve">Unit Salary Plan Assignment Details</t>
  </si>
  <si>
    <t xml:space="preserve">This field provides a text representation of the Unit Salary plans assigned to the worker.</t>
  </si>
  <si>
    <t xml:space="preserve">Unit Salary Plan Assignments</t>
  </si>
  <si>
    <t xml:space="preserve">Provides the context link between the worker and compensation plan assignment business objects. This field specifically provides a link to the unit salary plans assigned to an employee. Linked fields cannot be used in reports as fields, and should only be used as related business objects in reports.</t>
  </si>
  <si>
    <t xml:space="preserve">Unnamed Resource on the Project Resource.</t>
  </si>
  <si>
    <t xml:space="preserve">Upcoming Pay Period Start Date</t>
  </si>
  <si>
    <t xml:space="preserve">The start date of the next regular pay period that hasn't begun for the worker 's primary position.</t>
  </si>
  <si>
    <t xml:space="preserve">URSSAF Name</t>
  </si>
  <si>
    <t xml:space="preserve">The name of the URSSAF organization for the worker's establishment, as of the calculation moment.</t>
  </si>
  <si>
    <t xml:space="preserve">URSSAF SIRET</t>
  </si>
  <si>
    <t xml:space="preserve">The URSSAF SIRET for the worker's establishment, as of the calculation moment.</t>
  </si>
  <si>
    <t xml:space="preserve">US Federal Retirement Plan Code</t>
  </si>
  <si>
    <t xml:space="preserve">The code corresponding to the US Federal Office of Personnel Management retirement plan.</t>
  </si>
  <si>
    <t xml:space="preserve">Use Benefit Jobs (Manual Task)</t>
  </si>
  <si>
    <t xml:space="preserve">True if worker's benefit eligibility can be based on Benefit Jobs</t>
  </si>
  <si>
    <t xml:space="preserve">Contains information about user-based security group assignments.</t>
  </si>
  <si>
    <t xml:space="preserve">Users with Incorrect Notification Preferences</t>
  </si>
  <si>
    <t xml:space="preserve">Users who have an incorrect notification preferences frequency for at least 1 notification category.</t>
  </si>
  <si>
    <t xml:space="preserve">Uses Benefit Jobs Rule</t>
  </si>
  <si>
    <t xml:space="preserve">Indicates if the worker uses Benefit Jobs Rule to determine Benefits Eligibility</t>
  </si>
  <si>
    <t xml:space="preserve">Uses Primary Home Address as Primary Work Address</t>
  </si>
  <si>
    <t xml:space="preserve">Returns true when the workers primary home address is the same as their primary work address.</t>
  </si>
  <si>
    <t xml:space="preserve">Uses Tobacco</t>
  </si>
  <si>
    <t xml:space="preserve">Returns true if the worker specified that they had used tobacco in any form in the last 12 months.</t>
  </si>
  <si>
    <t xml:space="preserve">Uses Tobacco Date</t>
  </si>
  <si>
    <t xml:space="preserve">Returns the effective date of the worker's use tobacco selection</t>
  </si>
  <si>
    <t xml:space="preserve">Using Compensation Steps</t>
  </si>
  <si>
    <t xml:space="preserve">The Employee has an employee compensation that uses compensation steps.</t>
  </si>
  <si>
    <t xml:space="preserve">Vaccinations</t>
  </si>
  <si>
    <t xml:space="preserve">The vaccinations received by the worker.</t>
  </si>
  <si>
    <t xml:space="preserve">Valid for Candidate Account Creation</t>
  </si>
  <si>
    <t xml:space="preserve">Candidate is eligible for registered Candidate Home account.</t>
  </si>
  <si>
    <t xml:space="preserve">Variable Compensation Basis - Amount</t>
  </si>
  <si>
    <t xml:space="preserve">The variable compensation basis amount for an employee, where the variable compensation basis is the one used by the employee's primary compensation basis.  The number is represented in the currency and frequency of the employee's compensation grade profile, or compensation grade if no compensation grade profile exists.</t>
  </si>
  <si>
    <t xml:space="preserve">Vesting Date</t>
  </si>
  <si>
    <t xml:space="preserve">The Vesting Date for the Worker.</t>
  </si>
  <si>
    <t xml:space="preserve">The Workday-delivered value for veteran status based on the most recent veteran status that was selected on the Veteran Status Identification form.</t>
  </si>
  <si>
    <t xml:space="preserve">Veteran Status Identification Discharge Date</t>
  </si>
  <si>
    <t xml:space="preserve">The veteran discharge date selected on the Veteran Status Identification form</t>
  </si>
  <si>
    <t xml:space="preserve">The most recent protected veteran status that was selected on the Veteran Status Identification form</t>
  </si>
  <si>
    <t xml:space="preserve">Veteran Status Identification Submitted by Employee</t>
  </si>
  <si>
    <t xml:space="preserve">Whether the most recent veteran status identification was submitted by the employee.</t>
  </si>
  <si>
    <t xml:space="preserve">The tenanted value for the most recent veteran status that was selected on the Veteran Status Identification form.</t>
  </si>
  <si>
    <t xml:space="preserve">Veteran's Preference</t>
  </si>
  <si>
    <t xml:space="preserve">The Veteran's Preference for the person.</t>
  </si>
  <si>
    <t xml:space="preserve">Veteran's Preference (Locale Sensitive)</t>
  </si>
  <si>
    <t xml:space="preserve">The Veteran's Preference for the person. The value is based on the localization setting for worker.</t>
  </si>
  <si>
    <t xml:space="preserve">Veteran's Preference for RIF</t>
  </si>
  <si>
    <t xml:space="preserve">The Veteran's Preference for reduction in force for the person.</t>
  </si>
  <si>
    <t xml:space="preserve">Veteran's Preference for RIF (Locale Sensitive)</t>
  </si>
  <si>
    <t xml:space="preserve">The Veteran's Preference for reduction in force for the person. The value is based on the localization setting for worker.</t>
  </si>
  <si>
    <t xml:space="preserve">Contains the visas for the worker.</t>
  </si>
  <si>
    <t xml:space="preserve">Visas Displayed With ID Only</t>
  </si>
  <si>
    <t xml:space="preserve">Contains the visas for the worker displayed as ID only</t>
  </si>
  <si>
    <t xml:space="preserve">Waiver Credit</t>
  </si>
  <si>
    <t xml:space="preserve">Waiver Credits are awarded when an employee is eligible for a given offering and declines to participate.</t>
  </si>
  <si>
    <t xml:space="preserve">Watched Company</t>
  </si>
  <si>
    <t xml:space="preserve">True if a company on the prospect or the candidate's most recent job application is being watched. Returns empty if the company is not being watched.</t>
  </si>
  <si>
    <t xml:space="preserve">Returns the candidate web addresses.</t>
  </si>
  <si>
    <t xml:space="preserve">Web Addresses</t>
  </si>
  <si>
    <t xml:space="preserve">Returns the web addresses for the worker.</t>
  </si>
  <si>
    <t xml:space="preserve">Returns either a Yes, No, or Maybe value to indicate if the employee is willing to travel as part of their job.</t>
  </si>
  <si>
    <t xml:space="preserve">Withdrawn</t>
  </si>
  <si>
    <t xml:space="preserve">Returns true if the Candidate is marked Withdrawn.</t>
  </si>
  <si>
    <t xml:space="preserve">this CRF is used to return amount type for a work tag with withholding order case type</t>
  </si>
  <si>
    <t xml:space="preserve">Withholding Orders (Active)</t>
  </si>
  <si>
    <t xml:space="preserve">Contains all withholding orders for a worker active as of the report run date.</t>
  </si>
  <si>
    <t xml:space="preserve">Withholding Orders (All)</t>
  </si>
  <si>
    <t xml:space="preserve">Contains all withholding orders for worker regardless of type and status.</t>
  </si>
  <si>
    <t xml:space="preserve">Work Address - City</t>
  </si>
  <si>
    <t xml:space="preserve">The city from the work address for the worker. If the work address is blank, then uses the city of the primary address from the worker's location.</t>
  </si>
  <si>
    <t xml:space="preserve">Work Address - Country</t>
  </si>
  <si>
    <t xml:space="preserve">The country from the work address for the worker. If the work address is blank, then uses the country of the primary address from the worker's location.</t>
  </si>
  <si>
    <t xml:space="preserve">Work Address - Formatted Line 1</t>
  </si>
  <si>
    <t xml:space="preserve">Line 1 of the formatted work address for the worker. If the work address is blank, then Line 1 of the primary address for the worker's business site location is used.</t>
  </si>
  <si>
    <t xml:space="preserve">Work Address - Formatted Line 2</t>
  </si>
  <si>
    <t xml:space="preserve">Line 2 of the formatted work address for the worker. If the work address is blank, then Line 2 of the primary address for the worker's business site location is used.</t>
  </si>
  <si>
    <t xml:space="preserve">Work Address - Formatted Line 3</t>
  </si>
  <si>
    <t xml:space="preserve">Line 3 of the formatted work address for the worker. If the work address is blank, then Line 3 of the primary address for the worker's business site location is used.</t>
  </si>
  <si>
    <t xml:space="preserve">Work Address - Formatted Line 4</t>
  </si>
  <si>
    <t xml:space="preserve">Line 4 of the formatted work address for the worker. If the work address is blank, then Line 4 of the primary address for the worker's business site location is used.</t>
  </si>
  <si>
    <t xml:space="preserve">Work Address - Full</t>
  </si>
  <si>
    <t xml:space="preserve">The full primary work address for the worker. If blank, then pulls the primary address from the worker's location.</t>
  </si>
  <si>
    <t xml:space="preserve">Work Address - Postal Code</t>
  </si>
  <si>
    <t xml:space="preserve">The postal code from the primary work address for the worker. If the work address is blank, then uses the postal code of the primary address from the worker's location.</t>
  </si>
  <si>
    <t xml:space="preserve">Work Address - State/Province</t>
  </si>
  <si>
    <t xml:space="preserve">The state from the work address for the worker. If the work address is blank, then uses the state of the primary address from the worker's location.</t>
  </si>
  <si>
    <t xml:space="preserve">Work Availability Effective Date</t>
  </si>
  <si>
    <t xml:space="preserve">Displays Worker Scheduling Availability's Effective Date as of the Date parm.</t>
  </si>
  <si>
    <t xml:space="preserve">Contains the work experiences the worker has had at the current company.</t>
  </si>
  <si>
    <t xml:space="preserve">Work Experience Section</t>
  </si>
  <si>
    <t xml:space="preserve">Returns True when the user has access to the Work Experience Section.</t>
  </si>
  <si>
    <t xml:space="preserve">Work History Summary</t>
  </si>
  <si>
    <t xml:space="preserve">Completed events, such as compensation and staffing, specific to the worker.</t>
  </si>
  <si>
    <t xml:space="preserve">Work IM</t>
  </si>
  <si>
    <t xml:space="preserve">Work Instant Messenger id for the worker.</t>
  </si>
  <si>
    <t xml:space="preserve">Work Location for Committee Candidate</t>
  </si>
  <si>
    <t xml:space="preserve">Returns the work location, if it exists, for a committee member candidate.</t>
  </si>
  <si>
    <t xml:space="preserve">Work Phones</t>
  </si>
  <si>
    <t xml:space="preserve">Returns the  work  phone numbers for the worker.</t>
  </si>
  <si>
    <t xml:space="preserve">Work Schedule Calendars</t>
  </si>
  <si>
    <t xml:space="preserve">All Work Schedule Calendars for Worker based on their eligibility.</t>
  </si>
  <si>
    <t xml:space="preserve">The Work Shift from the worker's primary position.</t>
  </si>
  <si>
    <t xml:space="preserve">Work Shift (Benefits)</t>
  </si>
  <si>
    <t xml:space="preserve">The Work Shift from the Worker's Primary Position.</t>
  </si>
  <si>
    <t xml:space="preserve">Work Shifts (Benefit Jobs)</t>
  </si>
  <si>
    <t xml:space="preserve">The work shift of the worker's jobs that are being used as benefit jobs. Workday considers the worker's primary job as a benefit job by default. You can designate additional jobs as benefit jobs if they need to be assessed to determine the worker's benefit eligibility.</t>
  </si>
  <si>
    <t xml:space="preserve">Work Space from Worker Primary Job</t>
  </si>
  <si>
    <t xml:space="preserve">The work space of the worker.</t>
  </si>
  <si>
    <t xml:space="preserve">Work Space from Worker's Primary Job</t>
  </si>
  <si>
    <t xml:space="preserve">The work space of the worker's primary position</t>
  </si>
  <si>
    <t xml:space="preserve">Work Space Level 1</t>
  </si>
  <si>
    <t xml:space="preserve">The work space from the primary employment of the worker.</t>
  </si>
  <si>
    <t xml:space="preserve">Work Space Level 10</t>
  </si>
  <si>
    <t xml:space="preserve">Work Space Level 2</t>
  </si>
  <si>
    <t xml:space="preserve">The work space from primary employment of the worker.</t>
  </si>
  <si>
    <t xml:space="preserve">Work Space Level 3</t>
  </si>
  <si>
    <t xml:space="preserve">Work Space Level 4</t>
  </si>
  <si>
    <t xml:space="preserve">Work Space Level 5</t>
  </si>
  <si>
    <t xml:space="preserve">Work Space Level 6</t>
  </si>
  <si>
    <t xml:space="preserve">Work Space Level 7</t>
  </si>
  <si>
    <t xml:space="preserve">Work Space Level 8</t>
  </si>
  <si>
    <t xml:space="preserve">Work Space Level 9</t>
  </si>
  <si>
    <t xml:space="preserve">Work Tax Jurisdiction Allocations</t>
  </si>
  <si>
    <t xml:space="preserve">Related to ongoing work tax allocations, returns a worker's company, effective date, and allocation status.</t>
  </si>
  <si>
    <t xml:space="preserve">The workday account for the worker.</t>
  </si>
  <si>
    <t xml:space="preserve">Workday ID for Worktag and Dimension</t>
  </si>
  <si>
    <t xml:space="preserve">Returns the Workday ID for a given Accounting Worktag and Aggregation Dimension.</t>
  </si>
  <si>
    <t xml:space="preserve">Workdays in Date Range</t>
  </si>
  <si>
    <t xml:space="preserve">Work Schedule Calendar Events for worker within the date range.</t>
  </si>
  <si>
    <t xml:space="preserve">Worker (across all jobs): Estimated Scheduled Hours for Last 12 Months (based on Scheduled Weekly Hours)</t>
  </si>
  <si>
    <t xml:space="preserve">Estimates a worker's scheduled hours over the last 12 months taking into consideration any scheduled weekly hour changes.  This calculation uses straight calendar days and does not account for weekends, holidays, or breaks for leaves.  This CRF should only be used in a calculated field off Worker business object.</t>
  </si>
  <si>
    <t xml:space="preserve">Worker Accessible by Current User</t>
  </si>
  <si>
    <t xml:space="preserve">This field returns the workers that the current user is secured to access.</t>
  </si>
  <si>
    <t xml:space="preserve">Worker Active</t>
  </si>
  <si>
    <t xml:space="preserve">Identifies if the worker has an active contract as of the current date or the report date you enter.</t>
  </si>
  <si>
    <t xml:space="preserve">Worker Active Consent Values</t>
  </si>
  <si>
    <t xml:space="preserve">The Active Consent business objects that return all effective Active Consent values for a Worker.</t>
  </si>
  <si>
    <t xml:space="preserve">Worker Active Consent Values for Country (Country Securable)</t>
  </si>
  <si>
    <t xml:space="preserve">The Active Consent business objects that return all effective Active Consent values for the most recent  Country (Country Securable) set of Personal Information for a worker.</t>
  </si>
  <si>
    <t xml:space="preserve">Worker Active Consent Values for Primary Position</t>
  </si>
  <si>
    <t xml:space="preserve">The Active Consent business objects that return all effective Active Consent values for a Worker's primary position.</t>
  </si>
  <si>
    <t xml:space="preserve">Contains the custom objects associated with the Workday object "Worker (Effective Dated)" for the Worker. Note that the data returned associated with this field are "effective date" aware. Entering an effective date at run time will control what data is returned.</t>
  </si>
  <si>
    <t xml:space="preserve">Worker Address Line – ADP Check Print Integration</t>
  </si>
  <si>
    <t xml:space="preserve">Returns Address Line 1 of the Worker Address field as shown on the ADP Check Print Integration System.</t>
  </si>
  <si>
    <t xml:space="preserve">Worker Age 65 or Older</t>
  </si>
  <si>
    <t xml:space="preserve">True when the worker is 65 or older, as of the effective date.</t>
  </si>
  <si>
    <t xml:space="preserve">The worker's annual federal tax elections for Canada.</t>
  </si>
  <si>
    <t xml:space="preserve">The worker's annual provincial tax election.</t>
  </si>
  <si>
    <t xml:space="preserve">Worker Base Standard Cost Rate</t>
  </si>
  <si>
    <t xml:space="preserve">The hourly standard cost rate for the worker from the standard cost rate sheet.</t>
  </si>
  <si>
    <t xml:space="preserve">The billing rate for the worker.</t>
  </si>
  <si>
    <t xml:space="preserve">Returns Bonus - Regular Taxable Wages Override Tax Elections for a Worker. Optionally accepts Start and End Date/s to return Tax Elections effective in the date range.</t>
  </si>
  <si>
    <t xml:space="preserve">Worker Calibration Event In Progress</t>
  </si>
  <si>
    <t xml:space="preserve">The in-progress calibration event for a worker.</t>
  </si>
  <si>
    <t xml:space="preserve">Worker Calibration Events</t>
  </si>
  <si>
    <t xml:space="preserve">Provides all completed worker calibration events for a worker.</t>
  </si>
  <si>
    <t xml:space="preserve">Worker Certifications as of Leave Start Date</t>
  </si>
  <si>
    <t xml:space="preserve">Returns all the certifications that the worker has been issued as of the Leave Start Date.</t>
  </si>
  <si>
    <t xml:space="preserve">Worker Certifications as of Period End Date</t>
  </si>
  <si>
    <t xml:space="preserve">Returns all the certifications that the worker has been issued as of the Period End Date.</t>
  </si>
  <si>
    <t xml:space="preserve">Worker Certifications as of Period Start Date</t>
  </si>
  <si>
    <t xml:space="preserve">Returns all the certifications that the worker has been issued as of the Period Start Date.</t>
  </si>
  <si>
    <t xml:space="preserve">Worker CNESST Tax Elections</t>
  </si>
  <si>
    <t xml:space="preserve">The worker's Quebec Commission des normes, de l'équité, de la santé et de la sécurité du travail (CNESST) tax election.</t>
  </si>
  <si>
    <t xml:space="preserve">Worker CPP Tax Elections</t>
  </si>
  <si>
    <t xml:space="preserve">The worker's Canada pension plan tax election.</t>
  </si>
  <si>
    <t xml:space="preserve">Worker Date of Most Recent Country Location Change as Period End Date</t>
  </si>
  <si>
    <t xml:space="preserve">The date of the worker's most recent country location change as of Period End Date. If there are no country location changes, Workday uses the hire date.</t>
  </si>
  <si>
    <t xml:space="preserve">Worker Date of Most Recent Country Location Change as Period Start Date</t>
  </si>
  <si>
    <t xml:space="preserve">The date of the worker's most recent country location change as of Period Start Date. If there are no country location changes, Workday uses the hire date.</t>
  </si>
  <si>
    <t xml:space="preserve">Worker Date of Recent Country Location Change as of Period End Date</t>
  </si>
  <si>
    <t xml:space="preserve">Worker Date of Recent Country Location Change as of Period Start Date</t>
  </si>
  <si>
    <t xml:space="preserve">Worker Default Payroll Resident State or Payroll Resident State from Off-cycle Override</t>
  </si>
  <si>
    <t xml:space="preserve">Default Resident State Tax Authority or from Off-cycle Override</t>
  </si>
  <si>
    <t xml:space="preserve">Off-cycle Override</t>
  </si>
  <si>
    <t xml:space="preserve">Worker Default Payroll Work State or Payroll Work State from Off-cycle Override</t>
  </si>
  <si>
    <t xml:space="preserve">Default Work State Tax Authority or from Off-cycle Override</t>
  </si>
  <si>
    <t xml:space="preserve">Worker Documents</t>
  </si>
  <si>
    <t xml:space="preserve">The Worker Documents stored for the worker that are accessible by the current user.</t>
  </si>
  <si>
    <t xml:space="preserve">Worker Does Not Have Matching Absence Occurrences</t>
  </si>
  <si>
    <t xml:space="preserve">Worker does not have any occurrence that matches the occurrence criteria entered.</t>
  </si>
  <si>
    <t xml:space="preserve">Worker EFW2 Tax Filing Indicator</t>
  </si>
  <si>
    <t xml:space="preserve">Returns workers who have opted in to having their personal tax data transmitted to a third-party tax preparation provider.</t>
  </si>
  <si>
    <t xml:space="preserve">Worker EI Tax Elections</t>
  </si>
  <si>
    <t xml:space="preserve">The worker's Employment Insurance (EI) tax elections.</t>
  </si>
  <si>
    <t xml:space="preserve">Returns Estimated Annual Lump Sum Tax Elections for a Worker. Optionally accepts Start and End Date/s to return Tax Elections effective in the date range.</t>
  </si>
  <si>
    <t xml:space="preserve">Worker Event History with Filter Parameters</t>
  </si>
  <si>
    <t xml:space="preserve">All Worker events that aren't system generated. Enables you to filter reports by categories such as event type and effective date.</t>
  </si>
  <si>
    <t xml:space="preserve">Effective Moment To</t>
  </si>
  <si>
    <t xml:space="preserve">Worker Events - Completed</t>
  </si>
  <si>
    <t xml:space="preserve">Returns Worker events that are completed, viewable by the Processing Person, and are effective within the start and end dates.</t>
  </si>
  <si>
    <t xml:space="preserve">Worker Federal Withholding Election</t>
  </si>
  <si>
    <t xml:space="preserve">Withholding elections filed by the employee for US Federal payroll - W-4.</t>
  </si>
  <si>
    <t xml:space="preserve">Worker FIT Elections</t>
  </si>
  <si>
    <t xml:space="preserve">Displays all the workers' Canada federal income tax elections.</t>
  </si>
  <si>
    <t xml:space="preserve">Worker for Check-In Role</t>
  </si>
  <si>
    <t xml:space="preserve">The worker for the Check-In Role.</t>
  </si>
  <si>
    <t xml:space="preserve">Returns Complete Form I-9 business processes for the worker.  They can be in-progress, completed, canceled, or rescinded. For U.S. employment eligibility only.</t>
  </si>
  <si>
    <t xml:space="preserve">Worker Fully Burdened Cost Rate</t>
  </si>
  <si>
    <t xml:space="preserve">The fully burdened cost rate for a worker as of a given date and in a given currency.  Currency is a required prompt.  Date is optional, but will default to the current date if not supplied.</t>
  </si>
  <si>
    <t xml:space="preserve">For UK workday Payroll, Worker National Insurance Tax Elections</t>
  </si>
  <si>
    <t xml:space="preserve">For UK Workday Payroll, Worker Student Loan Details</t>
  </si>
  <si>
    <t xml:space="preserve">For UK workday Payroll, Worker Tax Code Elections</t>
  </si>
  <si>
    <t xml:space="preserve">Worker Gender Female</t>
  </si>
  <si>
    <t xml:space="preserve">Get 'X' if Worker Gender is Female.</t>
  </si>
  <si>
    <t xml:space="preserve">Worker Gender Male</t>
  </si>
  <si>
    <t xml:space="preserve">Get 'X' if Worker Gender is Male.</t>
  </si>
  <si>
    <t xml:space="preserve">Worker has Academic Pay</t>
  </si>
  <si>
    <t xml:space="preserve">Returns true if any of the employee's  positions have Academic Pay settings.</t>
  </si>
  <si>
    <t xml:space="preserve">Worker has Additional Jobs</t>
  </si>
  <si>
    <t xml:space="preserve">Indicates whether the worker has additional jobs beyond their primary job.</t>
  </si>
  <si>
    <t xml:space="preserve">Worker Has Alternate Primary Work Address</t>
  </si>
  <si>
    <t xml:space="preserve">Returns true if a worker has an alternate primary work address defined in their contact information.</t>
  </si>
  <si>
    <t xml:space="preserve">Worker Has Benefits Billing Status</t>
  </si>
  <si>
    <t xml:space="preserve">True if the worker has a benefits billing status as of the specified date.</t>
  </si>
  <si>
    <t xml:space="preserve">Worker has linked SSP PIWs for more than a 3 year period</t>
  </si>
  <si>
    <t xml:space="preserve">Displays "Yes" if a Worker with a linked PIW has been sick for more than a 3 year period, "No" if not.</t>
  </si>
  <si>
    <t xml:space="preserve">Worker Has Matching Absence Occurrences</t>
  </si>
  <si>
    <t xml:space="preserve">Worker has one or more occurrences that matches the occurrence criteria entered.</t>
  </si>
  <si>
    <t xml:space="preserve">Worker has Photo</t>
  </si>
  <si>
    <t xml:space="preserve">Returns true if the Worker has a photo in the system.</t>
  </si>
  <si>
    <t xml:space="preserve">Worker History - Custom</t>
  </si>
  <si>
    <t xml:space="preserve">Events related to instance. For use when reporting on a worker's history in a custom data source.</t>
  </si>
  <si>
    <t xml:space="preserve">Worker History - Filterable</t>
  </si>
  <si>
    <t xml:space="preserve">The historical worker events, Workday System Generated Events, and Review Probation Period events for a worker. You must select at least one business process type that's valid for those events. You can further filter the results for this field by the following parameters: transaction type, end and start date, the latest event, Business Process Reason Category, and preferred sort order. Workday recommends that you use this field in custom reports when you want to return a subset of worker history events.</t>
  </si>
  <si>
    <t xml:space="preserve">Business Process Reason Category</t>
  </si>
  <si>
    <t xml:space="preserve">Worker Home Address - ADP Check Print Integration</t>
  </si>
  <si>
    <t xml:space="preserve">Returns the worker's Home Address 1 field as shown on the ADP Check Print Integration System</t>
  </si>
  <si>
    <t xml:space="preserve">Worker Inactive Work Tax Jurisdictions Tax Election</t>
  </si>
  <si>
    <t xml:space="preserve">Worker's Inactivated Work Tax Jurisdiction Tax Election</t>
  </si>
  <si>
    <t xml:space="preserve">Worker Incorrectly Hired Twice</t>
  </si>
  <si>
    <t xml:space="preserve">The worker is hired into multiple positions without being properly terminated from the first.</t>
  </si>
  <si>
    <t xml:space="preserve">Worker Instance URL</t>
  </si>
  <si>
    <t xml:space="preserve">Deep link to the instance view for worker.</t>
  </si>
  <si>
    <t xml:space="preserve">Worker Intends to Live in the UK for 183 Days or More</t>
  </si>
  <si>
    <t xml:space="preserve">The intention of the international assignment worker to live in the UK for 183 days or more.</t>
  </si>
  <si>
    <t xml:space="preserve">Worker Intends to Live in the UK for Less than 183 Days</t>
  </si>
  <si>
    <t xml:space="preserve">The intention of the international assignment worker to live in the UK for less than 183 days.</t>
  </si>
  <si>
    <t xml:space="preserve">Worker IRL Effective Primary Employment ID</t>
  </si>
  <si>
    <t xml:space="preserve">The worker's Employment ID for their current primary employment.</t>
  </si>
  <si>
    <t xml:space="preserve">Worker IRL Employment IDs</t>
  </si>
  <si>
    <t xml:space="preserve">All instances of the worker's Employment ID.</t>
  </si>
  <si>
    <t xml:space="preserve">Worker Is A Current Project Member within Date Range</t>
  </si>
  <si>
    <t xml:space="preserve">True if the worker is a member of a resource plan used by at least 1 project. This report field returns data only for projects with start and end dates that fall within the specified date range. This field excludes workers assigned to project tasks if the project doesn't use a resource plan, and workers with time logged if the worker isn't currently a member of the resource plan.</t>
  </si>
  <si>
    <t xml:space="preserve">Worker is a Project Worker</t>
  </si>
  <si>
    <t xml:space="preserve">True if a worker is directly or indirectly assigned or associated to a project.</t>
  </si>
  <si>
    <t xml:space="preserve">Worker is Assigned to Any Project Task</t>
  </si>
  <si>
    <t xml:space="preserve">True if the worker is currently assigned to at least 1 project plan task. This report field returns only workers that are explicitly named on a project plan task or are worker groups specified on the task. This field excludes workers with logged time if they are no longer on the resource plan.</t>
  </si>
  <si>
    <t xml:space="preserve">Worker is Employee</t>
  </si>
  <si>
    <t xml:space="preserve">Returns true if the worker is an employee, rather than a contingent worker</t>
  </si>
  <si>
    <t xml:space="preserve">Worker is enrolled in Medicare Part A today</t>
  </si>
  <si>
    <t xml:space="preserve">Worker is enrolled in Medicare Part A today. A worker is enrolled if medicare effective date is on or before today's date, and if any existing termination date is on or after today's date.</t>
  </si>
  <si>
    <t xml:space="preserve">Worker is enrolled in Medicare Part D EGWP</t>
  </si>
  <si>
    <t xml:space="preserve">Worker is enrolled in Medicare Part D EGWP as of the effective date. The worker is enrolled if the enrollment date, for the most recently entered EGWP data, is on or before the effective date, and if any existing disenrollment date is after the effective date.</t>
  </si>
  <si>
    <t xml:space="preserve">Worker is Terminated or Additional Job Ended as of Sub Period Begin Date</t>
  </si>
  <si>
    <t xml:space="preserve">Returns True when Worker is terminated or Additional Job is ended as of Subperiod Begin Date.</t>
  </si>
  <si>
    <t xml:space="preserve">Sub Period Begin Date (PC)</t>
  </si>
  <si>
    <t xml:space="preserve">Worker Local Time</t>
  </si>
  <si>
    <t xml:space="preserve">Provides the workers primary effective position location current time, in format: &lt;Day of Week&gt; &lt;Hour&gt;:&lt;Minute&gt; &lt;AM/PM&gt;</t>
  </si>
  <si>
    <t xml:space="preserve">Worker Name Change Events - Completed</t>
  </si>
  <si>
    <t xml:space="preserve">Returns Worker Name Change events that are completed, viewable by the Processing Person, and are completed within the start and end dates.</t>
  </si>
  <si>
    <t xml:space="preserve">Worker Name Change Events- Effective</t>
  </si>
  <si>
    <t xml:space="preserve">Returns Worker Name Change events that are completed, viewable by the Processing Person, and are effective within the start and end dates.</t>
  </si>
  <si>
    <t xml:space="preserve">Worker never enrolled in Medicare Part D EGWP</t>
  </si>
  <si>
    <t xml:space="preserve">Returns True if worker never enrolled in Medicare Part D EGWP. This could be because no EGWP data was ever entered for the worker, or an Enrollment Date has never been entered on the worker's EGWP data.</t>
  </si>
  <si>
    <t xml:space="preserve">Worker Ongoing Work Tax Jurisdiction Allocations Tax Election</t>
  </si>
  <si>
    <t xml:space="preserve">Worker's Ongoing Work Jurisdiction Allocations Tax Election</t>
  </si>
  <si>
    <t xml:space="preserve">Worker Pay Status</t>
  </si>
  <si>
    <t xml:space="preserve">The worker's pay status as of an effective date.</t>
  </si>
  <si>
    <t xml:space="preserve">Returns Worker Personal Information Change Events that are completed, viewable by the Processing Person, and are effective within the start and end dates.</t>
  </si>
  <si>
    <t xml:space="preserve">Worker PIT Elections</t>
  </si>
  <si>
    <t xml:space="preserve">Displays all the workers' provincial income tax elections.</t>
  </si>
  <si>
    <t xml:space="preserve">Worker Primary Address - City</t>
  </si>
  <si>
    <t xml:space="preserve">City if Address line 2 and 3 are not empty for Worker Primary Home Address.</t>
  </si>
  <si>
    <t xml:space="preserve">Worker Primary Address - Postal Code</t>
  </si>
  <si>
    <t xml:space="preserve">Get Post Code for Worker Primary Home Address if Address is in UK.</t>
  </si>
  <si>
    <t xml:space="preserve">Worker Primary Home City</t>
  </si>
  <si>
    <t xml:space="preserve">Worker Primary Home State</t>
  </si>
  <si>
    <t xml:space="preserve">Worker Primary Home State used in Payroll Rules</t>
  </si>
  <si>
    <t xml:space="preserve">Worker Primary Work State</t>
  </si>
  <si>
    <t xml:space="preserve">Worker Primary Work State used in Payroll Rules for the US and Canada only.</t>
  </si>
  <si>
    <t xml:space="preserve">Pay Component Driver Key</t>
  </si>
  <si>
    <t xml:space="preserve">Worker Processing Position Work State</t>
  </si>
  <si>
    <t xml:space="preserve">Worker Processing Position Work State used in Payroll Rules</t>
  </si>
  <si>
    <t xml:space="preserve">Worker Profile Default Position</t>
  </si>
  <si>
    <t xml:space="preserve">The primary position or the first international assignment position for the worker. The worker profile displays this position when it first opens.</t>
  </si>
  <si>
    <t xml:space="preserve">Worker Projects - Directly Assigned</t>
  </si>
  <si>
    <t xml:space="preserve">Contains the projects where the worker is directly assigned to a project or ~project hierarchy~ resource plan.</t>
  </si>
  <si>
    <t xml:space="preserve">Worker Projects - Do Not Use</t>
  </si>
  <si>
    <t xml:space="preserve">Do Not Use this Report Field.   Alternative report fields to use:  Worker Is A Current Project Member within Date Range Or Worker Projects - Directly Assigned   Contains the projects where the worker is directly assigned to a project plan task or indirectly via the member resource on the project resource plan associated explicitly defined on or shared with the project.   It will return the same list of Worker Projects shown on the Talent Profile.</t>
  </si>
  <si>
    <t xml:space="preserve">Worker Province of Employment for Payroll Processing Position</t>
  </si>
  <si>
    <t xml:space="preserve">Worker Province of Employment used in Payroll Rules, common in eligibility rules for Canada pay components.</t>
  </si>
  <si>
    <t xml:space="preserve">Worker Province Payroll Tax Elections</t>
  </si>
  <si>
    <t xml:space="preserve">Returns Province Payroll Tax Elections for a Worker. Optionally accepts Start and End Date/s to return Tax Elections effective in the date range.</t>
  </si>
  <si>
    <t xml:space="preserve">The personal tax credit information filed by the employee for the Canadian Federal Tax withholding form PT1.</t>
  </si>
  <si>
    <t xml:space="preserve">Worker Quebec PTD1X Tax Elections</t>
  </si>
  <si>
    <t xml:space="preserve">Worker PWC Tax Elections</t>
  </si>
  <si>
    <t xml:space="preserve">The worker's provincial workers compensation tax elections.</t>
  </si>
  <si>
    <t xml:space="preserve">Worker Quebec Compensation Tax Elections</t>
  </si>
  <si>
    <t xml:space="preserve">The worker's Quebec compensation tax election.</t>
  </si>
  <si>
    <t xml:space="preserve">Worker Quebec Health Services Fund Tax Elections</t>
  </si>
  <si>
    <t xml:space="preserve">The worker's Quebec health service fund tax election.</t>
  </si>
  <si>
    <t xml:space="preserve">Worker Quebec Parental Insurance Plan Tax Elections</t>
  </si>
  <si>
    <t xml:space="preserve">The worker's Quebec parental insurance plan tax election.</t>
  </si>
  <si>
    <t xml:space="preserve">Worker Rate</t>
  </si>
  <si>
    <t xml:space="preserve">Returns the standard worker rate for a specified effective date from standard worker and rules based rate sheets</t>
  </si>
  <si>
    <t xml:space="preserve">Worker Rate Currency</t>
  </si>
  <si>
    <t xml:space="preserve">Returns the currency of a standard worker rate</t>
  </si>
  <si>
    <t xml:space="preserve">Worker Resident Province (as of Period End)</t>
  </si>
  <si>
    <t xml:space="preserve">Returns the Resident Province for the Worker as of the Period End Date</t>
  </si>
  <si>
    <t xml:space="preserve">Worker RPP Tax Elections</t>
  </si>
  <si>
    <t xml:space="preserve">Displays all workers' RPP and DPSP registration numbers prior to 2021.</t>
  </si>
  <si>
    <t xml:space="preserve">Worker Schedule Availability - Friday</t>
  </si>
  <si>
    <t xml:space="preserve">Displays Worker Scheduling Availability for Friday.</t>
  </si>
  <si>
    <t xml:space="preserve">Worker Schedule Availability - Monday</t>
  </si>
  <si>
    <t xml:space="preserve">Displays Worker Scheduling Availability for Monday.</t>
  </si>
  <si>
    <t xml:space="preserve">Worker Schedule Availability - Saturday</t>
  </si>
  <si>
    <t xml:space="preserve">Displays Worker Scheduling Availability for Saturday.</t>
  </si>
  <si>
    <t xml:space="preserve">Worker Schedule Availability - Sunday</t>
  </si>
  <si>
    <t xml:space="preserve">Displays Worker Scheduling Availability for Sunday.</t>
  </si>
  <si>
    <t xml:space="preserve">Worker Schedule Availability - Thursday</t>
  </si>
  <si>
    <t xml:space="preserve">Displays Worker Scheduling Availability for Thursday.</t>
  </si>
  <si>
    <t xml:space="preserve">Worker Schedule Availability - Tuesday</t>
  </si>
  <si>
    <t xml:space="preserve">Displays Worker Scheduling Availability for Tuesday.</t>
  </si>
  <si>
    <t xml:space="preserve">Worker Schedule Availability - Wednesday</t>
  </si>
  <si>
    <t xml:space="preserve">Displays Worker Scheduling Availability for Wednesday.</t>
  </si>
  <si>
    <t xml:space="preserve">Worker Simple</t>
  </si>
  <si>
    <t xml:space="preserve">Identifies the worker and enables you to view and access related details and actions on the worker. Doesn't display worker statuses.</t>
  </si>
  <si>
    <t xml:space="preserve">Worker Skills as Text</t>
  </si>
  <si>
    <t xml:space="preserve">The Workers skills returned as text separated by a comma.</t>
  </si>
  <si>
    <t xml:space="preserve">Worker State Tax Withholding Elections</t>
  </si>
  <si>
    <t xml:space="preserve">All State Withholding elections for a worker.</t>
  </si>
  <si>
    <t xml:space="preserve">Worker Sub-Type</t>
  </si>
  <si>
    <t xml:space="preserve">The worker type for the worker's primary position if the candidate is internal. This report field returns the worker sub-type hiring requirement for the job requisition the candidate applied to if the candidate is external.</t>
  </si>
  <si>
    <t xml:space="preserve">Worker Tax Allocation Details</t>
  </si>
  <si>
    <t xml:space="preserve">Can return a worker's state, county, city, other, and allocation percentages for ongoing work tax election allocations.</t>
  </si>
  <si>
    <t xml:space="preserve">Worker Tax Detail Status</t>
  </si>
  <si>
    <t xml:space="preserve">True if the worker has a Tax File Number (TFN) declaration.</t>
  </si>
  <si>
    <t xml:space="preserve">Returns Worker's Tax Treaties</t>
  </si>
  <si>
    <t xml:space="preserve">Years</t>
  </si>
  <si>
    <t xml:space="preserve">Worker Tax Withholding Elections</t>
  </si>
  <si>
    <t xml:space="preserve">The worker's federal payroll withholding elections.</t>
  </si>
  <si>
    <t xml:space="preserve">The personal tax credit information filed by the employee for the Canadian Federal Tax withholding form T1.</t>
  </si>
  <si>
    <t xml:space="preserve">The Canada TD1-IN tax elections for the worker, as part of the Indian Act exemption.</t>
  </si>
  <si>
    <t xml:space="preserve">Displays all the workers' TD1X (commission) tax elections.</t>
  </si>
  <si>
    <t xml:space="preserve">Time Calculation Groups for which employee is eligible.</t>
  </si>
  <si>
    <t xml:space="preserve">Time Code Groups for which employee is eligible.</t>
  </si>
  <si>
    <t xml:space="preserve">Worker Time Entry Template</t>
  </si>
  <si>
    <t xml:space="preserve">The first Time Entry Template for Worker based on their eligibility.</t>
  </si>
  <si>
    <t xml:space="preserve">Worker Time Entry Templates</t>
  </si>
  <si>
    <t xml:space="preserve">All Time Entry Templates for Worker based on their eligibility.</t>
  </si>
  <si>
    <t xml:space="preserve">Worker Time Period Schedule</t>
  </si>
  <si>
    <t xml:space="preserve">The first Time Period Schedule for Worker based on their eligibility.</t>
  </si>
  <si>
    <t xml:space="preserve">Worker Time Period Schedules</t>
  </si>
  <si>
    <t xml:space="preserve">All Time Period Schedules for Worker based on their eligibility.</t>
  </si>
  <si>
    <t xml:space="preserve">Worker Type - Text</t>
  </si>
  <si>
    <t xml:space="preserve">Returns "Employee" or "Contingent Worker".  When using this field as a report filter, enter the text "Employee" to return only employees or "Contingent Worker" to return only contingent workers.</t>
  </si>
  <si>
    <t xml:space="preserve">Worker Type as of Period End Date</t>
  </si>
  <si>
    <t xml:space="preserve">The worker type (employee or contingent worker) for a worker as of the period end date.</t>
  </si>
  <si>
    <t xml:space="preserve">Worker Type as of Period Start Date</t>
  </si>
  <si>
    <t xml:space="preserve">The worker type (employee or contingent worker) for a worker as of the period start date</t>
  </si>
  <si>
    <t xml:space="preserve">Worker UK Payroll ID</t>
  </si>
  <si>
    <t xml:space="preserve">Returns UK Payroll ID for Worker as of Effective Date (or current moment if not specified).</t>
  </si>
  <si>
    <t xml:space="preserve">Worker UK Payroll IDs</t>
  </si>
  <si>
    <t xml:space="preserve">Returns all UK Payroll IDs for the Worker in Context</t>
  </si>
  <si>
    <t xml:space="preserve">Worker Uses Time Tracking</t>
  </si>
  <si>
    <t xml:space="preserve">Returns true if worker uses Time Tracking (Do NOT use this for evaluating terminated workers)</t>
  </si>
  <si>
    <t xml:space="preserve">Worker Utilization Target</t>
  </si>
  <si>
    <t xml:space="preserve">Utilization target for worker as defined in the utilization target sheet.</t>
  </si>
  <si>
    <t xml:space="preserve">Worker will be Working both in and out of the UK but will be Living Abroad</t>
  </si>
  <si>
    <t xml:space="preserve">The intention of the international assignment worker to work both in and out the UK, but live abroad.</t>
  </si>
  <si>
    <t xml:space="preserve">Worker Work Schedule Calendar</t>
  </si>
  <si>
    <t xml:space="preserve">The first Work Schedule Calendar for Worker based on their eligibility.</t>
  </si>
  <si>
    <t xml:space="preserve">Worker Workday Account</t>
  </si>
  <si>
    <t xml:space="preserve">Worker WSDRF Tax Elections</t>
  </si>
  <si>
    <t xml:space="preserve">The worker's Quebec Workforce Skills Development and Recognition Fund tax election.</t>
  </si>
  <si>
    <t xml:space="preserve">Worker Years of Service Based on Recent Country Location as of Period End Date</t>
  </si>
  <si>
    <t xml:space="preserve">Returns numeric value representing the years of continuous service of the Worker based on country location as of Period End Date.</t>
  </si>
  <si>
    <t xml:space="preserve">Worker Years of Service Based on Recent Country Location as of Period Start Date</t>
  </si>
  <si>
    <t xml:space="preserve">Returns numeric value representing the years of continuous service of the Worker based on country location as of Period Start Date.</t>
  </si>
  <si>
    <t xml:space="preserve">The worker's benefits billing events in the specified date range. If there's no date range, this report field returns all of the worker's benefits billing events.</t>
  </si>
  <si>
    <t xml:space="preserve">Worker's Collective Agreement (Benefits)</t>
  </si>
  <si>
    <t xml:space="preserve">The collective agreement for the worker.</t>
  </si>
  <si>
    <t xml:space="preserve">The Collective Agreement Status for the worker, based on the HR Mapping for Payroll France</t>
  </si>
  <si>
    <t xml:space="preserve">The contract type for the worker, based on the HR Mapping for Payroll France</t>
  </si>
  <si>
    <t xml:space="preserve">The contract usage reason worker's, based on the HR Mapping for Payroll France</t>
  </si>
  <si>
    <t xml:space="preserve">Worker's Current Benefit Group, using Persisted Value</t>
  </si>
  <si>
    <t xml:space="preserve">The Benefit Group for the worker. Workday checks for a Benefit Group persisted by the Schedule Benefit Group Detection task, as of the effective date. Otherwise, Workday determines the Benefit Group with a real-time eligibility check.</t>
  </si>
  <si>
    <t xml:space="preserve">Worker's Establishment (Benefits)</t>
  </si>
  <si>
    <t xml:space="preserve">The establishment of the worker's primary position.</t>
  </si>
  <si>
    <t xml:space="preserve">Worker's Job Classification code for the PCS-ESE classification (FRA Benefits)</t>
  </si>
  <si>
    <t xml:space="preserve">The job classification code for the worker's PCS-ESE classification.</t>
  </si>
  <si>
    <t xml:space="preserve">Worker's Location Primary Address in Alsace-Moselle (FRA Benefits)</t>
  </si>
  <si>
    <t xml:space="preserve">True if the primary address of the worker's location is in Alsace-Moselle.</t>
  </si>
  <si>
    <t xml:space="preserve">Worker's Manager(s)</t>
  </si>
  <si>
    <t xml:space="preserve">The supervisory manager(s) for the worker's primary position.</t>
  </si>
  <si>
    <t xml:space="preserve">Worker's Matrix Manager</t>
  </si>
  <si>
    <t xml:space="preserve">Returns the matrix manager for the worker's primary position.</t>
  </si>
  <si>
    <t xml:space="preserve">Worker's Number Of Job Profiles At Company Over Tenure</t>
  </si>
  <si>
    <t xml:space="preserve">~Worker’s~ number of job profiles at company over tenure</t>
  </si>
  <si>
    <t xml:space="preserve">Worker's Number Of Locations At Company Over Tenure</t>
  </si>
  <si>
    <t xml:space="preserve">~Worker’s~ number of locations at company over tenure.</t>
  </si>
  <si>
    <t xml:space="preserve">Worker's Opted Out Time Accumulator Threshold Rules</t>
  </si>
  <si>
    <t xml:space="preserve">The time accumulator threshold rules a worker is eligible for but has opted out on a specified date.</t>
  </si>
  <si>
    <t xml:space="preserve">Worker's spouse is enrolled in Medicare Part D EGWP</t>
  </si>
  <si>
    <t xml:space="preserve">Worker's spouse is enrolled in Medicare Part D EGWP as of the effective date. The worker's spouse is enrolled if the enrollment date, for the most recently entered EGWP data, is on or before the effective date, and if any existing disenrollment date is after the effective date.</t>
  </si>
  <si>
    <t xml:space="preserve">The worker's tax election for the ARRCO-AGIRC category.</t>
  </si>
  <si>
    <t xml:space="preserve">The worker's tax election for the URSSAF type of personnel.</t>
  </si>
  <si>
    <t xml:space="preserve">Worker's Tenure At Company</t>
  </si>
  <si>
    <t xml:space="preserve">~Worker’s~ tenure at company including all previous employment.</t>
  </si>
  <si>
    <t xml:space="preserve">Worker's Time Accumulator Threshold Rules</t>
  </si>
  <si>
    <t xml:space="preserve">The time accumulator threshold rules a worker is assigned to and has not opted out on a specified date.</t>
  </si>
  <si>
    <t xml:space="preserve">Worker's Time Accumulator Threshold Rules Opt-Out Events</t>
  </si>
  <si>
    <t xml:space="preserve">The opt-out events for any time accumulator threshold rules a worker has opted out of as of specified date.</t>
  </si>
  <si>
    <t xml:space="preserve">Worker's Working Time Frequency (Benefits)</t>
  </si>
  <si>
    <t xml:space="preserve">The worker's working time frequencies.</t>
  </si>
  <si>
    <t xml:space="preserve">The worker's working time unit.</t>
  </si>
  <si>
    <t xml:space="preserve">Worker's Working Time Value (Benefits)</t>
  </si>
  <si>
    <t xml:space="preserve">The worker's working time value.</t>
  </si>
  <si>
    <t xml:space="preserve">Worker(s) with Upcoming Absence Manager</t>
  </si>
  <si>
    <t xml:space="preserve">Returns the formatted list of workers with the earliest upcoming absence date for the processing manager's team.</t>
  </si>
  <si>
    <t xml:space="preserve">Worker(s) with Upcoming Absence Team</t>
  </si>
  <si>
    <t xml:space="preserve">Returns the formatted list of workers with the earliest upcoming absence date for the processing worker's team.</t>
  </si>
  <si>
    <t xml:space="preserve">Workers</t>
  </si>
  <si>
    <t xml:space="preserve">Used for prompting for multiple Workers</t>
  </si>
  <si>
    <t xml:space="preserve">Workers as Leadership (including Manager)</t>
  </si>
  <si>
    <t xml:space="preserve">The leadership &amp; the managers for the worker's primary position.</t>
  </si>
  <si>
    <t xml:space="preserve">Workers for Location and Country</t>
  </si>
  <si>
    <t xml:space="preserve">Returns workers that match the selected country and location and workers for the selected country when no location is selected for the turnover metric.</t>
  </si>
  <si>
    <t xml:space="preserve">Location Context [Nonsingular]</t>
  </si>
  <si>
    <t xml:space="preserve">Workers for UK Integration</t>
  </si>
  <si>
    <t xml:space="preserve">Contains a list of Workers where the Worker Company has a UK Employer PAYE Reference. Used by RTI integrations.</t>
  </si>
  <si>
    <t xml:space="preserve">Workers part of Calibration Session Participants</t>
  </si>
  <si>
    <t xml:space="preserve">Workers part of Calibration Session</t>
  </si>
  <si>
    <t xml:space="preserve">Workers that Share Contact Information</t>
  </si>
  <si>
    <t xml:space="preserve">The workers that are incorrectly sharing contact information with another worker.  An example would be a worker that has a home address and another workers record is pointing to the same address as their own.  This is not allowed, and sharing is only allowed between a worker and their related persons (dependents, beneficiaries, emergency contacts, etc.).</t>
  </si>
  <si>
    <t xml:space="preserve">Workers with the Same National ID</t>
  </si>
  <si>
    <t xml:space="preserve">Identifies all other workers that have the same National ID as the context worker</t>
  </si>
  <si>
    <t xml:space="preserve">Returns the active Workers' Compensation Code for the worker from their primary position and related job profile.</t>
  </si>
  <si>
    <t xml:space="preserve">Workers' Compensation Code Override Primary Position</t>
  </si>
  <si>
    <t xml:space="preserve">The workers' compensation code on an active ~worker’s~ primary position.</t>
  </si>
  <si>
    <t xml:space="preserve">Workers’ Compensation Code from Job Profile</t>
  </si>
  <si>
    <t xml:space="preserve">Working FTE</t>
  </si>
  <si>
    <t xml:space="preserve">The working full time equivalent for the worker's primary position.</t>
  </si>
  <si>
    <t xml:space="preserve">Working FTE %</t>
  </si>
  <si>
    <t xml:space="preserve">The working full time equivalent percentage for the worker's primary position.</t>
  </si>
  <si>
    <t xml:space="preserve">Working FTE Specified</t>
  </si>
  <si>
    <t xml:space="preserve">True if working full time equivalent is specified on a worker's primary position.</t>
  </si>
  <si>
    <t xml:space="preserve">Workplace Tests</t>
  </si>
  <si>
    <t xml:space="preserve">The workplace health and safety tests, such as infection testing, completed by the worker.</t>
  </si>
  <si>
    <t xml:space="preserve">Works from Home</t>
  </si>
  <si>
    <t xml:space="preserve">Indicates if the Worker works from home.</t>
  </si>
  <si>
    <t xml:space="preserve">Works from Home - Address</t>
  </si>
  <si>
    <t xml:space="preserve">Returns the work from home address for the worker.</t>
  </si>
  <si>
    <t xml:space="preserve">The worktag type.</t>
  </si>
  <si>
    <t xml:space="preserve">Workteam Membership Effective Date</t>
  </si>
  <si>
    <t xml:space="preserve">Returns earliest effective date that worker is a member on the workteam specified in the required parameter. Membership Status is an optional parameter that can be left blank to return the earliest effective date for any membership status.</t>
  </si>
  <si>
    <t xml:space="preserve">Workteam for Worker</t>
  </si>
  <si>
    <t xml:space="preserve">Returns a list of wokteam instances in which the worker is a member of. Membership Status is an optional parameter that can be left blank to return workteams that the worker has any membership status on. Workteam instances returned will consider the worker's membership status on a wokteam as of a given effective date if one is specified in the report date/time run parameters.</t>
  </si>
  <si>
    <t xml:space="preserve">Membership Status</t>
  </si>
  <si>
    <t xml:space="preserve">Year from Date of Birth</t>
  </si>
  <si>
    <t xml:space="preserve">Get Year Part from Worker Date of Birth.</t>
  </si>
  <si>
    <t xml:space="preserve">Year from P45 Leaver Issue Date</t>
  </si>
  <si>
    <t xml:space="preserve">Returns Year part from P45 Leaver Issue Date for Worker.</t>
  </si>
  <si>
    <t xml:space="preserve">Year from Termination Date</t>
  </si>
  <si>
    <t xml:space="preserve">Year part from Termination Date for Worker.</t>
  </si>
  <si>
    <t xml:space="preserve">Year Highest Degree Received</t>
  </si>
  <si>
    <t xml:space="preserve">The year in which a worker received their highest level educational degree.  The level of the degree is determined by the "order" attribute on the degree.</t>
  </si>
  <si>
    <t xml:space="preserve">Years in Current Job (Text)</t>
  </si>
  <si>
    <t xml:space="preserve">The number of years a candidate has spent in their current job.</t>
  </si>
  <si>
    <t xml:space="preserve">Years in Current Trended Workers Reporting Position</t>
  </si>
  <si>
    <t xml:space="preserve">Returns the amount of years (to 2 decimals positions) that a worker was in their current primary position. If the worker is terminated, the current position was the last primary position the worker was in.   If the "Use International Assignments as Primary Position for Trended Worker" flag is true, and the worker has an the International Assignments position, the years are calculated from that position. Otherwise, the Primary Position of Employment is for a worker is used.  That flag can be set in the task, Edit Tenant Setup - Reporting and Analytics.</t>
  </si>
  <si>
    <t xml:space="preserve">Years Since Highest Degree Received</t>
  </si>
  <si>
    <t xml:space="preserve">The number of years since the worker received the highest level educational degree.</t>
  </si>
  <si>
    <t xml:space="preserve">zCF-ARI Administrative Supplemental Period Activity Assignments</t>
  </si>
  <si>
    <t xml:space="preserve">zCF_ Worker Costing Allocation from the position</t>
  </si>
  <si>
    <t xml:space="preserve">Activity Pay</t>
  </si>
  <si>
    <t xml:space="preserve">zCF_Annual Base/26.1</t>
  </si>
  <si>
    <t xml:space="preserve">zCF_Annual Pay divided by 26</t>
  </si>
  <si>
    <t xml:space="preserve">zcf_Sum FTE all positions</t>
  </si>
  <si>
    <t xml:space="preserve">zCF_Sum_Existing_FTE</t>
  </si>
  <si>
    <t xml:space="preserve">zCF_Total base annualized divided by 26.1</t>
  </si>
</sst>
</file>

<file path=xl/styles.xml><?xml version="1.0" encoding="utf-8"?>
<styleSheet xmlns="http://schemas.openxmlformats.org/spreadsheetml/2006/main">
  <numFmts count="3">
    <numFmt numFmtId="164" formatCode="General"/>
    <numFmt numFmtId="165" formatCode="#,##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0"/>
      <color rgb="FF595959"/>
      <name val="Arial"/>
      <family val="0"/>
      <charset val="1"/>
    </font>
    <font>
      <b val="true"/>
      <sz val="12"/>
      <color rgb="FF1F3864"/>
      <name val="Arial"/>
      <family val="0"/>
      <charset val="1"/>
    </font>
    <font>
      <b val="true"/>
      <sz val="10"/>
      <name val="Arial"/>
      <family val="0"/>
      <charset val="1"/>
    </font>
    <font>
      <sz val="10"/>
      <name val="Arial"/>
      <family val="0"/>
      <charset val="1"/>
    </font>
    <font>
      <b val="true"/>
      <sz val="16"/>
      <color rgb="FF1F3864"/>
      <name val="Arial"/>
      <family val="0"/>
      <charset val="1"/>
    </font>
    <font>
      <b val="true"/>
      <sz val="10"/>
      <color rgb="FFFFFFFF"/>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E7E6E6"/>
        <bgColor rgb="FFEDE7F6"/>
      </patternFill>
    </fill>
    <fill>
      <patternFill patternType="solid">
        <fgColor rgb="FFF2F2F2"/>
        <bgColor rgb="FFEDE7F6"/>
      </patternFill>
    </fill>
    <fill>
      <patternFill patternType="solid">
        <fgColor rgb="FFE2EFDA"/>
        <bgColor rgb="FFE7E6E6"/>
      </patternFill>
    </fill>
    <fill>
      <patternFill patternType="solid">
        <fgColor rgb="FFD9E1F2"/>
        <bgColor rgb="FFDEEAF6"/>
      </patternFill>
    </fill>
    <fill>
      <patternFill patternType="solid">
        <fgColor rgb="FFC9D7EE"/>
        <bgColor rgb="FFD9E1F2"/>
      </patternFill>
    </fill>
    <fill>
      <patternFill patternType="solid">
        <fgColor rgb="FFDEEAF6"/>
        <bgColor rgb="FFD9E1F2"/>
      </patternFill>
    </fill>
    <fill>
      <patternFill patternType="solid">
        <fgColor rgb="FFFFF2CC"/>
        <bgColor rgb="FFFCE4D6"/>
      </patternFill>
    </fill>
    <fill>
      <patternFill patternType="solid">
        <fgColor rgb="FFEDE7F6"/>
        <bgColor rgb="FFE7E6E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C9D7EE"/>
          <bgColor rgb="FF000000"/>
        </patternFill>
      </fill>
    </dxf>
    <dxf>
      <fill>
        <patternFill patternType="solid">
          <fgColor rgb="FFD9E1F2"/>
          <bgColor rgb="FF000000"/>
        </patternFill>
      </fill>
    </dxf>
    <dxf>
      <fill>
        <patternFill patternType="solid">
          <fgColor rgb="FFDEEAF6"/>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EDE7F6"/>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AF6"/>
      <rgbColor rgb="FF660066"/>
      <rgbColor rgb="FFFF8080"/>
      <rgbColor rgb="FF0066CC"/>
      <rgbColor rgb="FFC9D7EE"/>
      <rgbColor rgb="FF000080"/>
      <rgbColor rgb="FFFF00FF"/>
      <rgbColor rgb="FFFFFF00"/>
      <rgbColor rgb="FF00FFFF"/>
      <rgbColor rgb="FF800080"/>
      <rgbColor rgb="FF800000"/>
      <rgbColor rgb="FF008080"/>
      <rgbColor rgb="FF0000FF"/>
      <rgbColor rgb="FF00CCFF"/>
      <rgbColor rgb="FFF2F2F2"/>
      <rgbColor rgb="FFE2EFDA"/>
      <rgbColor rgb="FFE7E6E6"/>
      <rgbColor rgb="FFD9E1F2"/>
      <rgbColor rgb="FFEDE7F6"/>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B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5"/>
  </cols>
  <sheetData>
    <row r="1" customFormat="false" ht="24.4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COUNTA('All Worker Fields'!A:A)-1</f>
        <v>3254</v>
      </c>
    </row>
    <row r="6" customFormat="false" ht="15" hidden="false" customHeight="false" outlineLevel="0" collapsed="false">
      <c r="A6" s="4" t="s">
        <v>4</v>
      </c>
      <c r="B6" s="5" t="n">
        <f aca="false">COUNTIF('All Worker Fields'!C:C,"Workday Delivered")</f>
        <v>2835</v>
      </c>
    </row>
    <row r="7" customFormat="false" ht="15" hidden="false" customHeight="false" outlineLevel="0" collapsed="false">
      <c r="A7" s="4" t="s">
        <v>5</v>
      </c>
      <c r="B7" s="5" t="n">
        <f aca="false">COUNTIF('All Worker Fields'!C:C,"Calculated")</f>
        <v>408</v>
      </c>
    </row>
    <row r="8" customFormat="false" ht="15" hidden="false" customHeight="false" outlineLevel="0" collapsed="false">
      <c r="A8" s="4" t="s">
        <v>6</v>
      </c>
      <c r="B8" s="5" t="n">
        <f aca="false">COUNTIF('All Worker Fields'!C:C,"Custom Field")</f>
        <v>11</v>
      </c>
    </row>
    <row r="9" customFormat="false" ht="15" hidden="false" customHeight="false" outlineLevel="0" collapsed="false">
      <c r="A9" s="4" t="s">
        <v>7</v>
      </c>
      <c r="B9" s="5" t="n">
        <f aca="false">COUNTA('Related Objects'!A5:A2000)</f>
        <v>635</v>
      </c>
    </row>
    <row r="10" customFormat="false" ht="15" hidden="false" customHeight="false" outlineLevel="0" collapsed="false">
      <c r="A10" s="4" t="s">
        <v>8</v>
      </c>
      <c r="B10" s="5" t="n">
        <f aca="false">COUNTA('Common Fields'!C:C)-1</f>
        <v>178</v>
      </c>
    </row>
    <row r="12" customFormat="false" ht="15" hidden="false" customHeight="false" outlineLevel="0" collapsed="false">
      <c r="A12" s="3" t="s">
        <v>9</v>
      </c>
    </row>
    <row r="13" customFormat="false" ht="23.85" hidden="false" customHeight="false" outlineLevel="0" collapsed="false">
      <c r="A13" s="4" t="s">
        <v>10</v>
      </c>
      <c r="B13" s="6" t="s">
        <v>11</v>
      </c>
    </row>
    <row r="14" customFormat="false" ht="15" hidden="false" customHeight="false" outlineLevel="0" collapsed="false">
      <c r="A14" s="4" t="s">
        <v>12</v>
      </c>
      <c r="B14" s="6" t="s">
        <v>13</v>
      </c>
    </row>
    <row r="15" customFormat="false" ht="15" hidden="false" customHeight="false" outlineLevel="0" collapsed="false">
      <c r="A15" s="4" t="s">
        <v>14</v>
      </c>
      <c r="B15" s="6" t="s">
        <v>15</v>
      </c>
    </row>
    <row r="16" customFormat="false" ht="23.85" hidden="false" customHeight="false" outlineLevel="0" collapsed="false">
      <c r="A16" s="4" t="s">
        <v>16</v>
      </c>
      <c r="B16" s="6" t="s">
        <v>17</v>
      </c>
    </row>
    <row r="17" customFormat="false" ht="15" hidden="false" customHeight="false" outlineLevel="0" collapsed="false">
      <c r="A17" s="4" t="s">
        <v>18</v>
      </c>
      <c r="B17" s="6" t="s">
        <v>19</v>
      </c>
    </row>
    <row r="19" customFormat="false" ht="15" hidden="false" customHeight="false" outlineLevel="0" collapsed="false">
      <c r="A19" s="3" t="s">
        <v>20</v>
      </c>
    </row>
    <row r="20" customFormat="false" ht="15" hidden="false" customHeight="false" outlineLevel="0" collapsed="false">
      <c r="A20" s="4" t="s">
        <v>21</v>
      </c>
      <c r="B20" s="6" t="s">
        <v>22</v>
      </c>
    </row>
    <row r="21" customFormat="false" ht="15" hidden="false" customHeight="false" outlineLevel="0" collapsed="false">
      <c r="A21" s="4" t="s">
        <v>23</v>
      </c>
      <c r="B21" s="6" t="s">
        <v>24</v>
      </c>
    </row>
    <row r="22" customFormat="false" ht="15" hidden="false" customHeight="false" outlineLevel="0" collapsed="false">
      <c r="A22" s="4" t="s">
        <v>25</v>
      </c>
      <c r="B22" s="6" t="s">
        <v>26</v>
      </c>
    </row>
    <row r="23" customFormat="false" ht="15" hidden="false" customHeight="false" outlineLevel="0" collapsed="false">
      <c r="A23" s="4" t="s">
        <v>27</v>
      </c>
      <c r="B23" s="6" t="s">
        <v>28</v>
      </c>
    </row>
    <row r="24" customFormat="false" ht="15" hidden="false" customHeight="false" outlineLevel="0" collapsed="false">
      <c r="A24" s="4" t="s">
        <v>29</v>
      </c>
      <c r="B24" s="6" t="s">
        <v>30</v>
      </c>
    </row>
    <row r="25" customFormat="false" ht="15" hidden="false" customHeight="false" outlineLevel="0" collapsed="false">
      <c r="A25" s="4" t="s">
        <v>31</v>
      </c>
      <c r="B25" s="6" t="s">
        <v>32</v>
      </c>
    </row>
    <row r="26" customFormat="false" ht="23.85" hidden="false" customHeight="false" outlineLevel="0" collapsed="false">
      <c r="A26" s="4" t="s">
        <v>33</v>
      </c>
      <c r="B26" s="6" t="s">
        <v>34</v>
      </c>
    </row>
    <row r="27" customFormat="false" ht="15" hidden="false" customHeight="false" outlineLevel="0" collapsed="false">
      <c r="A27" s="4" t="s">
        <v>35</v>
      </c>
      <c r="B27" s="6" t="s">
        <v>36</v>
      </c>
    </row>
    <row r="29" customFormat="false" ht="45" hidden="false" customHeight="true" outlineLevel="0" collapsed="false">
      <c r="A29" s="4" t="s">
        <v>37</v>
      </c>
      <c r="B29" s="6"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K1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34"/>
    <col collapsed="false" customWidth="true" hidden="false" outlineLevel="0" max="4" min="4" style="0" width="16"/>
    <col collapsed="false" customWidth="true" hidden="false" outlineLevel="0" max="5" min="5" style="0" width="26"/>
    <col collapsed="false" customWidth="true" hidden="false" outlineLevel="0" max="6" min="6" style="0" width="60"/>
    <col collapsed="false" customWidth="true" hidden="false" outlineLevel="0" max="7" min="7" style="0" width="15"/>
    <col collapsed="false" customWidth="true" hidden="false" outlineLevel="0" max="8" min="8" style="0" width="18"/>
    <col collapsed="false" customWidth="true" hidden="false" outlineLevel="0" max="9" min="9" style="0" width="20"/>
    <col collapsed="false" customWidth="true" hidden="false" outlineLevel="0" max="10" min="10" style="0" width="22"/>
    <col collapsed="false" customWidth="true" hidden="false" outlineLevel="0" max="11" min="11" style="0" width="55"/>
  </cols>
  <sheetData>
    <row r="1" customFormat="false" ht="19.7" hidden="false" customHeight="false" outlineLevel="0" collapsed="false">
      <c r="A1" s="7" t="s">
        <v>39</v>
      </c>
    </row>
    <row r="2" customFormat="false" ht="15" hidden="false" customHeight="false" outlineLevel="0" collapsed="false">
      <c r="A2" s="2" t="s">
        <v>40</v>
      </c>
    </row>
    <row r="4" customFormat="false" ht="30" hidden="false" customHeight="true" outlineLevel="0" collapsed="false">
      <c r="A4" s="8" t="s">
        <v>41</v>
      </c>
      <c r="B4" s="8" t="s">
        <v>42</v>
      </c>
      <c r="C4" s="8" t="s">
        <v>21</v>
      </c>
      <c r="D4" s="8" t="s">
        <v>23</v>
      </c>
      <c r="E4" s="8" t="s">
        <v>25</v>
      </c>
      <c r="F4" s="8" t="s">
        <v>43</v>
      </c>
      <c r="G4" s="8" t="s">
        <v>27</v>
      </c>
      <c r="H4" s="8" t="s">
        <v>29</v>
      </c>
      <c r="I4" s="8" t="s">
        <v>31</v>
      </c>
      <c r="J4" s="8" t="s">
        <v>33</v>
      </c>
      <c r="K4" s="8" t="s">
        <v>35</v>
      </c>
    </row>
    <row r="5" customFormat="false" ht="23.85" hidden="false" customHeight="false" outlineLevel="0" collapsed="false">
      <c r="A5" s="9" t="n">
        <v>1</v>
      </c>
      <c r="B5" s="9" t="s">
        <v>44</v>
      </c>
      <c r="C5" s="10" t="s">
        <v>45</v>
      </c>
      <c r="D5" s="11" t="s">
        <v>46</v>
      </c>
      <c r="E5" s="9" t="s">
        <v>45</v>
      </c>
      <c r="F5" s="9" t="s">
        <v>47</v>
      </c>
      <c r="G5" s="9" t="s">
        <v>48</v>
      </c>
      <c r="H5" s="9"/>
      <c r="I5" s="9" t="s">
        <v>49</v>
      </c>
      <c r="J5" s="9" t="s">
        <v>50</v>
      </c>
      <c r="K5" s="9" t="s">
        <v>51</v>
      </c>
    </row>
    <row r="6" customFormat="false" ht="23.85" hidden="false" customHeight="false" outlineLevel="0" collapsed="false">
      <c r="A6" s="12" t="n">
        <v>2</v>
      </c>
      <c r="B6" s="12" t="s">
        <v>44</v>
      </c>
      <c r="C6" s="13" t="s">
        <v>52</v>
      </c>
      <c r="D6" s="14" t="s">
        <v>53</v>
      </c>
      <c r="E6" s="12"/>
      <c r="F6" s="12" t="s">
        <v>54</v>
      </c>
      <c r="G6" s="12" t="s">
        <v>48</v>
      </c>
      <c r="H6" s="12"/>
      <c r="I6" s="12" t="s">
        <v>49</v>
      </c>
      <c r="J6" s="12" t="s">
        <v>49</v>
      </c>
      <c r="K6" s="12" t="s">
        <v>55</v>
      </c>
    </row>
    <row r="7" customFormat="false" ht="46.25" hidden="false" customHeight="false" outlineLevel="0" collapsed="false">
      <c r="A7" s="9" t="n">
        <v>3</v>
      </c>
      <c r="B7" s="9" t="s">
        <v>44</v>
      </c>
      <c r="C7" s="10" t="s">
        <v>56</v>
      </c>
      <c r="D7" s="15" t="s">
        <v>57</v>
      </c>
      <c r="E7" s="9" t="s">
        <v>58</v>
      </c>
      <c r="F7" s="9" t="s">
        <v>59</v>
      </c>
      <c r="G7" s="9" t="s">
        <v>48</v>
      </c>
      <c r="H7" s="9"/>
      <c r="I7" s="9" t="s">
        <v>60</v>
      </c>
      <c r="J7" s="9" t="s">
        <v>61</v>
      </c>
      <c r="K7" s="9" t="s">
        <v>62</v>
      </c>
    </row>
    <row r="8" customFormat="false" ht="23.85" hidden="false" customHeight="false" outlineLevel="0" collapsed="false">
      <c r="A8" s="12" t="n">
        <v>4</v>
      </c>
      <c r="B8" s="12" t="s">
        <v>44</v>
      </c>
      <c r="C8" s="13" t="s">
        <v>63</v>
      </c>
      <c r="D8" s="14" t="s">
        <v>53</v>
      </c>
      <c r="E8" s="12"/>
      <c r="F8" s="12" t="s">
        <v>64</v>
      </c>
      <c r="G8" s="12" t="s">
        <v>48</v>
      </c>
      <c r="H8" s="12"/>
      <c r="I8" s="12" t="s">
        <v>60</v>
      </c>
      <c r="J8" s="12" t="s">
        <v>61</v>
      </c>
      <c r="K8" s="12" t="s">
        <v>65</v>
      </c>
    </row>
    <row r="9" customFormat="false" ht="23.85" hidden="false" customHeight="false" outlineLevel="0" collapsed="false">
      <c r="A9" s="9" t="n">
        <v>5</v>
      </c>
      <c r="B9" s="9" t="s">
        <v>44</v>
      </c>
      <c r="C9" s="10" t="s">
        <v>66</v>
      </c>
      <c r="D9" s="14" t="s">
        <v>53</v>
      </c>
      <c r="E9" s="9"/>
      <c r="F9" s="9" t="s">
        <v>67</v>
      </c>
      <c r="G9" s="9" t="s">
        <v>48</v>
      </c>
      <c r="H9" s="9"/>
      <c r="I9" s="9" t="s">
        <v>60</v>
      </c>
      <c r="J9" s="9" t="s">
        <v>61</v>
      </c>
      <c r="K9" s="9"/>
    </row>
    <row r="10" customFormat="false" ht="23.85" hidden="false" customHeight="false" outlineLevel="0" collapsed="false">
      <c r="A10" s="12" t="n">
        <v>6</v>
      </c>
      <c r="B10" s="12" t="s">
        <v>44</v>
      </c>
      <c r="C10" s="13" t="s">
        <v>68</v>
      </c>
      <c r="D10" s="14" t="s">
        <v>53</v>
      </c>
      <c r="E10" s="12"/>
      <c r="F10" s="12" t="s">
        <v>69</v>
      </c>
      <c r="G10" s="12" t="s">
        <v>48</v>
      </c>
      <c r="H10" s="12"/>
      <c r="I10" s="12" t="s">
        <v>60</v>
      </c>
      <c r="J10" s="12" t="s">
        <v>61</v>
      </c>
      <c r="K10" s="12" t="s">
        <v>70</v>
      </c>
    </row>
    <row r="11" customFormat="false" ht="35.05" hidden="false" customHeight="false" outlineLevel="0" collapsed="false">
      <c r="A11" s="9" t="n">
        <v>7</v>
      </c>
      <c r="B11" s="9" t="s">
        <v>44</v>
      </c>
      <c r="C11" s="10" t="s">
        <v>71</v>
      </c>
      <c r="D11" s="14" t="s">
        <v>53</v>
      </c>
      <c r="E11" s="9"/>
      <c r="F11" s="9" t="s">
        <v>72</v>
      </c>
      <c r="G11" s="9" t="s">
        <v>48</v>
      </c>
      <c r="H11" s="9"/>
      <c r="I11" s="9" t="s">
        <v>60</v>
      </c>
      <c r="J11" s="9" t="s">
        <v>61</v>
      </c>
      <c r="K11" s="9" t="s">
        <v>73</v>
      </c>
    </row>
    <row r="12" customFormat="false" ht="23.85" hidden="false" customHeight="false" outlineLevel="0" collapsed="false">
      <c r="A12" s="12" t="n">
        <v>8</v>
      </c>
      <c r="B12" s="12" t="s">
        <v>44</v>
      </c>
      <c r="C12" s="13" t="s">
        <v>74</v>
      </c>
      <c r="D12" s="15" t="s">
        <v>57</v>
      </c>
      <c r="E12" s="12" t="s">
        <v>58</v>
      </c>
      <c r="F12" s="12" t="s">
        <v>75</v>
      </c>
      <c r="G12" s="12" t="s">
        <v>48</v>
      </c>
      <c r="H12" s="12"/>
      <c r="I12" s="12" t="s">
        <v>60</v>
      </c>
      <c r="J12" s="12" t="s">
        <v>61</v>
      </c>
      <c r="K12" s="12" t="s">
        <v>76</v>
      </c>
    </row>
    <row r="13" customFormat="false" ht="23.85" hidden="false" customHeight="false" outlineLevel="0" collapsed="false">
      <c r="A13" s="9" t="n">
        <v>9</v>
      </c>
      <c r="B13" s="9" t="s">
        <v>44</v>
      </c>
      <c r="C13" s="10" t="s">
        <v>77</v>
      </c>
      <c r="D13" s="14" t="s">
        <v>53</v>
      </c>
      <c r="E13" s="9"/>
      <c r="F13" s="9" t="s">
        <v>78</v>
      </c>
      <c r="G13" s="9" t="s">
        <v>48</v>
      </c>
      <c r="H13" s="9"/>
      <c r="I13" s="9" t="s">
        <v>60</v>
      </c>
      <c r="J13" s="9" t="s">
        <v>61</v>
      </c>
      <c r="K13" s="9"/>
    </row>
    <row r="14" customFormat="false" ht="23.85" hidden="false" customHeight="false" outlineLevel="0" collapsed="false">
      <c r="A14" s="12" t="n">
        <v>10</v>
      </c>
      <c r="B14" s="12" t="s">
        <v>44</v>
      </c>
      <c r="C14" s="13" t="s">
        <v>79</v>
      </c>
      <c r="D14" s="14" t="s">
        <v>53</v>
      </c>
      <c r="E14" s="12"/>
      <c r="F14" s="12" t="s">
        <v>80</v>
      </c>
      <c r="G14" s="12" t="s">
        <v>48</v>
      </c>
      <c r="H14" s="12"/>
      <c r="I14" s="12" t="s">
        <v>60</v>
      </c>
      <c r="J14" s="12" t="s">
        <v>61</v>
      </c>
      <c r="K14" s="12"/>
    </row>
    <row r="15" customFormat="false" ht="23.85" hidden="false" customHeight="false" outlineLevel="0" collapsed="false">
      <c r="A15" s="9" t="n">
        <v>11</v>
      </c>
      <c r="B15" s="9" t="s">
        <v>44</v>
      </c>
      <c r="C15" s="10" t="s">
        <v>81</v>
      </c>
      <c r="D15" s="14" t="s">
        <v>53</v>
      </c>
      <c r="E15" s="9"/>
      <c r="F15" s="9" t="s">
        <v>82</v>
      </c>
      <c r="G15" s="9" t="s">
        <v>48</v>
      </c>
      <c r="H15" s="9"/>
      <c r="I15" s="9" t="s">
        <v>83</v>
      </c>
      <c r="J15" s="9" t="s">
        <v>61</v>
      </c>
      <c r="K15" s="9" t="s">
        <v>84</v>
      </c>
    </row>
    <row r="16" customFormat="false" ht="23.85" hidden="false" customHeight="false" outlineLevel="0" collapsed="false">
      <c r="A16" s="12" t="n">
        <v>12</v>
      </c>
      <c r="B16" s="12" t="s">
        <v>44</v>
      </c>
      <c r="C16" s="13" t="s">
        <v>85</v>
      </c>
      <c r="D16" s="14" t="s">
        <v>53</v>
      </c>
      <c r="E16" s="12"/>
      <c r="F16" s="12" t="s">
        <v>86</v>
      </c>
      <c r="G16" s="12" t="s">
        <v>48</v>
      </c>
      <c r="H16" s="12"/>
      <c r="I16" s="12" t="s">
        <v>87</v>
      </c>
      <c r="J16" s="12" t="s">
        <v>61</v>
      </c>
      <c r="K16" s="12" t="s">
        <v>88</v>
      </c>
    </row>
    <row r="17" customFormat="false" ht="23.85" hidden="false" customHeight="false" outlineLevel="0" collapsed="false">
      <c r="A17" s="9" t="n">
        <v>13</v>
      </c>
      <c r="B17" s="9" t="s">
        <v>44</v>
      </c>
      <c r="C17" s="10" t="s">
        <v>89</v>
      </c>
      <c r="D17" s="15" t="s">
        <v>57</v>
      </c>
      <c r="E17" s="9" t="s">
        <v>89</v>
      </c>
      <c r="F17" s="9" t="s">
        <v>90</v>
      </c>
      <c r="G17" s="9" t="s">
        <v>48</v>
      </c>
      <c r="H17" s="9"/>
      <c r="I17" s="9" t="s">
        <v>91</v>
      </c>
      <c r="J17" s="9" t="s">
        <v>61</v>
      </c>
      <c r="K17" s="9" t="s">
        <v>92</v>
      </c>
    </row>
    <row r="18" customFormat="false" ht="23.85" hidden="false" customHeight="false" outlineLevel="0" collapsed="false">
      <c r="A18" s="12" t="n">
        <v>14</v>
      </c>
      <c r="B18" s="12" t="s">
        <v>44</v>
      </c>
      <c r="C18" s="13" t="s">
        <v>93</v>
      </c>
      <c r="D18" s="15" t="s">
        <v>57</v>
      </c>
      <c r="E18" s="12" t="s">
        <v>94</v>
      </c>
      <c r="F18" s="12" t="s">
        <v>95</v>
      </c>
      <c r="G18" s="12" t="s">
        <v>48</v>
      </c>
      <c r="H18" s="12"/>
      <c r="I18" s="12" t="s">
        <v>87</v>
      </c>
      <c r="J18" s="12" t="s">
        <v>61</v>
      </c>
      <c r="K18" s="12" t="s">
        <v>96</v>
      </c>
    </row>
    <row r="19" customFormat="false" ht="23.85" hidden="false" customHeight="false" outlineLevel="0" collapsed="false">
      <c r="A19" s="9" t="n">
        <v>15</v>
      </c>
      <c r="B19" s="9" t="s">
        <v>44</v>
      </c>
      <c r="C19" s="10" t="s">
        <v>97</v>
      </c>
      <c r="D19" s="14" t="s">
        <v>53</v>
      </c>
      <c r="E19" s="9"/>
      <c r="F19" s="9" t="s">
        <v>98</v>
      </c>
      <c r="G19" s="9" t="s">
        <v>48</v>
      </c>
      <c r="H19" s="9"/>
      <c r="I19" s="9" t="s">
        <v>99</v>
      </c>
      <c r="J19" s="9" t="s">
        <v>61</v>
      </c>
      <c r="K19" s="9" t="s">
        <v>100</v>
      </c>
    </row>
    <row r="20" customFormat="false" ht="23.85" hidden="false" customHeight="false" outlineLevel="0" collapsed="false">
      <c r="A20" s="12" t="n">
        <v>16</v>
      </c>
      <c r="B20" s="12" t="s">
        <v>101</v>
      </c>
      <c r="C20" s="13" t="s">
        <v>102</v>
      </c>
      <c r="D20" s="15" t="s">
        <v>57</v>
      </c>
      <c r="E20" s="12" t="s">
        <v>102</v>
      </c>
      <c r="F20" s="12" t="s">
        <v>103</v>
      </c>
      <c r="G20" s="12" t="s">
        <v>48</v>
      </c>
      <c r="H20" s="12"/>
      <c r="I20" s="12" t="s">
        <v>104</v>
      </c>
      <c r="J20" s="12" t="s">
        <v>50</v>
      </c>
      <c r="K20" s="12" t="s">
        <v>105</v>
      </c>
    </row>
    <row r="21" customFormat="false" ht="23.85" hidden="false" customHeight="false" outlineLevel="0" collapsed="false">
      <c r="A21" s="9" t="n">
        <v>17</v>
      </c>
      <c r="B21" s="9" t="s">
        <v>101</v>
      </c>
      <c r="C21" s="10" t="s">
        <v>106</v>
      </c>
      <c r="D21" s="16" t="s">
        <v>107</v>
      </c>
      <c r="E21" s="9" t="s">
        <v>106</v>
      </c>
      <c r="F21" s="9" t="s">
        <v>108</v>
      </c>
      <c r="G21" s="9" t="s">
        <v>48</v>
      </c>
      <c r="H21" s="9"/>
      <c r="I21" s="9" t="s">
        <v>49</v>
      </c>
      <c r="J21" s="9" t="s">
        <v>49</v>
      </c>
      <c r="K21" s="9" t="s">
        <v>109</v>
      </c>
    </row>
    <row r="22" customFormat="false" ht="23.85" hidden="false" customHeight="false" outlineLevel="0" collapsed="false">
      <c r="A22" s="12" t="n">
        <v>18</v>
      </c>
      <c r="B22" s="12" t="s">
        <v>101</v>
      </c>
      <c r="C22" s="13" t="s">
        <v>110</v>
      </c>
      <c r="D22" s="15" t="s">
        <v>57</v>
      </c>
      <c r="E22" s="12" t="s">
        <v>110</v>
      </c>
      <c r="F22" s="12" t="s">
        <v>111</v>
      </c>
      <c r="G22" s="12" t="s">
        <v>48</v>
      </c>
      <c r="H22" s="12"/>
      <c r="I22" s="12" t="s">
        <v>49</v>
      </c>
      <c r="J22" s="12" t="s">
        <v>50</v>
      </c>
      <c r="K22" s="12" t="s">
        <v>112</v>
      </c>
    </row>
    <row r="23" customFormat="false" ht="23.85" hidden="false" customHeight="false" outlineLevel="0" collapsed="false">
      <c r="A23" s="9" t="n">
        <v>19</v>
      </c>
      <c r="B23" s="9" t="s">
        <v>101</v>
      </c>
      <c r="C23" s="10" t="s">
        <v>113</v>
      </c>
      <c r="D23" s="17" t="s">
        <v>114</v>
      </c>
      <c r="E23" s="9"/>
      <c r="F23" s="9" t="s">
        <v>115</v>
      </c>
      <c r="G23" s="9" t="s">
        <v>48</v>
      </c>
      <c r="H23" s="9"/>
      <c r="I23" s="9" t="s">
        <v>49</v>
      </c>
      <c r="J23" s="9" t="s">
        <v>49</v>
      </c>
      <c r="K23" s="9" t="s">
        <v>116</v>
      </c>
    </row>
    <row r="24" customFormat="false" ht="35.05" hidden="false" customHeight="false" outlineLevel="0" collapsed="false">
      <c r="A24" s="12" t="n">
        <v>20</v>
      </c>
      <c r="B24" s="12" t="s">
        <v>101</v>
      </c>
      <c r="C24" s="13" t="s">
        <v>117</v>
      </c>
      <c r="D24" s="17" t="s">
        <v>114</v>
      </c>
      <c r="E24" s="12"/>
      <c r="F24" s="12" t="s">
        <v>118</v>
      </c>
      <c r="G24" s="12" t="s">
        <v>48</v>
      </c>
      <c r="H24" s="12"/>
      <c r="I24" s="12" t="s">
        <v>119</v>
      </c>
      <c r="J24" s="12" t="s">
        <v>61</v>
      </c>
      <c r="K24" s="12" t="s">
        <v>120</v>
      </c>
    </row>
    <row r="25" customFormat="false" ht="35.05" hidden="false" customHeight="false" outlineLevel="0" collapsed="false">
      <c r="A25" s="9" t="n">
        <v>21</v>
      </c>
      <c r="B25" s="9" t="s">
        <v>101</v>
      </c>
      <c r="C25" s="10" t="s">
        <v>121</v>
      </c>
      <c r="D25" s="17" t="s">
        <v>114</v>
      </c>
      <c r="E25" s="9"/>
      <c r="F25" s="9" t="s">
        <v>122</v>
      </c>
      <c r="G25" s="9" t="s">
        <v>48</v>
      </c>
      <c r="H25" s="9"/>
      <c r="I25" s="9" t="s">
        <v>104</v>
      </c>
      <c r="J25" s="9" t="s">
        <v>50</v>
      </c>
      <c r="K25" s="9" t="s">
        <v>123</v>
      </c>
    </row>
    <row r="26" customFormat="false" ht="23.85" hidden="false" customHeight="false" outlineLevel="0" collapsed="false">
      <c r="A26" s="12" t="n">
        <v>22</v>
      </c>
      <c r="B26" s="12" t="s">
        <v>101</v>
      </c>
      <c r="C26" s="13" t="s">
        <v>124</v>
      </c>
      <c r="D26" s="17" t="s">
        <v>114</v>
      </c>
      <c r="E26" s="12"/>
      <c r="F26" s="12" t="s">
        <v>125</v>
      </c>
      <c r="G26" s="12" t="s">
        <v>48</v>
      </c>
      <c r="H26" s="12"/>
      <c r="I26" s="12" t="s">
        <v>49</v>
      </c>
      <c r="J26" s="12" t="s">
        <v>50</v>
      </c>
      <c r="K26" s="12" t="s">
        <v>126</v>
      </c>
    </row>
    <row r="27" customFormat="false" ht="23.85" hidden="false" customHeight="false" outlineLevel="0" collapsed="false">
      <c r="A27" s="9" t="n">
        <v>23</v>
      </c>
      <c r="B27" s="9" t="s">
        <v>101</v>
      </c>
      <c r="C27" s="10" t="s">
        <v>127</v>
      </c>
      <c r="D27" s="17" t="s">
        <v>114</v>
      </c>
      <c r="E27" s="9"/>
      <c r="F27" s="9" t="s">
        <v>128</v>
      </c>
      <c r="G27" s="9" t="s">
        <v>48</v>
      </c>
      <c r="H27" s="9"/>
      <c r="I27" s="9" t="s">
        <v>104</v>
      </c>
      <c r="J27" s="9" t="s">
        <v>50</v>
      </c>
      <c r="K27" s="9" t="s">
        <v>129</v>
      </c>
    </row>
    <row r="28" customFormat="false" ht="35.05" hidden="false" customHeight="false" outlineLevel="0" collapsed="false">
      <c r="A28" s="12" t="n">
        <v>24</v>
      </c>
      <c r="B28" s="12" t="s">
        <v>101</v>
      </c>
      <c r="C28" s="13" t="s">
        <v>130</v>
      </c>
      <c r="D28" s="17" t="s">
        <v>114</v>
      </c>
      <c r="E28" s="12"/>
      <c r="F28" s="12" t="s">
        <v>131</v>
      </c>
      <c r="G28" s="12" t="s">
        <v>48</v>
      </c>
      <c r="H28" s="12"/>
      <c r="I28" s="12" t="s">
        <v>119</v>
      </c>
      <c r="J28" s="12" t="s">
        <v>61</v>
      </c>
      <c r="K28" s="12" t="s">
        <v>132</v>
      </c>
    </row>
    <row r="29" customFormat="false" ht="23.85" hidden="false" customHeight="false" outlineLevel="0" collapsed="false">
      <c r="A29" s="9" t="n">
        <v>25</v>
      </c>
      <c r="B29" s="9" t="s">
        <v>101</v>
      </c>
      <c r="C29" s="10" t="s">
        <v>133</v>
      </c>
      <c r="D29" s="17" t="s">
        <v>114</v>
      </c>
      <c r="E29" s="9"/>
      <c r="F29" s="9" t="s">
        <v>134</v>
      </c>
      <c r="G29" s="9" t="s">
        <v>48</v>
      </c>
      <c r="H29" s="9"/>
      <c r="I29" s="9" t="s">
        <v>49</v>
      </c>
      <c r="J29" s="9" t="s">
        <v>49</v>
      </c>
      <c r="K29" s="9" t="s">
        <v>135</v>
      </c>
    </row>
    <row r="30" customFormat="false" ht="23.85" hidden="false" customHeight="false" outlineLevel="0" collapsed="false">
      <c r="A30" s="12" t="n">
        <v>26</v>
      </c>
      <c r="B30" s="12" t="s">
        <v>101</v>
      </c>
      <c r="C30" s="13" t="s">
        <v>136</v>
      </c>
      <c r="D30" s="15" t="s">
        <v>57</v>
      </c>
      <c r="E30" s="12" t="s">
        <v>136</v>
      </c>
      <c r="F30" s="12" t="s">
        <v>137</v>
      </c>
      <c r="G30" s="12" t="s">
        <v>48</v>
      </c>
      <c r="H30" s="12"/>
      <c r="I30" s="12" t="s">
        <v>104</v>
      </c>
      <c r="J30" s="12" t="s">
        <v>50</v>
      </c>
      <c r="K30" s="12" t="s">
        <v>138</v>
      </c>
    </row>
    <row r="31" customFormat="false" ht="23.85" hidden="false" customHeight="false" outlineLevel="0" collapsed="false">
      <c r="A31" s="9" t="n">
        <v>27</v>
      </c>
      <c r="B31" s="9" t="s">
        <v>101</v>
      </c>
      <c r="C31" s="10" t="s">
        <v>139</v>
      </c>
      <c r="D31" s="15" t="s">
        <v>57</v>
      </c>
      <c r="E31" s="9" t="s">
        <v>139</v>
      </c>
      <c r="F31" s="9" t="s">
        <v>140</v>
      </c>
      <c r="G31" s="9" t="s">
        <v>48</v>
      </c>
      <c r="H31" s="9"/>
      <c r="I31" s="9" t="s">
        <v>49</v>
      </c>
      <c r="J31" s="9" t="s">
        <v>50</v>
      </c>
      <c r="K31" s="9" t="s">
        <v>141</v>
      </c>
    </row>
    <row r="32" customFormat="false" ht="23.85" hidden="false" customHeight="false" outlineLevel="0" collapsed="false">
      <c r="A32" s="12" t="n">
        <v>28</v>
      </c>
      <c r="B32" s="12" t="s">
        <v>101</v>
      </c>
      <c r="C32" s="13" t="s">
        <v>142</v>
      </c>
      <c r="D32" s="17" t="s">
        <v>114</v>
      </c>
      <c r="E32" s="12"/>
      <c r="F32" s="12" t="s">
        <v>143</v>
      </c>
      <c r="G32" s="12" t="s">
        <v>48</v>
      </c>
      <c r="H32" s="12"/>
      <c r="I32" s="12" t="s">
        <v>104</v>
      </c>
      <c r="J32" s="12" t="s">
        <v>50</v>
      </c>
      <c r="K32" s="12" t="s">
        <v>144</v>
      </c>
    </row>
    <row r="33" customFormat="false" ht="23.85" hidden="false" customHeight="false" outlineLevel="0" collapsed="false">
      <c r="A33" s="9" t="n">
        <v>29</v>
      </c>
      <c r="B33" s="9" t="s">
        <v>101</v>
      </c>
      <c r="C33" s="10" t="s">
        <v>145</v>
      </c>
      <c r="D33" s="18" t="s">
        <v>146</v>
      </c>
      <c r="E33" s="9"/>
      <c r="F33" s="9" t="s">
        <v>147</v>
      </c>
      <c r="G33" s="9" t="s">
        <v>48</v>
      </c>
      <c r="H33" s="9"/>
      <c r="I33" s="9" t="s">
        <v>49</v>
      </c>
      <c r="J33" s="9" t="s">
        <v>49</v>
      </c>
      <c r="K33" s="9" t="s">
        <v>148</v>
      </c>
    </row>
    <row r="34" customFormat="false" ht="35.05" hidden="false" customHeight="false" outlineLevel="0" collapsed="false">
      <c r="A34" s="12" t="n">
        <v>30</v>
      </c>
      <c r="B34" s="12" t="s">
        <v>101</v>
      </c>
      <c r="C34" s="13" t="s">
        <v>149</v>
      </c>
      <c r="D34" s="18" t="s">
        <v>146</v>
      </c>
      <c r="E34" s="12"/>
      <c r="F34" s="12" t="s">
        <v>150</v>
      </c>
      <c r="G34" s="12" t="s">
        <v>48</v>
      </c>
      <c r="H34" s="12"/>
      <c r="I34" s="12" t="s">
        <v>49</v>
      </c>
      <c r="J34" s="12" t="s">
        <v>49</v>
      </c>
      <c r="K34" s="12" t="s">
        <v>151</v>
      </c>
    </row>
    <row r="35" customFormat="false" ht="46.25" hidden="false" customHeight="false" outlineLevel="0" collapsed="false">
      <c r="A35" s="9" t="n">
        <v>31</v>
      </c>
      <c r="B35" s="9" t="s">
        <v>101</v>
      </c>
      <c r="C35" s="10" t="s">
        <v>152</v>
      </c>
      <c r="D35" s="18" t="s">
        <v>146</v>
      </c>
      <c r="E35" s="9"/>
      <c r="F35" s="9" t="s">
        <v>153</v>
      </c>
      <c r="G35" s="9" t="s">
        <v>48</v>
      </c>
      <c r="H35" s="9"/>
      <c r="I35" s="9" t="s">
        <v>119</v>
      </c>
      <c r="J35" s="9" t="s">
        <v>61</v>
      </c>
      <c r="K35" s="9" t="s">
        <v>154</v>
      </c>
    </row>
    <row r="36" customFormat="false" ht="23.85" hidden="false" customHeight="false" outlineLevel="0" collapsed="false">
      <c r="A36" s="12" t="n">
        <v>32</v>
      </c>
      <c r="B36" s="12" t="s">
        <v>155</v>
      </c>
      <c r="C36" s="13" t="s">
        <v>156</v>
      </c>
      <c r="D36" s="19" t="s">
        <v>157</v>
      </c>
      <c r="E36" s="12"/>
      <c r="F36" s="12" t="s">
        <v>158</v>
      </c>
      <c r="G36" s="12" t="s">
        <v>48</v>
      </c>
      <c r="H36" s="12"/>
      <c r="I36" s="12" t="s">
        <v>49</v>
      </c>
      <c r="J36" s="12" t="s">
        <v>50</v>
      </c>
      <c r="K36" s="12" t="s">
        <v>159</v>
      </c>
    </row>
    <row r="37" customFormat="false" ht="23.85" hidden="false" customHeight="false" outlineLevel="0" collapsed="false">
      <c r="A37" s="9" t="n">
        <v>33</v>
      </c>
      <c r="B37" s="9" t="s">
        <v>155</v>
      </c>
      <c r="C37" s="10" t="s">
        <v>160</v>
      </c>
      <c r="D37" s="19" t="s">
        <v>157</v>
      </c>
      <c r="E37" s="9"/>
      <c r="F37" s="9" t="s">
        <v>161</v>
      </c>
      <c r="G37" s="9" t="s">
        <v>48</v>
      </c>
      <c r="H37" s="9"/>
      <c r="I37" s="9" t="s">
        <v>49</v>
      </c>
      <c r="J37" s="9" t="s">
        <v>49</v>
      </c>
      <c r="K37" s="9" t="s">
        <v>162</v>
      </c>
    </row>
    <row r="38" customFormat="false" ht="23.85" hidden="false" customHeight="false" outlineLevel="0" collapsed="false">
      <c r="A38" s="12" t="n">
        <v>34</v>
      </c>
      <c r="B38" s="12" t="s">
        <v>155</v>
      </c>
      <c r="C38" s="13" t="s">
        <v>163</v>
      </c>
      <c r="D38" s="19" t="s">
        <v>157</v>
      </c>
      <c r="E38" s="12"/>
      <c r="F38" s="12" t="s">
        <v>164</v>
      </c>
      <c r="G38" s="12" t="s">
        <v>48</v>
      </c>
      <c r="H38" s="12"/>
      <c r="I38" s="12" t="s">
        <v>104</v>
      </c>
      <c r="J38" s="12" t="s">
        <v>49</v>
      </c>
      <c r="K38" s="12" t="s">
        <v>165</v>
      </c>
    </row>
    <row r="39" customFormat="false" ht="23.85" hidden="false" customHeight="false" outlineLevel="0" collapsed="false">
      <c r="A39" s="9" t="n">
        <v>35</v>
      </c>
      <c r="B39" s="9" t="s">
        <v>155</v>
      </c>
      <c r="C39" s="10" t="s">
        <v>166</v>
      </c>
      <c r="D39" s="19" t="s">
        <v>157</v>
      </c>
      <c r="E39" s="9"/>
      <c r="F39" s="9" t="s">
        <v>167</v>
      </c>
      <c r="G39" s="9" t="s">
        <v>48</v>
      </c>
      <c r="H39" s="9"/>
      <c r="I39" s="9" t="s">
        <v>49</v>
      </c>
      <c r="J39" s="9" t="s">
        <v>49</v>
      </c>
      <c r="K39" s="9" t="s">
        <v>168</v>
      </c>
    </row>
    <row r="40" customFormat="false" ht="23.85" hidden="false" customHeight="false" outlineLevel="0" collapsed="false">
      <c r="A40" s="12" t="n">
        <v>36</v>
      </c>
      <c r="B40" s="12" t="s">
        <v>155</v>
      </c>
      <c r="C40" s="13" t="s">
        <v>169</v>
      </c>
      <c r="D40" s="19" t="s">
        <v>157</v>
      </c>
      <c r="E40" s="12"/>
      <c r="F40" s="12" t="s">
        <v>170</v>
      </c>
      <c r="G40" s="12" t="s">
        <v>48</v>
      </c>
      <c r="H40" s="12"/>
      <c r="I40" s="12" t="s">
        <v>49</v>
      </c>
      <c r="J40" s="12" t="s">
        <v>49</v>
      </c>
      <c r="K40" s="12" t="s">
        <v>171</v>
      </c>
    </row>
    <row r="41" customFormat="false" ht="23.85" hidden="false" customHeight="false" outlineLevel="0" collapsed="false">
      <c r="A41" s="9" t="n">
        <v>37</v>
      </c>
      <c r="B41" s="9" t="s">
        <v>155</v>
      </c>
      <c r="C41" s="10" t="s">
        <v>172</v>
      </c>
      <c r="D41" s="19" t="s">
        <v>157</v>
      </c>
      <c r="E41" s="9"/>
      <c r="F41" s="9" t="s">
        <v>173</v>
      </c>
      <c r="G41" s="9" t="s">
        <v>48</v>
      </c>
      <c r="H41" s="9" t="s">
        <v>174</v>
      </c>
      <c r="I41" s="9" t="s">
        <v>175</v>
      </c>
      <c r="J41" s="9" t="s">
        <v>61</v>
      </c>
      <c r="K41" s="9" t="s">
        <v>176</v>
      </c>
    </row>
    <row r="42" customFormat="false" ht="23.85" hidden="false" customHeight="false" outlineLevel="0" collapsed="false">
      <c r="A42" s="12" t="n">
        <v>38</v>
      </c>
      <c r="B42" s="12" t="s">
        <v>155</v>
      </c>
      <c r="C42" s="13" t="s">
        <v>177</v>
      </c>
      <c r="D42" s="19" t="s">
        <v>157</v>
      </c>
      <c r="E42" s="12"/>
      <c r="F42" s="12" t="s">
        <v>178</v>
      </c>
      <c r="G42" s="12" t="s">
        <v>48</v>
      </c>
      <c r="H42" s="12"/>
      <c r="I42" s="12" t="s">
        <v>119</v>
      </c>
      <c r="J42" s="12" t="s">
        <v>61</v>
      </c>
      <c r="K42" s="12" t="s">
        <v>179</v>
      </c>
    </row>
    <row r="43" customFormat="false" ht="23.85" hidden="false" customHeight="false" outlineLevel="0" collapsed="false">
      <c r="A43" s="9" t="n">
        <v>39</v>
      </c>
      <c r="B43" s="9" t="s">
        <v>155</v>
      </c>
      <c r="C43" s="10" t="s">
        <v>180</v>
      </c>
      <c r="D43" s="19" t="s">
        <v>157</v>
      </c>
      <c r="E43" s="9"/>
      <c r="F43" s="9" t="s">
        <v>181</v>
      </c>
      <c r="G43" s="9" t="s">
        <v>48</v>
      </c>
      <c r="H43" s="9"/>
      <c r="I43" s="9" t="s">
        <v>119</v>
      </c>
      <c r="J43" s="9" t="s">
        <v>61</v>
      </c>
      <c r="K43" s="9" t="s">
        <v>182</v>
      </c>
    </row>
    <row r="44" customFormat="false" ht="46.25" hidden="false" customHeight="false" outlineLevel="0" collapsed="false">
      <c r="A44" s="12" t="n">
        <v>40</v>
      </c>
      <c r="B44" s="12" t="s">
        <v>155</v>
      </c>
      <c r="C44" s="13" t="s">
        <v>183</v>
      </c>
      <c r="D44" s="19" t="s">
        <v>157</v>
      </c>
      <c r="E44" s="12"/>
      <c r="F44" s="12" t="s">
        <v>184</v>
      </c>
      <c r="G44" s="12" t="s">
        <v>48</v>
      </c>
      <c r="H44" s="12"/>
      <c r="I44" s="12" t="s">
        <v>104</v>
      </c>
      <c r="J44" s="12" t="s">
        <v>61</v>
      </c>
      <c r="K44" s="12" t="s">
        <v>185</v>
      </c>
    </row>
    <row r="45" customFormat="false" ht="23.85" hidden="false" customHeight="false" outlineLevel="0" collapsed="false">
      <c r="A45" s="9" t="n">
        <v>41</v>
      </c>
      <c r="B45" s="9" t="s">
        <v>155</v>
      </c>
      <c r="C45" s="10" t="s">
        <v>186</v>
      </c>
      <c r="D45" s="19" t="s">
        <v>157</v>
      </c>
      <c r="E45" s="9"/>
      <c r="F45" s="9" t="s">
        <v>187</v>
      </c>
      <c r="G45" s="9" t="s">
        <v>48</v>
      </c>
      <c r="H45" s="9"/>
      <c r="I45" s="9" t="s">
        <v>188</v>
      </c>
      <c r="J45" s="9" t="s">
        <v>61</v>
      </c>
      <c r="K45" s="9" t="s">
        <v>189</v>
      </c>
    </row>
    <row r="46" customFormat="false" ht="23.85" hidden="false" customHeight="false" outlineLevel="0" collapsed="false">
      <c r="A46" s="12" t="n">
        <v>42</v>
      </c>
      <c r="B46" s="12" t="s">
        <v>155</v>
      </c>
      <c r="C46" s="13" t="s">
        <v>190</v>
      </c>
      <c r="D46" s="19" t="s">
        <v>157</v>
      </c>
      <c r="E46" s="12"/>
      <c r="F46" s="12" t="s">
        <v>191</v>
      </c>
      <c r="G46" s="12" t="s">
        <v>48</v>
      </c>
      <c r="H46" s="12"/>
      <c r="I46" s="12" t="s">
        <v>49</v>
      </c>
      <c r="J46" s="12" t="s">
        <v>49</v>
      </c>
      <c r="K46" s="12" t="s">
        <v>192</v>
      </c>
    </row>
    <row r="47" customFormat="false" ht="23.85" hidden="false" customHeight="false" outlineLevel="0" collapsed="false">
      <c r="A47" s="9" t="n">
        <v>43</v>
      </c>
      <c r="B47" s="9" t="s">
        <v>155</v>
      </c>
      <c r="C47" s="10" t="s">
        <v>193</v>
      </c>
      <c r="D47" s="14" t="s">
        <v>53</v>
      </c>
      <c r="E47" s="9"/>
      <c r="F47" s="9" t="s">
        <v>194</v>
      </c>
      <c r="G47" s="9" t="s">
        <v>48</v>
      </c>
      <c r="H47" s="9"/>
      <c r="I47" s="9" t="s">
        <v>49</v>
      </c>
      <c r="J47" s="9" t="s">
        <v>49</v>
      </c>
      <c r="K47" s="9" t="s">
        <v>195</v>
      </c>
    </row>
    <row r="48" customFormat="false" ht="35.05" hidden="false" customHeight="false" outlineLevel="0" collapsed="false">
      <c r="A48" s="12" t="n">
        <v>44</v>
      </c>
      <c r="B48" s="12" t="s">
        <v>155</v>
      </c>
      <c r="C48" s="13" t="s">
        <v>196</v>
      </c>
      <c r="D48" s="18" t="s">
        <v>146</v>
      </c>
      <c r="E48" s="12"/>
      <c r="F48" s="12" t="s">
        <v>197</v>
      </c>
      <c r="G48" s="12" t="s">
        <v>48</v>
      </c>
      <c r="H48" s="12"/>
      <c r="I48" s="12" t="s">
        <v>49</v>
      </c>
      <c r="J48" s="12" t="s">
        <v>49</v>
      </c>
      <c r="K48" s="12" t="s">
        <v>198</v>
      </c>
    </row>
    <row r="49" customFormat="false" ht="23.85" hidden="false" customHeight="false" outlineLevel="0" collapsed="false">
      <c r="A49" s="9" t="n">
        <v>45</v>
      </c>
      <c r="B49" s="9" t="s">
        <v>155</v>
      </c>
      <c r="C49" s="10" t="s">
        <v>199</v>
      </c>
      <c r="D49" s="18" t="s">
        <v>146</v>
      </c>
      <c r="E49" s="9"/>
      <c r="F49" s="9" t="s">
        <v>200</v>
      </c>
      <c r="G49" s="9" t="s">
        <v>48</v>
      </c>
      <c r="H49" s="9"/>
      <c r="I49" s="9" t="s">
        <v>104</v>
      </c>
      <c r="J49" s="9" t="s">
        <v>61</v>
      </c>
      <c r="K49" s="9" t="s">
        <v>201</v>
      </c>
    </row>
    <row r="50" customFormat="false" ht="23.85" hidden="false" customHeight="false" outlineLevel="0" collapsed="false">
      <c r="A50" s="12" t="n">
        <v>46</v>
      </c>
      <c r="B50" s="12" t="s">
        <v>155</v>
      </c>
      <c r="C50" s="13" t="s">
        <v>202</v>
      </c>
      <c r="D50" s="18" t="s">
        <v>146</v>
      </c>
      <c r="E50" s="12"/>
      <c r="F50" s="12" t="s">
        <v>203</v>
      </c>
      <c r="G50" s="12" t="s">
        <v>48</v>
      </c>
      <c r="H50" s="12"/>
      <c r="I50" s="12" t="s">
        <v>204</v>
      </c>
      <c r="J50" s="12" t="s">
        <v>61</v>
      </c>
      <c r="K50" s="12" t="s">
        <v>205</v>
      </c>
    </row>
    <row r="51" customFormat="false" ht="35.05" hidden="false" customHeight="false" outlineLevel="0" collapsed="false">
      <c r="A51" s="9" t="n">
        <v>47</v>
      </c>
      <c r="B51" s="9" t="s">
        <v>155</v>
      </c>
      <c r="C51" s="10" t="s">
        <v>206</v>
      </c>
      <c r="D51" s="18" t="s">
        <v>146</v>
      </c>
      <c r="E51" s="9"/>
      <c r="F51" s="9" t="s">
        <v>207</v>
      </c>
      <c r="G51" s="9" t="s">
        <v>48</v>
      </c>
      <c r="H51" s="9"/>
      <c r="I51" s="9" t="s">
        <v>119</v>
      </c>
      <c r="J51" s="9" t="s">
        <v>208</v>
      </c>
      <c r="K51" s="9" t="s">
        <v>209</v>
      </c>
    </row>
    <row r="52" customFormat="false" ht="23.85" hidden="false" customHeight="false" outlineLevel="0" collapsed="false">
      <c r="A52" s="12" t="n">
        <v>48</v>
      </c>
      <c r="B52" s="12" t="s">
        <v>155</v>
      </c>
      <c r="C52" s="13" t="s">
        <v>210</v>
      </c>
      <c r="D52" s="18" t="s">
        <v>146</v>
      </c>
      <c r="E52" s="12"/>
      <c r="F52" s="12" t="s">
        <v>211</v>
      </c>
      <c r="G52" s="12" t="s">
        <v>48</v>
      </c>
      <c r="H52" s="12"/>
      <c r="I52" s="12" t="s">
        <v>104</v>
      </c>
      <c r="J52" s="12" t="s">
        <v>61</v>
      </c>
      <c r="K52" s="12" t="s">
        <v>212</v>
      </c>
    </row>
    <row r="53" customFormat="false" ht="23.85" hidden="false" customHeight="false" outlineLevel="0" collapsed="false">
      <c r="A53" s="9" t="n">
        <v>49</v>
      </c>
      <c r="B53" s="9" t="s">
        <v>213</v>
      </c>
      <c r="C53" s="10" t="s">
        <v>214</v>
      </c>
      <c r="D53" s="14" t="s">
        <v>53</v>
      </c>
      <c r="E53" s="9"/>
      <c r="F53" s="9" t="s">
        <v>215</v>
      </c>
      <c r="G53" s="9" t="s">
        <v>48</v>
      </c>
      <c r="H53" s="9"/>
      <c r="I53" s="9" t="s">
        <v>104</v>
      </c>
      <c r="J53" s="9" t="s">
        <v>61</v>
      </c>
      <c r="K53" s="9" t="s">
        <v>216</v>
      </c>
    </row>
    <row r="54" customFormat="false" ht="23.85" hidden="false" customHeight="false" outlineLevel="0" collapsed="false">
      <c r="A54" s="12" t="n">
        <v>50</v>
      </c>
      <c r="B54" s="12" t="s">
        <v>213</v>
      </c>
      <c r="C54" s="13" t="s">
        <v>217</v>
      </c>
      <c r="D54" s="14" t="s">
        <v>53</v>
      </c>
      <c r="E54" s="12"/>
      <c r="F54" s="12" t="s">
        <v>218</v>
      </c>
      <c r="G54" s="12" t="s">
        <v>48</v>
      </c>
      <c r="H54" s="12"/>
      <c r="I54" s="12" t="s">
        <v>119</v>
      </c>
      <c r="J54" s="12" t="s">
        <v>61</v>
      </c>
      <c r="K54" s="12" t="s">
        <v>219</v>
      </c>
    </row>
    <row r="55" customFormat="false" ht="23.85" hidden="false" customHeight="false" outlineLevel="0" collapsed="false">
      <c r="A55" s="9" t="n">
        <v>51</v>
      </c>
      <c r="B55" s="9" t="s">
        <v>213</v>
      </c>
      <c r="C55" s="10" t="s">
        <v>220</v>
      </c>
      <c r="D55" s="15" t="s">
        <v>57</v>
      </c>
      <c r="E55" s="9" t="s">
        <v>220</v>
      </c>
      <c r="F55" s="9" t="s">
        <v>221</v>
      </c>
      <c r="G55" s="9" t="s">
        <v>48</v>
      </c>
      <c r="H55" s="9"/>
      <c r="I55" s="9" t="s">
        <v>119</v>
      </c>
      <c r="J55" s="9" t="s">
        <v>61</v>
      </c>
      <c r="K55" s="9" t="s">
        <v>222</v>
      </c>
    </row>
    <row r="56" customFormat="false" ht="23.85" hidden="false" customHeight="false" outlineLevel="0" collapsed="false">
      <c r="A56" s="12" t="n">
        <v>52</v>
      </c>
      <c r="B56" s="12" t="s">
        <v>213</v>
      </c>
      <c r="C56" s="13" t="s">
        <v>223</v>
      </c>
      <c r="D56" s="14" t="s">
        <v>53</v>
      </c>
      <c r="E56" s="12"/>
      <c r="F56" s="12" t="s">
        <v>224</v>
      </c>
      <c r="G56" s="12" t="s">
        <v>48</v>
      </c>
      <c r="H56" s="12"/>
      <c r="I56" s="12" t="s">
        <v>119</v>
      </c>
      <c r="J56" s="12" t="s">
        <v>61</v>
      </c>
      <c r="K56" s="12" t="s">
        <v>225</v>
      </c>
    </row>
    <row r="57" customFormat="false" ht="23.85" hidden="false" customHeight="false" outlineLevel="0" collapsed="false">
      <c r="A57" s="9" t="n">
        <v>53</v>
      </c>
      <c r="B57" s="9" t="s">
        <v>213</v>
      </c>
      <c r="C57" s="10" t="s">
        <v>226</v>
      </c>
      <c r="D57" s="16" t="s">
        <v>107</v>
      </c>
      <c r="E57" s="9" t="s">
        <v>226</v>
      </c>
      <c r="F57" s="9" t="s">
        <v>227</v>
      </c>
      <c r="G57" s="9" t="s">
        <v>48</v>
      </c>
      <c r="H57" s="9"/>
      <c r="I57" s="9" t="s">
        <v>119</v>
      </c>
      <c r="J57" s="9" t="s">
        <v>50</v>
      </c>
      <c r="K57" s="9" t="s">
        <v>228</v>
      </c>
    </row>
    <row r="58" customFormat="false" ht="23.85" hidden="false" customHeight="false" outlineLevel="0" collapsed="false">
      <c r="A58" s="12" t="n">
        <v>54</v>
      </c>
      <c r="B58" s="12" t="s">
        <v>213</v>
      </c>
      <c r="C58" s="13" t="s">
        <v>229</v>
      </c>
      <c r="D58" s="16" t="s">
        <v>107</v>
      </c>
      <c r="E58" s="12" t="s">
        <v>226</v>
      </c>
      <c r="F58" s="12" t="s">
        <v>230</v>
      </c>
      <c r="G58" s="12" t="s">
        <v>48</v>
      </c>
      <c r="H58" s="12"/>
      <c r="I58" s="12" t="s">
        <v>119</v>
      </c>
      <c r="J58" s="12" t="s">
        <v>50</v>
      </c>
      <c r="K58" s="12" t="s">
        <v>231</v>
      </c>
    </row>
    <row r="59" customFormat="false" ht="23.85" hidden="false" customHeight="false" outlineLevel="0" collapsed="false">
      <c r="A59" s="9" t="n">
        <v>55</v>
      </c>
      <c r="B59" s="9" t="s">
        <v>213</v>
      </c>
      <c r="C59" s="10" t="s">
        <v>232</v>
      </c>
      <c r="D59" s="15" t="s">
        <v>57</v>
      </c>
      <c r="E59" s="9" t="s">
        <v>232</v>
      </c>
      <c r="F59" s="9" t="s">
        <v>233</v>
      </c>
      <c r="G59" s="9" t="s">
        <v>48</v>
      </c>
      <c r="H59" s="9"/>
      <c r="I59" s="9" t="s">
        <v>119</v>
      </c>
      <c r="J59" s="9" t="s">
        <v>50</v>
      </c>
      <c r="K59" s="9" t="s">
        <v>234</v>
      </c>
    </row>
    <row r="60" customFormat="false" ht="35.05" hidden="false" customHeight="false" outlineLevel="0" collapsed="false">
      <c r="A60" s="12" t="n">
        <v>56</v>
      </c>
      <c r="B60" s="12" t="s">
        <v>213</v>
      </c>
      <c r="C60" s="13" t="s">
        <v>235</v>
      </c>
      <c r="D60" s="15" t="s">
        <v>57</v>
      </c>
      <c r="E60" s="12" t="s">
        <v>236</v>
      </c>
      <c r="F60" s="12" t="s">
        <v>237</v>
      </c>
      <c r="G60" s="12" t="s">
        <v>48</v>
      </c>
      <c r="H60" s="12"/>
      <c r="I60" s="12" t="s">
        <v>104</v>
      </c>
      <c r="J60" s="12" t="s">
        <v>50</v>
      </c>
      <c r="K60" s="12" t="s">
        <v>238</v>
      </c>
    </row>
    <row r="61" customFormat="false" ht="23.85" hidden="false" customHeight="false" outlineLevel="0" collapsed="false">
      <c r="A61" s="9" t="n">
        <v>57</v>
      </c>
      <c r="B61" s="9" t="s">
        <v>213</v>
      </c>
      <c r="C61" s="10" t="s">
        <v>239</v>
      </c>
      <c r="D61" s="15" t="s">
        <v>57</v>
      </c>
      <c r="E61" s="9" t="s">
        <v>239</v>
      </c>
      <c r="F61" s="9" t="s">
        <v>240</v>
      </c>
      <c r="G61" s="9" t="s">
        <v>48</v>
      </c>
      <c r="H61" s="9"/>
      <c r="I61" s="9" t="s">
        <v>104</v>
      </c>
      <c r="J61" s="9" t="s">
        <v>50</v>
      </c>
      <c r="K61" s="9" t="s">
        <v>241</v>
      </c>
    </row>
    <row r="62" customFormat="false" ht="35.05" hidden="false" customHeight="false" outlineLevel="0" collapsed="false">
      <c r="A62" s="12" t="n">
        <v>58</v>
      </c>
      <c r="B62" s="12" t="s">
        <v>213</v>
      </c>
      <c r="C62" s="13" t="s">
        <v>242</v>
      </c>
      <c r="D62" s="16" t="s">
        <v>107</v>
      </c>
      <c r="E62" s="12" t="s">
        <v>243</v>
      </c>
      <c r="F62" s="12" t="s">
        <v>244</v>
      </c>
      <c r="G62" s="12" t="s">
        <v>48</v>
      </c>
      <c r="H62" s="12"/>
      <c r="I62" s="12" t="s">
        <v>119</v>
      </c>
      <c r="J62" s="12" t="s">
        <v>245</v>
      </c>
      <c r="K62" s="12" t="s">
        <v>246</v>
      </c>
    </row>
    <row r="63" customFormat="false" ht="23.85" hidden="false" customHeight="false" outlineLevel="0" collapsed="false">
      <c r="A63" s="9" t="n">
        <v>59</v>
      </c>
      <c r="B63" s="9" t="s">
        <v>213</v>
      </c>
      <c r="C63" s="10" t="s">
        <v>247</v>
      </c>
      <c r="D63" s="15" t="s">
        <v>57</v>
      </c>
      <c r="E63" s="9" t="s">
        <v>247</v>
      </c>
      <c r="F63" s="9" t="s">
        <v>248</v>
      </c>
      <c r="G63" s="9" t="s">
        <v>48</v>
      </c>
      <c r="H63" s="9"/>
      <c r="I63" s="9" t="s">
        <v>119</v>
      </c>
      <c r="J63" s="9" t="s">
        <v>61</v>
      </c>
      <c r="K63" s="9" t="s">
        <v>249</v>
      </c>
    </row>
    <row r="64" customFormat="false" ht="23.85" hidden="false" customHeight="false" outlineLevel="0" collapsed="false">
      <c r="A64" s="12" t="n">
        <v>60</v>
      </c>
      <c r="B64" s="12" t="s">
        <v>213</v>
      </c>
      <c r="C64" s="13" t="s">
        <v>250</v>
      </c>
      <c r="D64" s="14" t="s">
        <v>53</v>
      </c>
      <c r="E64" s="12"/>
      <c r="F64" s="12" t="s">
        <v>251</v>
      </c>
      <c r="G64" s="12" t="s">
        <v>48</v>
      </c>
      <c r="H64" s="12"/>
      <c r="I64" s="12" t="s">
        <v>119</v>
      </c>
      <c r="J64" s="12" t="s">
        <v>61</v>
      </c>
      <c r="K64" s="12" t="s">
        <v>252</v>
      </c>
    </row>
    <row r="65" customFormat="false" ht="23.85" hidden="false" customHeight="false" outlineLevel="0" collapsed="false">
      <c r="A65" s="9" t="n">
        <v>61</v>
      </c>
      <c r="B65" s="9" t="s">
        <v>213</v>
      </c>
      <c r="C65" s="10" t="s">
        <v>253</v>
      </c>
      <c r="D65" s="16" t="s">
        <v>107</v>
      </c>
      <c r="E65" s="9" t="s">
        <v>247</v>
      </c>
      <c r="F65" s="9" t="s">
        <v>254</v>
      </c>
      <c r="G65" s="9" t="s">
        <v>48</v>
      </c>
      <c r="H65" s="9"/>
      <c r="I65" s="9" t="s">
        <v>188</v>
      </c>
      <c r="J65" s="9" t="s">
        <v>61</v>
      </c>
      <c r="K65" s="9" t="s">
        <v>255</v>
      </c>
    </row>
    <row r="66" customFormat="false" ht="23.85" hidden="false" customHeight="false" outlineLevel="0" collapsed="false">
      <c r="A66" s="12" t="n">
        <v>62</v>
      </c>
      <c r="B66" s="12" t="s">
        <v>213</v>
      </c>
      <c r="C66" s="13" t="s">
        <v>256</v>
      </c>
      <c r="D66" s="17" t="s">
        <v>114</v>
      </c>
      <c r="E66" s="12"/>
      <c r="F66" s="12" t="s">
        <v>257</v>
      </c>
      <c r="G66" s="12" t="s">
        <v>48</v>
      </c>
      <c r="H66" s="12"/>
      <c r="I66" s="12" t="s">
        <v>119</v>
      </c>
      <c r="J66" s="12" t="s">
        <v>258</v>
      </c>
      <c r="K66" s="12" t="s">
        <v>259</v>
      </c>
    </row>
    <row r="67" customFormat="false" ht="23.85" hidden="false" customHeight="false" outlineLevel="0" collapsed="false">
      <c r="A67" s="9" t="n">
        <v>63</v>
      </c>
      <c r="B67" s="9" t="s">
        <v>260</v>
      </c>
      <c r="C67" s="10" t="s">
        <v>261</v>
      </c>
      <c r="D67" s="15" t="s">
        <v>57</v>
      </c>
      <c r="E67" s="9" t="s">
        <v>262</v>
      </c>
      <c r="F67" s="9" t="s">
        <v>263</v>
      </c>
      <c r="G67" s="9" t="s">
        <v>48</v>
      </c>
      <c r="H67" s="9"/>
      <c r="I67" s="9" t="s">
        <v>262</v>
      </c>
      <c r="J67" s="9" t="s">
        <v>50</v>
      </c>
      <c r="K67" s="9" t="s">
        <v>264</v>
      </c>
    </row>
    <row r="68" customFormat="false" ht="23.85" hidden="false" customHeight="false" outlineLevel="0" collapsed="false">
      <c r="A68" s="12" t="n">
        <v>64</v>
      </c>
      <c r="B68" s="12" t="s">
        <v>260</v>
      </c>
      <c r="C68" s="13" t="s">
        <v>265</v>
      </c>
      <c r="D68" s="15" t="s">
        <v>57</v>
      </c>
      <c r="E68" s="12" t="s">
        <v>261</v>
      </c>
      <c r="F68" s="12" t="s">
        <v>266</v>
      </c>
      <c r="G68" s="12" t="s">
        <v>48</v>
      </c>
      <c r="H68" s="12"/>
      <c r="I68" s="12" t="s">
        <v>262</v>
      </c>
      <c r="J68" s="12" t="s">
        <v>267</v>
      </c>
      <c r="K68" s="12" t="s">
        <v>268</v>
      </c>
    </row>
    <row r="69" customFormat="false" ht="23.85" hidden="false" customHeight="false" outlineLevel="0" collapsed="false">
      <c r="A69" s="9" t="n">
        <v>65</v>
      </c>
      <c r="B69" s="9" t="s">
        <v>260</v>
      </c>
      <c r="C69" s="10" t="s">
        <v>269</v>
      </c>
      <c r="D69" s="16" t="s">
        <v>107</v>
      </c>
      <c r="E69" s="9" t="s">
        <v>45</v>
      </c>
      <c r="F69" s="9" t="s">
        <v>270</v>
      </c>
      <c r="G69" s="9" t="s">
        <v>48</v>
      </c>
      <c r="H69" s="9"/>
      <c r="I69" s="9" t="s">
        <v>104</v>
      </c>
      <c r="J69" s="9" t="s">
        <v>61</v>
      </c>
      <c r="K69" s="9" t="s">
        <v>271</v>
      </c>
    </row>
    <row r="70" customFormat="false" ht="46.25" hidden="false" customHeight="false" outlineLevel="0" collapsed="false">
      <c r="A70" s="12" t="n">
        <v>66</v>
      </c>
      <c r="B70" s="12" t="s">
        <v>260</v>
      </c>
      <c r="C70" s="13" t="s">
        <v>272</v>
      </c>
      <c r="D70" s="15" t="s">
        <v>57</v>
      </c>
      <c r="E70" s="12" t="s">
        <v>45</v>
      </c>
      <c r="F70" s="12" t="s">
        <v>273</v>
      </c>
      <c r="G70" s="12" t="s">
        <v>48</v>
      </c>
      <c r="H70" s="12"/>
      <c r="I70" s="12" t="s">
        <v>262</v>
      </c>
      <c r="J70" s="12" t="s">
        <v>61</v>
      </c>
      <c r="K70" s="12" t="s">
        <v>274</v>
      </c>
    </row>
    <row r="71" customFormat="false" ht="46.25" hidden="false" customHeight="false" outlineLevel="0" collapsed="false">
      <c r="A71" s="9" t="n">
        <v>67</v>
      </c>
      <c r="B71" s="9" t="s">
        <v>260</v>
      </c>
      <c r="C71" s="10" t="s">
        <v>275</v>
      </c>
      <c r="D71" s="15" t="s">
        <v>57</v>
      </c>
      <c r="E71" s="9" t="s">
        <v>45</v>
      </c>
      <c r="F71" s="9" t="s">
        <v>276</v>
      </c>
      <c r="G71" s="9" t="s">
        <v>48</v>
      </c>
      <c r="H71" s="9"/>
      <c r="I71" s="9" t="s">
        <v>262</v>
      </c>
      <c r="J71" s="9" t="s">
        <v>61</v>
      </c>
      <c r="K71" s="9"/>
    </row>
    <row r="72" customFormat="false" ht="35.05" hidden="false" customHeight="false" outlineLevel="0" collapsed="false">
      <c r="A72" s="12" t="n">
        <v>68</v>
      </c>
      <c r="B72" s="12" t="s">
        <v>260</v>
      </c>
      <c r="C72" s="13" t="s">
        <v>277</v>
      </c>
      <c r="D72" s="16" t="s">
        <v>107</v>
      </c>
      <c r="E72" s="12" t="s">
        <v>45</v>
      </c>
      <c r="F72" s="12" t="s">
        <v>278</v>
      </c>
      <c r="G72" s="12" t="s">
        <v>48</v>
      </c>
      <c r="H72" s="12"/>
      <c r="I72" s="12" t="s">
        <v>262</v>
      </c>
      <c r="J72" s="12" t="s">
        <v>61</v>
      </c>
      <c r="K72" s="12" t="s">
        <v>279</v>
      </c>
    </row>
    <row r="73" customFormat="false" ht="23.85" hidden="false" customHeight="false" outlineLevel="0" collapsed="false">
      <c r="A73" s="9" t="n">
        <v>69</v>
      </c>
      <c r="B73" s="9" t="s">
        <v>260</v>
      </c>
      <c r="C73" s="10" t="s">
        <v>280</v>
      </c>
      <c r="D73" s="16" t="s">
        <v>107</v>
      </c>
      <c r="E73" s="9" t="s">
        <v>45</v>
      </c>
      <c r="F73" s="9" t="s">
        <v>281</v>
      </c>
      <c r="G73" s="9" t="s">
        <v>48</v>
      </c>
      <c r="H73" s="9"/>
      <c r="I73" s="9" t="s">
        <v>119</v>
      </c>
      <c r="J73" s="9" t="s">
        <v>61</v>
      </c>
      <c r="K73" s="9" t="s">
        <v>282</v>
      </c>
    </row>
    <row r="74" customFormat="false" ht="23.85" hidden="false" customHeight="false" outlineLevel="0" collapsed="false">
      <c r="A74" s="12" t="n">
        <v>70</v>
      </c>
      <c r="B74" s="12" t="s">
        <v>260</v>
      </c>
      <c r="C74" s="13" t="s">
        <v>283</v>
      </c>
      <c r="D74" s="18" t="s">
        <v>146</v>
      </c>
      <c r="E74" s="12"/>
      <c r="F74" s="12" t="s">
        <v>284</v>
      </c>
      <c r="G74" s="12" t="s">
        <v>48</v>
      </c>
      <c r="H74" s="12"/>
      <c r="I74" s="12" t="s">
        <v>119</v>
      </c>
      <c r="J74" s="12" t="s">
        <v>61</v>
      </c>
      <c r="K74" s="12" t="s">
        <v>285</v>
      </c>
    </row>
    <row r="75" customFormat="false" ht="35.05" hidden="false" customHeight="false" outlineLevel="0" collapsed="false">
      <c r="A75" s="9" t="n">
        <v>71</v>
      </c>
      <c r="B75" s="9" t="s">
        <v>260</v>
      </c>
      <c r="C75" s="10" t="s">
        <v>286</v>
      </c>
      <c r="D75" s="16" t="s">
        <v>107</v>
      </c>
      <c r="E75" s="9" t="s">
        <v>262</v>
      </c>
      <c r="F75" s="9" t="s">
        <v>287</v>
      </c>
      <c r="G75" s="9" t="s">
        <v>48</v>
      </c>
      <c r="H75" s="9"/>
      <c r="I75" s="9" t="s">
        <v>262</v>
      </c>
      <c r="J75" s="9" t="s">
        <v>61</v>
      </c>
      <c r="K75" s="9" t="s">
        <v>288</v>
      </c>
    </row>
    <row r="76" customFormat="false" ht="35.05" hidden="false" customHeight="false" outlineLevel="0" collapsed="false">
      <c r="A76" s="12" t="n">
        <v>72</v>
      </c>
      <c r="B76" s="12" t="s">
        <v>260</v>
      </c>
      <c r="C76" s="13" t="s">
        <v>289</v>
      </c>
      <c r="D76" s="15" t="s">
        <v>57</v>
      </c>
      <c r="E76" s="12" t="s">
        <v>289</v>
      </c>
      <c r="F76" s="12" t="s">
        <v>290</v>
      </c>
      <c r="G76" s="12" t="s">
        <v>48</v>
      </c>
      <c r="H76" s="12"/>
      <c r="I76" s="12" t="s">
        <v>262</v>
      </c>
      <c r="J76" s="12" t="s">
        <v>50</v>
      </c>
      <c r="K76" s="12" t="s">
        <v>291</v>
      </c>
    </row>
    <row r="77" customFormat="false" ht="23.85" hidden="false" customHeight="false" outlineLevel="0" collapsed="false">
      <c r="A77" s="9" t="n">
        <v>73</v>
      </c>
      <c r="B77" s="9" t="s">
        <v>260</v>
      </c>
      <c r="C77" s="10" t="s">
        <v>292</v>
      </c>
      <c r="D77" s="14" t="s">
        <v>53</v>
      </c>
      <c r="E77" s="9"/>
      <c r="F77" s="9" t="s">
        <v>293</v>
      </c>
      <c r="G77" s="9" t="s">
        <v>48</v>
      </c>
      <c r="H77" s="9"/>
      <c r="I77" s="9" t="s">
        <v>262</v>
      </c>
      <c r="J77" s="9" t="s">
        <v>61</v>
      </c>
      <c r="K77" s="9" t="s">
        <v>294</v>
      </c>
    </row>
    <row r="78" customFormat="false" ht="23.85" hidden="false" customHeight="false" outlineLevel="0" collapsed="false">
      <c r="A78" s="12" t="n">
        <v>74</v>
      </c>
      <c r="B78" s="12" t="s">
        <v>260</v>
      </c>
      <c r="C78" s="13" t="s">
        <v>295</v>
      </c>
      <c r="D78" s="14" t="s">
        <v>53</v>
      </c>
      <c r="E78" s="12"/>
      <c r="F78" s="12" t="s">
        <v>296</v>
      </c>
      <c r="G78" s="12" t="s">
        <v>48</v>
      </c>
      <c r="H78" s="12"/>
      <c r="I78" s="12" t="s">
        <v>262</v>
      </c>
      <c r="J78" s="12" t="s">
        <v>61</v>
      </c>
      <c r="K78" s="12"/>
    </row>
    <row r="79" customFormat="false" ht="23.85" hidden="false" customHeight="false" outlineLevel="0" collapsed="false">
      <c r="A79" s="9" t="n">
        <v>75</v>
      </c>
      <c r="B79" s="9" t="s">
        <v>260</v>
      </c>
      <c r="C79" s="10" t="s">
        <v>297</v>
      </c>
      <c r="D79" s="15" t="s">
        <v>57</v>
      </c>
      <c r="E79" s="9" t="s">
        <v>297</v>
      </c>
      <c r="F79" s="9" t="s">
        <v>298</v>
      </c>
      <c r="G79" s="9" t="s">
        <v>48</v>
      </c>
      <c r="H79" s="9"/>
      <c r="I79" s="9" t="s">
        <v>262</v>
      </c>
      <c r="J79" s="9" t="s">
        <v>50</v>
      </c>
      <c r="K79" s="9" t="s">
        <v>299</v>
      </c>
    </row>
    <row r="80" customFormat="false" ht="23.85" hidden="false" customHeight="false" outlineLevel="0" collapsed="false">
      <c r="A80" s="12" t="n">
        <v>76</v>
      </c>
      <c r="B80" s="12" t="s">
        <v>260</v>
      </c>
      <c r="C80" s="13" t="s">
        <v>300</v>
      </c>
      <c r="D80" s="14" t="s">
        <v>53</v>
      </c>
      <c r="E80" s="12"/>
      <c r="F80" s="12" t="s">
        <v>301</v>
      </c>
      <c r="G80" s="12" t="s">
        <v>48</v>
      </c>
      <c r="H80" s="12"/>
      <c r="I80" s="12" t="s">
        <v>262</v>
      </c>
      <c r="J80" s="12" t="s">
        <v>61</v>
      </c>
      <c r="K80" s="12"/>
    </row>
    <row r="81" customFormat="false" ht="35.05" hidden="false" customHeight="false" outlineLevel="0" collapsed="false">
      <c r="A81" s="9" t="n">
        <v>77</v>
      </c>
      <c r="B81" s="9" t="s">
        <v>260</v>
      </c>
      <c r="C81" s="10" t="s">
        <v>302</v>
      </c>
      <c r="D81" s="15" t="s">
        <v>57</v>
      </c>
      <c r="E81" s="9" t="s">
        <v>302</v>
      </c>
      <c r="F81" s="9" t="s">
        <v>303</v>
      </c>
      <c r="G81" s="9" t="s">
        <v>48</v>
      </c>
      <c r="H81" s="9"/>
      <c r="I81" s="9" t="s">
        <v>262</v>
      </c>
      <c r="J81" s="9" t="s">
        <v>50</v>
      </c>
      <c r="K81" s="9" t="s">
        <v>304</v>
      </c>
    </row>
    <row r="82" customFormat="false" ht="23.85" hidden="false" customHeight="false" outlineLevel="0" collapsed="false">
      <c r="A82" s="12" t="n">
        <v>78</v>
      </c>
      <c r="B82" s="12" t="s">
        <v>260</v>
      </c>
      <c r="C82" s="13" t="s">
        <v>305</v>
      </c>
      <c r="D82" s="16" t="s">
        <v>107</v>
      </c>
      <c r="E82" s="12" t="s">
        <v>306</v>
      </c>
      <c r="F82" s="12" t="s">
        <v>307</v>
      </c>
      <c r="G82" s="12" t="s">
        <v>48</v>
      </c>
      <c r="H82" s="12"/>
      <c r="I82" s="12" t="s">
        <v>262</v>
      </c>
      <c r="J82" s="12" t="s">
        <v>61</v>
      </c>
      <c r="K82" s="12" t="s">
        <v>308</v>
      </c>
    </row>
    <row r="83" customFormat="false" ht="23.85" hidden="false" customHeight="false" outlineLevel="0" collapsed="false">
      <c r="A83" s="9" t="n">
        <v>79</v>
      </c>
      <c r="B83" s="9" t="s">
        <v>260</v>
      </c>
      <c r="C83" s="10" t="s">
        <v>309</v>
      </c>
      <c r="D83" s="16" t="s">
        <v>107</v>
      </c>
      <c r="E83" s="9" t="s">
        <v>310</v>
      </c>
      <c r="F83" s="9" t="s">
        <v>311</v>
      </c>
      <c r="G83" s="9" t="s">
        <v>48</v>
      </c>
      <c r="H83" s="9"/>
      <c r="I83" s="9" t="s">
        <v>262</v>
      </c>
      <c r="J83" s="9" t="s">
        <v>267</v>
      </c>
      <c r="K83" s="9" t="s">
        <v>312</v>
      </c>
    </row>
    <row r="84" customFormat="false" ht="23.85" hidden="false" customHeight="false" outlineLevel="0" collapsed="false">
      <c r="A84" s="12" t="n">
        <v>80</v>
      </c>
      <c r="B84" s="12" t="s">
        <v>260</v>
      </c>
      <c r="C84" s="13" t="s">
        <v>313</v>
      </c>
      <c r="D84" s="15" t="s">
        <v>57</v>
      </c>
      <c r="E84" s="12" t="s">
        <v>313</v>
      </c>
      <c r="F84" s="12" t="s">
        <v>314</v>
      </c>
      <c r="G84" s="12" t="s">
        <v>48</v>
      </c>
      <c r="H84" s="12"/>
      <c r="I84" s="12" t="s">
        <v>262</v>
      </c>
      <c r="J84" s="12" t="s">
        <v>50</v>
      </c>
      <c r="K84" s="12" t="s">
        <v>315</v>
      </c>
    </row>
    <row r="85" customFormat="false" ht="23.85" hidden="false" customHeight="false" outlineLevel="0" collapsed="false">
      <c r="A85" s="9" t="n">
        <v>81</v>
      </c>
      <c r="B85" s="9" t="s">
        <v>260</v>
      </c>
      <c r="C85" s="10" t="s">
        <v>316</v>
      </c>
      <c r="D85" s="14" t="s">
        <v>53</v>
      </c>
      <c r="E85" s="9"/>
      <c r="F85" s="9" t="s">
        <v>317</v>
      </c>
      <c r="G85" s="9" t="s">
        <v>48</v>
      </c>
      <c r="H85" s="9"/>
      <c r="I85" s="9" t="s">
        <v>262</v>
      </c>
      <c r="J85" s="9" t="s">
        <v>61</v>
      </c>
      <c r="K85" s="9"/>
    </row>
    <row r="86" customFormat="false" ht="23.85" hidden="false" customHeight="false" outlineLevel="0" collapsed="false">
      <c r="A86" s="12" t="n">
        <v>82</v>
      </c>
      <c r="B86" s="12" t="s">
        <v>260</v>
      </c>
      <c r="C86" s="13" t="s">
        <v>318</v>
      </c>
      <c r="D86" s="14" t="s">
        <v>53</v>
      </c>
      <c r="E86" s="12"/>
      <c r="F86" s="12" t="s">
        <v>318</v>
      </c>
      <c r="G86" s="12" t="s">
        <v>48</v>
      </c>
      <c r="H86" s="12"/>
      <c r="I86" s="12" t="s">
        <v>49</v>
      </c>
      <c r="J86" s="12" t="s">
        <v>49</v>
      </c>
      <c r="K86" s="12"/>
    </row>
    <row r="87" customFormat="false" ht="23.85" hidden="false" customHeight="false" outlineLevel="0" collapsed="false">
      <c r="A87" s="9" t="n">
        <v>83</v>
      </c>
      <c r="B87" s="9" t="s">
        <v>260</v>
      </c>
      <c r="C87" s="10" t="s">
        <v>319</v>
      </c>
      <c r="D87" s="15" t="s">
        <v>57</v>
      </c>
      <c r="E87" s="9" t="s">
        <v>320</v>
      </c>
      <c r="F87" s="9" t="s">
        <v>321</v>
      </c>
      <c r="G87" s="9" t="s">
        <v>48</v>
      </c>
      <c r="H87" s="9"/>
      <c r="I87" s="9" t="s">
        <v>49</v>
      </c>
      <c r="J87" s="9" t="s">
        <v>50</v>
      </c>
      <c r="K87" s="9" t="s">
        <v>322</v>
      </c>
    </row>
    <row r="88" customFormat="false" ht="23.85" hidden="false" customHeight="false" outlineLevel="0" collapsed="false">
      <c r="A88" s="12" t="n">
        <v>84</v>
      </c>
      <c r="B88" s="12" t="s">
        <v>260</v>
      </c>
      <c r="C88" s="13" t="s">
        <v>323</v>
      </c>
      <c r="D88" s="16" t="s">
        <v>107</v>
      </c>
      <c r="E88" s="12" t="s">
        <v>323</v>
      </c>
      <c r="F88" s="12" t="s">
        <v>324</v>
      </c>
      <c r="G88" s="12" t="s">
        <v>48</v>
      </c>
      <c r="H88" s="12"/>
      <c r="I88" s="12" t="s">
        <v>262</v>
      </c>
      <c r="J88" s="12" t="s">
        <v>50</v>
      </c>
      <c r="K88" s="12" t="s">
        <v>325</v>
      </c>
    </row>
    <row r="89" customFormat="false" ht="23.85" hidden="false" customHeight="false" outlineLevel="0" collapsed="false">
      <c r="A89" s="9" t="n">
        <v>85</v>
      </c>
      <c r="B89" s="9" t="s">
        <v>260</v>
      </c>
      <c r="C89" s="10" t="s">
        <v>326</v>
      </c>
      <c r="D89" s="15" t="s">
        <v>57</v>
      </c>
      <c r="E89" s="9" t="s">
        <v>326</v>
      </c>
      <c r="F89" s="9" t="s">
        <v>327</v>
      </c>
      <c r="G89" s="9" t="s">
        <v>48</v>
      </c>
      <c r="H89" s="9"/>
      <c r="I89" s="9" t="s">
        <v>328</v>
      </c>
      <c r="J89" s="9" t="s">
        <v>50</v>
      </c>
      <c r="K89" s="9" t="s">
        <v>329</v>
      </c>
    </row>
    <row r="90" customFormat="false" ht="23.85" hidden="false" customHeight="false" outlineLevel="0" collapsed="false">
      <c r="A90" s="12" t="n">
        <v>86</v>
      </c>
      <c r="B90" s="12" t="s">
        <v>260</v>
      </c>
      <c r="C90" s="13" t="s">
        <v>330</v>
      </c>
      <c r="D90" s="16" t="s">
        <v>107</v>
      </c>
      <c r="E90" s="12" t="s">
        <v>331</v>
      </c>
      <c r="F90" s="12" t="s">
        <v>332</v>
      </c>
      <c r="G90" s="12" t="s">
        <v>48</v>
      </c>
      <c r="H90" s="12"/>
      <c r="I90" s="12" t="s">
        <v>331</v>
      </c>
      <c r="J90" s="12" t="s">
        <v>50</v>
      </c>
      <c r="K90" s="12" t="s">
        <v>333</v>
      </c>
    </row>
    <row r="91" customFormat="false" ht="23.85" hidden="false" customHeight="false" outlineLevel="0" collapsed="false">
      <c r="A91" s="9" t="n">
        <v>87</v>
      </c>
      <c r="B91" s="9" t="s">
        <v>334</v>
      </c>
      <c r="C91" s="10" t="s">
        <v>335</v>
      </c>
      <c r="D91" s="14" t="s">
        <v>53</v>
      </c>
      <c r="E91" s="9"/>
      <c r="F91" s="9" t="s">
        <v>336</v>
      </c>
      <c r="G91" s="9" t="s">
        <v>48</v>
      </c>
      <c r="H91" s="9"/>
      <c r="I91" s="9" t="s">
        <v>337</v>
      </c>
      <c r="J91" s="9" t="s">
        <v>61</v>
      </c>
      <c r="K91" s="9" t="s">
        <v>338</v>
      </c>
    </row>
    <row r="92" customFormat="false" ht="23.85" hidden="false" customHeight="false" outlineLevel="0" collapsed="false">
      <c r="A92" s="12" t="n">
        <v>88</v>
      </c>
      <c r="B92" s="12" t="s">
        <v>334</v>
      </c>
      <c r="C92" s="13" t="s">
        <v>339</v>
      </c>
      <c r="D92" s="14" t="s">
        <v>53</v>
      </c>
      <c r="E92" s="12"/>
      <c r="F92" s="12" t="s">
        <v>340</v>
      </c>
      <c r="G92" s="12" t="s">
        <v>48</v>
      </c>
      <c r="H92" s="12"/>
      <c r="I92" s="12" t="s">
        <v>337</v>
      </c>
      <c r="J92" s="12" t="s">
        <v>61</v>
      </c>
      <c r="K92" s="12" t="s">
        <v>341</v>
      </c>
    </row>
    <row r="93" customFormat="false" ht="23.85" hidden="false" customHeight="false" outlineLevel="0" collapsed="false">
      <c r="A93" s="9" t="n">
        <v>89</v>
      </c>
      <c r="B93" s="9" t="s">
        <v>334</v>
      </c>
      <c r="C93" s="10" t="s">
        <v>342</v>
      </c>
      <c r="D93" s="14" t="s">
        <v>53</v>
      </c>
      <c r="E93" s="9"/>
      <c r="F93" s="9" t="s">
        <v>343</v>
      </c>
      <c r="G93" s="9" t="s">
        <v>48</v>
      </c>
      <c r="H93" s="9"/>
      <c r="I93" s="9" t="s">
        <v>337</v>
      </c>
      <c r="J93" s="9" t="s">
        <v>61</v>
      </c>
      <c r="K93" s="9"/>
    </row>
    <row r="94" customFormat="false" ht="23.85" hidden="false" customHeight="false" outlineLevel="0" collapsed="false">
      <c r="A94" s="12" t="n">
        <v>90</v>
      </c>
      <c r="B94" s="12" t="s">
        <v>334</v>
      </c>
      <c r="C94" s="13" t="s">
        <v>344</v>
      </c>
      <c r="D94" s="14" t="s">
        <v>53</v>
      </c>
      <c r="E94" s="12"/>
      <c r="F94" s="12" t="s">
        <v>345</v>
      </c>
      <c r="G94" s="12" t="s">
        <v>48</v>
      </c>
      <c r="H94" s="12"/>
      <c r="I94" s="12" t="s">
        <v>337</v>
      </c>
      <c r="J94" s="12" t="s">
        <v>61</v>
      </c>
      <c r="K94" s="12"/>
    </row>
    <row r="95" customFormat="false" ht="23.85" hidden="false" customHeight="false" outlineLevel="0" collapsed="false">
      <c r="A95" s="9" t="n">
        <v>91</v>
      </c>
      <c r="B95" s="9" t="s">
        <v>334</v>
      </c>
      <c r="C95" s="10" t="s">
        <v>346</v>
      </c>
      <c r="D95" s="16" t="s">
        <v>107</v>
      </c>
      <c r="E95" s="9" t="s">
        <v>347</v>
      </c>
      <c r="F95" s="9" t="s">
        <v>348</v>
      </c>
      <c r="G95" s="9" t="s">
        <v>48</v>
      </c>
      <c r="H95" s="9"/>
      <c r="I95" s="9" t="s">
        <v>337</v>
      </c>
      <c r="J95" s="9" t="s">
        <v>61</v>
      </c>
      <c r="K95" s="9" t="s">
        <v>349</v>
      </c>
    </row>
    <row r="96" customFormat="false" ht="23.85" hidden="false" customHeight="false" outlineLevel="0" collapsed="false">
      <c r="A96" s="12" t="n">
        <v>92</v>
      </c>
      <c r="B96" s="12" t="s">
        <v>334</v>
      </c>
      <c r="C96" s="13" t="s">
        <v>350</v>
      </c>
      <c r="D96" s="15" t="s">
        <v>57</v>
      </c>
      <c r="E96" s="12" t="s">
        <v>351</v>
      </c>
      <c r="F96" s="12" t="s">
        <v>352</v>
      </c>
      <c r="G96" s="12" t="s">
        <v>48</v>
      </c>
      <c r="H96" s="12"/>
      <c r="I96" s="12" t="s">
        <v>49</v>
      </c>
      <c r="J96" s="12" t="s">
        <v>49</v>
      </c>
      <c r="K96" s="12" t="s">
        <v>353</v>
      </c>
    </row>
    <row r="97" customFormat="false" ht="23.85" hidden="false" customHeight="false" outlineLevel="0" collapsed="false">
      <c r="A97" s="9" t="n">
        <v>93</v>
      </c>
      <c r="B97" s="9" t="s">
        <v>334</v>
      </c>
      <c r="C97" s="10" t="s">
        <v>354</v>
      </c>
      <c r="D97" s="14" t="s">
        <v>53</v>
      </c>
      <c r="E97" s="9"/>
      <c r="F97" s="9" t="s">
        <v>355</v>
      </c>
      <c r="G97" s="9" t="s">
        <v>48</v>
      </c>
      <c r="H97" s="9"/>
      <c r="I97" s="9" t="s">
        <v>49</v>
      </c>
      <c r="J97" s="9" t="s">
        <v>49</v>
      </c>
      <c r="K97" s="9"/>
    </row>
    <row r="98" customFormat="false" ht="23.85" hidden="false" customHeight="false" outlineLevel="0" collapsed="false">
      <c r="A98" s="12" t="n">
        <v>94</v>
      </c>
      <c r="B98" s="12" t="s">
        <v>334</v>
      </c>
      <c r="C98" s="13" t="s">
        <v>356</v>
      </c>
      <c r="D98" s="15" t="s">
        <v>57</v>
      </c>
      <c r="E98" s="12" t="s">
        <v>357</v>
      </c>
      <c r="F98" s="12" t="s">
        <v>358</v>
      </c>
      <c r="G98" s="12" t="s">
        <v>48</v>
      </c>
      <c r="H98" s="12"/>
      <c r="I98" s="12" t="s">
        <v>49</v>
      </c>
      <c r="J98" s="12" t="s">
        <v>49</v>
      </c>
      <c r="K98" s="12" t="s">
        <v>359</v>
      </c>
    </row>
    <row r="99" customFormat="false" ht="23.85" hidden="false" customHeight="false" outlineLevel="0" collapsed="false">
      <c r="A99" s="9" t="n">
        <v>95</v>
      </c>
      <c r="B99" s="9" t="s">
        <v>334</v>
      </c>
      <c r="C99" s="10" t="s">
        <v>360</v>
      </c>
      <c r="D99" s="14" t="s">
        <v>53</v>
      </c>
      <c r="E99" s="9"/>
      <c r="F99" s="9" t="s">
        <v>361</v>
      </c>
      <c r="G99" s="9" t="s">
        <v>48</v>
      </c>
      <c r="H99" s="9"/>
      <c r="I99" s="9" t="s">
        <v>49</v>
      </c>
      <c r="J99" s="9" t="s">
        <v>49</v>
      </c>
      <c r="K99" s="9"/>
    </row>
    <row r="100" customFormat="false" ht="23.85" hidden="false" customHeight="false" outlineLevel="0" collapsed="false">
      <c r="A100" s="12" t="n">
        <v>96</v>
      </c>
      <c r="B100" s="12" t="s">
        <v>334</v>
      </c>
      <c r="C100" s="13" t="s">
        <v>362</v>
      </c>
      <c r="D100" s="15" t="s">
        <v>57</v>
      </c>
      <c r="E100" s="12" t="s">
        <v>320</v>
      </c>
      <c r="F100" s="12" t="s">
        <v>363</v>
      </c>
      <c r="G100" s="12" t="s">
        <v>48</v>
      </c>
      <c r="H100" s="12"/>
      <c r="I100" s="12" t="s">
        <v>49</v>
      </c>
      <c r="J100" s="12" t="s">
        <v>49</v>
      </c>
      <c r="K100" s="12"/>
    </row>
    <row r="101" customFormat="false" ht="23.85" hidden="false" customHeight="false" outlineLevel="0" collapsed="false">
      <c r="A101" s="9" t="n">
        <v>97</v>
      </c>
      <c r="B101" s="9" t="s">
        <v>334</v>
      </c>
      <c r="C101" s="10" t="s">
        <v>364</v>
      </c>
      <c r="D101" s="15" t="s">
        <v>57</v>
      </c>
      <c r="E101" s="9" t="s">
        <v>351</v>
      </c>
      <c r="F101" s="9" t="s">
        <v>365</v>
      </c>
      <c r="G101" s="9" t="s">
        <v>48</v>
      </c>
      <c r="H101" s="9"/>
      <c r="I101" s="9" t="s">
        <v>337</v>
      </c>
      <c r="J101" s="9" t="s">
        <v>61</v>
      </c>
      <c r="K101" s="9" t="s">
        <v>366</v>
      </c>
    </row>
    <row r="102" customFormat="false" ht="23.85" hidden="false" customHeight="false" outlineLevel="0" collapsed="false">
      <c r="A102" s="12" t="n">
        <v>98</v>
      </c>
      <c r="B102" s="12" t="s">
        <v>334</v>
      </c>
      <c r="C102" s="13" t="s">
        <v>367</v>
      </c>
      <c r="D102" s="14" t="s">
        <v>53</v>
      </c>
      <c r="E102" s="12"/>
      <c r="F102" s="12" t="s">
        <v>368</v>
      </c>
      <c r="G102" s="12" t="s">
        <v>48</v>
      </c>
      <c r="H102" s="12"/>
      <c r="I102" s="12" t="s">
        <v>328</v>
      </c>
      <c r="J102" s="12" t="s">
        <v>369</v>
      </c>
      <c r="K102" s="12"/>
    </row>
    <row r="103" customFormat="false" ht="23.85" hidden="false" customHeight="false" outlineLevel="0" collapsed="false">
      <c r="A103" s="9" t="n">
        <v>99</v>
      </c>
      <c r="B103" s="9" t="s">
        <v>334</v>
      </c>
      <c r="C103" s="10" t="s">
        <v>370</v>
      </c>
      <c r="D103" s="15" t="s">
        <v>57</v>
      </c>
      <c r="E103" s="9" t="s">
        <v>320</v>
      </c>
      <c r="F103" s="9" t="s">
        <v>321</v>
      </c>
      <c r="G103" s="9" t="s">
        <v>48</v>
      </c>
      <c r="H103" s="9"/>
      <c r="I103" s="9" t="s">
        <v>337</v>
      </c>
      <c r="J103" s="9" t="s">
        <v>208</v>
      </c>
      <c r="K103" s="9"/>
    </row>
    <row r="104" customFormat="false" ht="23.85" hidden="false" customHeight="false" outlineLevel="0" collapsed="false">
      <c r="A104" s="12" t="n">
        <v>100</v>
      </c>
      <c r="B104" s="12" t="s">
        <v>334</v>
      </c>
      <c r="C104" s="13" t="s">
        <v>371</v>
      </c>
      <c r="D104" s="16" t="s">
        <v>107</v>
      </c>
      <c r="E104" s="12" t="s">
        <v>372</v>
      </c>
      <c r="F104" s="12" t="s">
        <v>373</v>
      </c>
      <c r="G104" s="12" t="s">
        <v>48</v>
      </c>
      <c r="H104" s="12"/>
      <c r="I104" s="12" t="s">
        <v>87</v>
      </c>
      <c r="J104" s="12" t="s">
        <v>61</v>
      </c>
      <c r="K104" s="12" t="s">
        <v>374</v>
      </c>
    </row>
    <row r="105" customFormat="false" ht="23.85" hidden="false" customHeight="false" outlineLevel="0" collapsed="false">
      <c r="A105" s="9" t="n">
        <v>101</v>
      </c>
      <c r="B105" s="9" t="s">
        <v>375</v>
      </c>
      <c r="C105" s="10" t="s">
        <v>376</v>
      </c>
      <c r="D105" s="19" t="s">
        <v>157</v>
      </c>
      <c r="E105" s="9"/>
      <c r="F105" s="9" t="s">
        <v>377</v>
      </c>
      <c r="G105" s="9" t="s">
        <v>48</v>
      </c>
      <c r="H105" s="9"/>
      <c r="I105" s="9" t="s">
        <v>49</v>
      </c>
      <c r="J105" s="9" t="s">
        <v>49</v>
      </c>
      <c r="K105" s="9" t="s">
        <v>378</v>
      </c>
    </row>
    <row r="106" customFormat="false" ht="23.85" hidden="false" customHeight="false" outlineLevel="0" collapsed="false">
      <c r="A106" s="12" t="n">
        <v>102</v>
      </c>
      <c r="B106" s="12" t="s">
        <v>375</v>
      </c>
      <c r="C106" s="13" t="s">
        <v>379</v>
      </c>
      <c r="D106" s="18" t="s">
        <v>146</v>
      </c>
      <c r="E106" s="12"/>
      <c r="F106" s="12" t="s">
        <v>380</v>
      </c>
      <c r="G106" s="12" t="s">
        <v>48</v>
      </c>
      <c r="H106" s="12"/>
      <c r="I106" s="12" t="s">
        <v>49</v>
      </c>
      <c r="J106" s="12" t="s">
        <v>49</v>
      </c>
      <c r="K106" s="12" t="s">
        <v>381</v>
      </c>
    </row>
    <row r="107" customFormat="false" ht="23.85" hidden="false" customHeight="false" outlineLevel="0" collapsed="false">
      <c r="A107" s="9" t="n">
        <v>103</v>
      </c>
      <c r="B107" s="9" t="s">
        <v>375</v>
      </c>
      <c r="C107" s="10" t="s">
        <v>382</v>
      </c>
      <c r="D107" s="15" t="s">
        <v>57</v>
      </c>
      <c r="E107" s="9" t="s">
        <v>383</v>
      </c>
      <c r="F107" s="9" t="s">
        <v>384</v>
      </c>
      <c r="G107" s="9" t="s">
        <v>48</v>
      </c>
      <c r="H107" s="9"/>
      <c r="I107" s="9" t="s">
        <v>87</v>
      </c>
      <c r="J107" s="9" t="s">
        <v>61</v>
      </c>
      <c r="K107" s="9" t="s">
        <v>385</v>
      </c>
    </row>
    <row r="108" customFormat="false" ht="23.85" hidden="false" customHeight="false" outlineLevel="0" collapsed="false">
      <c r="A108" s="12" t="n">
        <v>104</v>
      </c>
      <c r="B108" s="12" t="s">
        <v>375</v>
      </c>
      <c r="C108" s="13" t="s">
        <v>386</v>
      </c>
      <c r="D108" s="15" t="s">
        <v>57</v>
      </c>
      <c r="E108" s="12" t="s">
        <v>386</v>
      </c>
      <c r="F108" s="12" t="s">
        <v>387</v>
      </c>
      <c r="G108" s="12" t="s">
        <v>48</v>
      </c>
      <c r="H108" s="12"/>
      <c r="I108" s="12" t="s">
        <v>49</v>
      </c>
      <c r="J108" s="12" t="s">
        <v>49</v>
      </c>
      <c r="K108" s="12" t="s">
        <v>388</v>
      </c>
    </row>
    <row r="109" customFormat="false" ht="23.85" hidden="false" customHeight="false" outlineLevel="0" collapsed="false">
      <c r="A109" s="9" t="n">
        <v>105</v>
      </c>
      <c r="B109" s="9" t="s">
        <v>375</v>
      </c>
      <c r="C109" s="10" t="s">
        <v>389</v>
      </c>
      <c r="D109" s="15" t="s">
        <v>57</v>
      </c>
      <c r="E109" s="9" t="s">
        <v>386</v>
      </c>
      <c r="F109" s="9" t="s">
        <v>390</v>
      </c>
      <c r="G109" s="9" t="s">
        <v>48</v>
      </c>
      <c r="H109" s="9"/>
      <c r="I109" s="9" t="s">
        <v>87</v>
      </c>
      <c r="J109" s="9" t="s">
        <v>61</v>
      </c>
      <c r="K109" s="9" t="s">
        <v>391</v>
      </c>
    </row>
    <row r="110" customFormat="false" ht="23.85" hidden="false" customHeight="false" outlineLevel="0" collapsed="false">
      <c r="A110" s="12" t="n">
        <v>106</v>
      </c>
      <c r="B110" s="12" t="s">
        <v>375</v>
      </c>
      <c r="C110" s="13" t="s">
        <v>392</v>
      </c>
      <c r="D110" s="15" t="s">
        <v>57</v>
      </c>
      <c r="E110" s="12" t="s">
        <v>393</v>
      </c>
      <c r="F110" s="12" t="s">
        <v>394</v>
      </c>
      <c r="G110" s="12" t="s">
        <v>48</v>
      </c>
      <c r="H110" s="12"/>
      <c r="I110" s="12" t="s">
        <v>87</v>
      </c>
      <c r="J110" s="12" t="s">
        <v>61</v>
      </c>
      <c r="K110" s="12" t="s">
        <v>395</v>
      </c>
    </row>
    <row r="111" customFormat="false" ht="23.85" hidden="false" customHeight="false" outlineLevel="0" collapsed="false">
      <c r="A111" s="9" t="n">
        <v>107</v>
      </c>
      <c r="B111" s="9" t="s">
        <v>375</v>
      </c>
      <c r="C111" s="10" t="s">
        <v>396</v>
      </c>
      <c r="D111" s="15" t="s">
        <v>57</v>
      </c>
      <c r="E111" s="9" t="s">
        <v>397</v>
      </c>
      <c r="F111" s="9" t="s">
        <v>398</v>
      </c>
      <c r="G111" s="9" t="s">
        <v>48</v>
      </c>
      <c r="H111" s="9"/>
      <c r="I111" s="9" t="s">
        <v>87</v>
      </c>
      <c r="J111" s="9" t="s">
        <v>61</v>
      </c>
      <c r="K111" s="9" t="s">
        <v>399</v>
      </c>
    </row>
    <row r="112" customFormat="false" ht="46.25" hidden="false" customHeight="false" outlineLevel="0" collapsed="false">
      <c r="A112" s="12" t="n">
        <v>108</v>
      </c>
      <c r="B112" s="12" t="s">
        <v>375</v>
      </c>
      <c r="C112" s="13" t="s">
        <v>400</v>
      </c>
      <c r="D112" s="15" t="s">
        <v>57</v>
      </c>
      <c r="E112" s="12" t="s">
        <v>400</v>
      </c>
      <c r="F112" s="12" t="s">
        <v>401</v>
      </c>
      <c r="G112" s="12" t="s">
        <v>48</v>
      </c>
      <c r="H112" s="12"/>
      <c r="I112" s="12" t="s">
        <v>49</v>
      </c>
      <c r="J112" s="12" t="s">
        <v>49</v>
      </c>
      <c r="K112" s="12"/>
    </row>
    <row r="113" customFormat="false" ht="23.85" hidden="false" customHeight="false" outlineLevel="0" collapsed="false">
      <c r="A113" s="9" t="n">
        <v>109</v>
      </c>
      <c r="B113" s="9" t="s">
        <v>375</v>
      </c>
      <c r="C113" s="10" t="s">
        <v>402</v>
      </c>
      <c r="D113" s="15" t="s">
        <v>57</v>
      </c>
      <c r="E113" s="9" t="s">
        <v>403</v>
      </c>
      <c r="F113" s="9" t="s">
        <v>404</v>
      </c>
      <c r="G113" s="9" t="s">
        <v>48</v>
      </c>
      <c r="H113" s="9"/>
      <c r="I113" s="9" t="s">
        <v>87</v>
      </c>
      <c r="J113" s="9" t="s">
        <v>61</v>
      </c>
      <c r="K113" s="9" t="s">
        <v>405</v>
      </c>
    </row>
    <row r="114" customFormat="false" ht="23.85" hidden="false" customHeight="false" outlineLevel="0" collapsed="false">
      <c r="A114" s="12" t="n">
        <v>110</v>
      </c>
      <c r="B114" s="12" t="s">
        <v>375</v>
      </c>
      <c r="C114" s="13" t="s">
        <v>406</v>
      </c>
      <c r="D114" s="17" t="s">
        <v>114</v>
      </c>
      <c r="E114" s="12"/>
      <c r="F114" s="12" t="s">
        <v>407</v>
      </c>
      <c r="G114" s="12" t="s">
        <v>48</v>
      </c>
      <c r="H114" s="12"/>
      <c r="I114" s="12" t="s">
        <v>87</v>
      </c>
      <c r="J114" s="12" t="s">
        <v>61</v>
      </c>
      <c r="K114" s="12" t="s">
        <v>408</v>
      </c>
    </row>
    <row r="115" customFormat="false" ht="23.85" hidden="false" customHeight="false" outlineLevel="0" collapsed="false">
      <c r="A115" s="9" t="n">
        <v>111</v>
      </c>
      <c r="B115" s="9" t="s">
        <v>375</v>
      </c>
      <c r="C115" s="10" t="s">
        <v>409</v>
      </c>
      <c r="D115" s="16" t="s">
        <v>107</v>
      </c>
      <c r="E115" s="9" t="s">
        <v>410</v>
      </c>
      <c r="F115" s="9" t="s">
        <v>411</v>
      </c>
      <c r="G115" s="9" t="s">
        <v>48</v>
      </c>
      <c r="H115" s="9"/>
      <c r="I115" s="9" t="s">
        <v>49</v>
      </c>
      <c r="J115" s="9" t="s">
        <v>49</v>
      </c>
      <c r="K115" s="9"/>
    </row>
    <row r="116" customFormat="false" ht="23.85" hidden="false" customHeight="false" outlineLevel="0" collapsed="false">
      <c r="A116" s="12" t="n">
        <v>112</v>
      </c>
      <c r="B116" s="12" t="s">
        <v>375</v>
      </c>
      <c r="C116" s="13" t="s">
        <v>412</v>
      </c>
      <c r="D116" s="15" t="s">
        <v>57</v>
      </c>
      <c r="E116" s="12" t="s">
        <v>413</v>
      </c>
      <c r="F116" s="12" t="s">
        <v>414</v>
      </c>
      <c r="G116" s="12" t="s">
        <v>48</v>
      </c>
      <c r="H116" s="12"/>
      <c r="I116" s="12" t="s">
        <v>49</v>
      </c>
      <c r="J116" s="12" t="s">
        <v>49</v>
      </c>
      <c r="K116" s="12"/>
    </row>
    <row r="117" customFormat="false" ht="23.85" hidden="false" customHeight="false" outlineLevel="0" collapsed="false">
      <c r="A117" s="9" t="n">
        <v>113</v>
      </c>
      <c r="B117" s="9" t="s">
        <v>375</v>
      </c>
      <c r="C117" s="10" t="s">
        <v>415</v>
      </c>
      <c r="D117" s="16" t="s">
        <v>107</v>
      </c>
      <c r="E117" s="9" t="s">
        <v>415</v>
      </c>
      <c r="F117" s="9" t="s">
        <v>416</v>
      </c>
      <c r="G117" s="9" t="s">
        <v>48</v>
      </c>
      <c r="H117" s="9"/>
      <c r="I117" s="9" t="s">
        <v>417</v>
      </c>
      <c r="J117" s="9" t="s">
        <v>61</v>
      </c>
      <c r="K117" s="9" t="s">
        <v>418</v>
      </c>
    </row>
    <row r="118" customFormat="false" ht="23.85" hidden="false" customHeight="false" outlineLevel="0" collapsed="false">
      <c r="A118" s="12" t="n">
        <v>114</v>
      </c>
      <c r="B118" s="12" t="s">
        <v>375</v>
      </c>
      <c r="C118" s="13" t="s">
        <v>419</v>
      </c>
      <c r="D118" s="17" t="s">
        <v>114</v>
      </c>
      <c r="E118" s="12"/>
      <c r="F118" s="12" t="s">
        <v>420</v>
      </c>
      <c r="G118" s="12" t="s">
        <v>48</v>
      </c>
      <c r="H118" s="12"/>
      <c r="I118" s="12" t="s">
        <v>421</v>
      </c>
      <c r="J118" s="12" t="s">
        <v>61</v>
      </c>
      <c r="K118" s="12" t="s">
        <v>422</v>
      </c>
    </row>
    <row r="119" customFormat="false" ht="23.85" hidden="false" customHeight="false" outlineLevel="0" collapsed="false">
      <c r="A119" s="9" t="n">
        <v>115</v>
      </c>
      <c r="B119" s="9" t="s">
        <v>375</v>
      </c>
      <c r="C119" s="10" t="s">
        <v>423</v>
      </c>
      <c r="D119" s="16" t="s">
        <v>107</v>
      </c>
      <c r="E119" s="9" t="s">
        <v>424</v>
      </c>
      <c r="F119" s="9" t="s">
        <v>425</v>
      </c>
      <c r="G119" s="9" t="s">
        <v>48</v>
      </c>
      <c r="H119" s="9"/>
      <c r="I119" s="9" t="s">
        <v>87</v>
      </c>
      <c r="J119" s="9" t="s">
        <v>61</v>
      </c>
      <c r="K119" s="9" t="s">
        <v>426</v>
      </c>
    </row>
    <row r="120" customFormat="false" ht="23.85" hidden="false" customHeight="false" outlineLevel="0" collapsed="false">
      <c r="A120" s="12" t="n">
        <v>116</v>
      </c>
      <c r="B120" s="12" t="s">
        <v>375</v>
      </c>
      <c r="C120" s="13" t="s">
        <v>427</v>
      </c>
      <c r="D120" s="16" t="s">
        <v>107</v>
      </c>
      <c r="E120" s="12" t="s">
        <v>428</v>
      </c>
      <c r="F120" s="12" t="s">
        <v>429</v>
      </c>
      <c r="G120" s="12" t="s">
        <v>48</v>
      </c>
      <c r="H120" s="12"/>
      <c r="I120" s="12" t="s">
        <v>99</v>
      </c>
      <c r="J120" s="12" t="s">
        <v>61</v>
      </c>
      <c r="K120" s="12" t="s">
        <v>430</v>
      </c>
    </row>
    <row r="121" customFormat="false" ht="23.85" hidden="false" customHeight="false" outlineLevel="0" collapsed="false">
      <c r="A121" s="9" t="n">
        <v>117</v>
      </c>
      <c r="B121" s="9" t="s">
        <v>375</v>
      </c>
      <c r="C121" s="10" t="s">
        <v>431</v>
      </c>
      <c r="D121" s="14" t="s">
        <v>53</v>
      </c>
      <c r="E121" s="9"/>
      <c r="F121" s="9" t="s">
        <v>432</v>
      </c>
      <c r="G121" s="9" t="s">
        <v>48</v>
      </c>
      <c r="H121" s="9"/>
      <c r="I121" s="9" t="s">
        <v>433</v>
      </c>
      <c r="J121" s="9" t="s">
        <v>61</v>
      </c>
      <c r="K121" s="9" t="s">
        <v>434</v>
      </c>
    </row>
    <row r="122" customFormat="false" ht="23.85" hidden="false" customHeight="false" outlineLevel="0" collapsed="false">
      <c r="A122" s="12" t="n">
        <v>118</v>
      </c>
      <c r="B122" s="12" t="s">
        <v>435</v>
      </c>
      <c r="C122" s="13" t="s">
        <v>436</v>
      </c>
      <c r="D122" s="15" t="s">
        <v>57</v>
      </c>
      <c r="E122" s="12" t="s">
        <v>436</v>
      </c>
      <c r="F122" s="12" t="s">
        <v>437</v>
      </c>
      <c r="G122" s="12" t="s">
        <v>48</v>
      </c>
      <c r="H122" s="12"/>
      <c r="I122" s="12" t="s">
        <v>49</v>
      </c>
      <c r="J122" s="12" t="s">
        <v>50</v>
      </c>
      <c r="K122" s="12" t="s">
        <v>438</v>
      </c>
    </row>
    <row r="123" customFormat="false" ht="23.85" hidden="false" customHeight="false" outlineLevel="0" collapsed="false">
      <c r="A123" s="9" t="n">
        <v>119</v>
      </c>
      <c r="B123" s="9" t="s">
        <v>435</v>
      </c>
      <c r="C123" s="10" t="s">
        <v>439</v>
      </c>
      <c r="D123" s="15" t="s">
        <v>57</v>
      </c>
      <c r="E123" s="9" t="s">
        <v>439</v>
      </c>
      <c r="F123" s="9" t="s">
        <v>440</v>
      </c>
      <c r="G123" s="9" t="s">
        <v>48</v>
      </c>
      <c r="H123" s="9"/>
      <c r="I123" s="9" t="s">
        <v>49</v>
      </c>
      <c r="J123" s="9" t="s">
        <v>49</v>
      </c>
      <c r="K123" s="9" t="s">
        <v>441</v>
      </c>
    </row>
    <row r="124" customFormat="false" ht="23.85" hidden="false" customHeight="false" outlineLevel="0" collapsed="false">
      <c r="A124" s="12" t="n">
        <v>120</v>
      </c>
      <c r="B124" s="12" t="s">
        <v>435</v>
      </c>
      <c r="C124" s="13" t="s">
        <v>442</v>
      </c>
      <c r="D124" s="15" t="s">
        <v>57</v>
      </c>
      <c r="E124" s="12" t="s">
        <v>442</v>
      </c>
      <c r="F124" s="12" t="s">
        <v>443</v>
      </c>
      <c r="G124" s="12" t="s">
        <v>48</v>
      </c>
      <c r="H124" s="12"/>
      <c r="I124" s="12" t="s">
        <v>444</v>
      </c>
      <c r="J124" s="12" t="s">
        <v>61</v>
      </c>
      <c r="K124" s="12" t="s">
        <v>445</v>
      </c>
    </row>
    <row r="125" customFormat="false" ht="57.45" hidden="false" customHeight="false" outlineLevel="0" collapsed="false">
      <c r="A125" s="9" t="n">
        <v>121</v>
      </c>
      <c r="B125" s="9" t="s">
        <v>435</v>
      </c>
      <c r="C125" s="10" t="s">
        <v>446</v>
      </c>
      <c r="D125" s="20" t="s">
        <v>447</v>
      </c>
      <c r="E125" s="9"/>
      <c r="F125" s="9" t="s">
        <v>448</v>
      </c>
      <c r="G125" s="9" t="s">
        <v>48</v>
      </c>
      <c r="H125" s="9"/>
      <c r="I125" s="9" t="s">
        <v>49</v>
      </c>
      <c r="J125" s="9" t="s">
        <v>49</v>
      </c>
      <c r="K125" s="9" t="s">
        <v>449</v>
      </c>
    </row>
    <row r="126" customFormat="false" ht="23.85" hidden="false" customHeight="false" outlineLevel="0" collapsed="false">
      <c r="A126" s="12" t="n">
        <v>122</v>
      </c>
      <c r="B126" s="12" t="s">
        <v>435</v>
      </c>
      <c r="C126" s="13" t="s">
        <v>450</v>
      </c>
      <c r="D126" s="15" t="s">
        <v>57</v>
      </c>
      <c r="E126" s="12" t="s">
        <v>447</v>
      </c>
      <c r="F126" s="12" t="s">
        <v>451</v>
      </c>
      <c r="G126" s="12" t="s">
        <v>48</v>
      </c>
      <c r="H126" s="12"/>
      <c r="I126" s="12" t="s">
        <v>49</v>
      </c>
      <c r="J126" s="12" t="s">
        <v>49</v>
      </c>
      <c r="K126" s="12" t="s">
        <v>452</v>
      </c>
    </row>
    <row r="127" customFormat="false" ht="23.85" hidden="false" customHeight="false" outlineLevel="0" collapsed="false">
      <c r="A127" s="9" t="n">
        <v>123</v>
      </c>
      <c r="B127" s="9" t="s">
        <v>435</v>
      </c>
      <c r="C127" s="10" t="s">
        <v>453</v>
      </c>
      <c r="D127" s="15" t="s">
        <v>57</v>
      </c>
      <c r="E127" s="9" t="s">
        <v>454</v>
      </c>
      <c r="F127" s="9" t="s">
        <v>455</v>
      </c>
      <c r="G127" s="9" t="s">
        <v>48</v>
      </c>
      <c r="H127" s="9"/>
      <c r="I127" s="9" t="s">
        <v>49</v>
      </c>
      <c r="J127" s="9" t="s">
        <v>49</v>
      </c>
      <c r="K127" s="9" t="s">
        <v>456</v>
      </c>
    </row>
    <row r="128" customFormat="false" ht="57.45" hidden="false" customHeight="false" outlineLevel="0" collapsed="false">
      <c r="A128" s="12" t="n">
        <v>124</v>
      </c>
      <c r="B128" s="12" t="s">
        <v>435</v>
      </c>
      <c r="C128" s="13" t="s">
        <v>457</v>
      </c>
      <c r="D128" s="20" t="s">
        <v>447</v>
      </c>
      <c r="E128" s="12"/>
      <c r="F128" s="12" t="s">
        <v>458</v>
      </c>
      <c r="G128" s="12" t="s">
        <v>48</v>
      </c>
      <c r="H128" s="12"/>
      <c r="I128" s="12" t="s">
        <v>49</v>
      </c>
      <c r="J128" s="12" t="s">
        <v>49</v>
      </c>
      <c r="K128" s="12" t="s">
        <v>459</v>
      </c>
    </row>
    <row r="129" customFormat="false" ht="46.25" hidden="false" customHeight="false" outlineLevel="0" collapsed="false">
      <c r="A129" s="9" t="n">
        <v>125</v>
      </c>
      <c r="B129" s="9" t="s">
        <v>435</v>
      </c>
      <c r="C129" s="10" t="s">
        <v>460</v>
      </c>
      <c r="D129" s="20" t="s">
        <v>447</v>
      </c>
      <c r="E129" s="9"/>
      <c r="F129" s="9" t="s">
        <v>461</v>
      </c>
      <c r="G129" s="9" t="s">
        <v>48</v>
      </c>
      <c r="H129" s="9"/>
      <c r="I129" s="9" t="s">
        <v>444</v>
      </c>
      <c r="J129" s="9" t="s">
        <v>61</v>
      </c>
      <c r="K129" s="9" t="s">
        <v>462</v>
      </c>
    </row>
    <row r="130" customFormat="false" ht="57.45" hidden="false" customHeight="false" outlineLevel="0" collapsed="false">
      <c r="A130" s="12" t="n">
        <v>126</v>
      </c>
      <c r="B130" s="12" t="s">
        <v>435</v>
      </c>
      <c r="C130" s="13" t="s">
        <v>463</v>
      </c>
      <c r="D130" s="20" t="s">
        <v>447</v>
      </c>
      <c r="E130" s="12"/>
      <c r="F130" s="12" t="s">
        <v>464</v>
      </c>
      <c r="G130" s="12" t="s">
        <v>48</v>
      </c>
      <c r="H130" s="12"/>
      <c r="I130" s="12" t="s">
        <v>444</v>
      </c>
      <c r="J130" s="12" t="s">
        <v>61</v>
      </c>
      <c r="K130" s="12" t="s">
        <v>465</v>
      </c>
    </row>
    <row r="131" customFormat="false" ht="23.85" hidden="false" customHeight="false" outlineLevel="0" collapsed="false">
      <c r="A131" s="9" t="n">
        <v>127</v>
      </c>
      <c r="B131" s="9" t="s">
        <v>435</v>
      </c>
      <c r="C131" s="10" t="s">
        <v>466</v>
      </c>
      <c r="D131" s="15" t="s">
        <v>57</v>
      </c>
      <c r="E131" s="9" t="s">
        <v>454</v>
      </c>
      <c r="F131" s="9" t="s">
        <v>467</v>
      </c>
      <c r="G131" s="9" t="s">
        <v>48</v>
      </c>
      <c r="H131" s="9"/>
      <c r="I131" s="9" t="s">
        <v>444</v>
      </c>
      <c r="J131" s="9" t="s">
        <v>61</v>
      </c>
      <c r="K131" s="9"/>
    </row>
    <row r="132" customFormat="false" ht="46.25" hidden="false" customHeight="false" outlineLevel="0" collapsed="false">
      <c r="A132" s="12" t="n">
        <v>128</v>
      </c>
      <c r="B132" s="12" t="s">
        <v>435</v>
      </c>
      <c r="C132" s="13" t="s">
        <v>468</v>
      </c>
      <c r="D132" s="20" t="s">
        <v>447</v>
      </c>
      <c r="E132" s="12"/>
      <c r="F132" s="12" t="s">
        <v>469</v>
      </c>
      <c r="G132" s="12" t="s">
        <v>48</v>
      </c>
      <c r="H132" s="12"/>
      <c r="I132" s="12" t="s">
        <v>444</v>
      </c>
      <c r="J132" s="12" t="s">
        <v>61</v>
      </c>
      <c r="K132" s="12"/>
    </row>
    <row r="133" customFormat="false" ht="46.25" hidden="false" customHeight="false" outlineLevel="0" collapsed="false">
      <c r="A133" s="9" t="n">
        <v>129</v>
      </c>
      <c r="B133" s="9" t="s">
        <v>435</v>
      </c>
      <c r="C133" s="10" t="s">
        <v>470</v>
      </c>
      <c r="D133" s="18" t="s">
        <v>146</v>
      </c>
      <c r="E133" s="9"/>
      <c r="F133" s="9" t="s">
        <v>471</v>
      </c>
      <c r="G133" s="9" t="s">
        <v>48</v>
      </c>
      <c r="H133" s="9"/>
      <c r="I133" s="9" t="s">
        <v>444</v>
      </c>
      <c r="J133" s="9" t="s">
        <v>61</v>
      </c>
      <c r="K133" s="9" t="s">
        <v>472</v>
      </c>
    </row>
    <row r="134" customFormat="false" ht="46.25" hidden="false" customHeight="false" outlineLevel="0" collapsed="false">
      <c r="A134" s="12" t="n">
        <v>130</v>
      </c>
      <c r="B134" s="12" t="s">
        <v>435</v>
      </c>
      <c r="C134" s="13" t="s">
        <v>473</v>
      </c>
      <c r="D134" s="18" t="s">
        <v>146</v>
      </c>
      <c r="E134" s="12"/>
      <c r="F134" s="12" t="s">
        <v>474</v>
      </c>
      <c r="G134" s="12" t="s">
        <v>48</v>
      </c>
      <c r="H134" s="12"/>
      <c r="I134" s="12" t="s">
        <v>444</v>
      </c>
      <c r="J134" s="12" t="s">
        <v>61</v>
      </c>
      <c r="K134" s="12" t="s">
        <v>475</v>
      </c>
    </row>
    <row r="135" customFormat="false" ht="23.85" hidden="false" customHeight="false" outlineLevel="0" collapsed="false">
      <c r="A135" s="9" t="n">
        <v>131</v>
      </c>
      <c r="B135" s="9" t="s">
        <v>435</v>
      </c>
      <c r="C135" s="10" t="s">
        <v>476</v>
      </c>
      <c r="D135" s="15" t="s">
        <v>57</v>
      </c>
      <c r="E135" s="9" t="s">
        <v>477</v>
      </c>
      <c r="F135" s="9" t="s">
        <v>478</v>
      </c>
      <c r="G135" s="9" t="s">
        <v>48</v>
      </c>
      <c r="H135" s="9"/>
      <c r="I135" s="9" t="s">
        <v>444</v>
      </c>
      <c r="J135" s="9" t="s">
        <v>61</v>
      </c>
      <c r="K135" s="9" t="s">
        <v>479</v>
      </c>
    </row>
    <row r="136" customFormat="false" ht="23.85" hidden="false" customHeight="false" outlineLevel="0" collapsed="false">
      <c r="A136" s="12" t="n">
        <v>132</v>
      </c>
      <c r="B136" s="12" t="s">
        <v>435</v>
      </c>
      <c r="C136" s="13" t="s">
        <v>480</v>
      </c>
      <c r="D136" s="20" t="s">
        <v>447</v>
      </c>
      <c r="E136" s="12"/>
      <c r="F136" s="12" t="s">
        <v>481</v>
      </c>
      <c r="G136" s="12" t="s">
        <v>48</v>
      </c>
      <c r="H136" s="12"/>
      <c r="I136" s="12" t="s">
        <v>444</v>
      </c>
      <c r="J136" s="12" t="s">
        <v>61</v>
      </c>
      <c r="K136" s="12" t="s">
        <v>482</v>
      </c>
    </row>
    <row r="137" customFormat="false" ht="57.45" hidden="false" customHeight="false" outlineLevel="0" collapsed="false">
      <c r="A137" s="9" t="n">
        <v>133</v>
      </c>
      <c r="B137" s="9" t="s">
        <v>435</v>
      </c>
      <c r="C137" s="10" t="s">
        <v>483</v>
      </c>
      <c r="D137" s="16" t="s">
        <v>107</v>
      </c>
      <c r="E137" s="9" t="s">
        <v>484</v>
      </c>
      <c r="F137" s="9" t="s">
        <v>485</v>
      </c>
      <c r="G137" s="9" t="s">
        <v>48</v>
      </c>
      <c r="H137" s="9"/>
      <c r="I137" s="9" t="s">
        <v>444</v>
      </c>
      <c r="J137" s="9" t="s">
        <v>61</v>
      </c>
      <c r="K137" s="9" t="s">
        <v>486</v>
      </c>
    </row>
    <row r="138" customFormat="false" ht="57.45" hidden="false" customHeight="false" outlineLevel="0" collapsed="false">
      <c r="A138" s="12" t="n">
        <v>134</v>
      </c>
      <c r="B138" s="12" t="s">
        <v>435</v>
      </c>
      <c r="C138" s="13" t="s">
        <v>487</v>
      </c>
      <c r="D138" s="16" t="s">
        <v>107</v>
      </c>
      <c r="E138" s="12" t="s">
        <v>484</v>
      </c>
      <c r="F138" s="12" t="s">
        <v>488</v>
      </c>
      <c r="G138" s="12" t="s">
        <v>48</v>
      </c>
      <c r="H138" s="12"/>
      <c r="I138" s="12" t="s">
        <v>444</v>
      </c>
      <c r="J138" s="12" t="s">
        <v>61</v>
      </c>
      <c r="K138" s="12"/>
    </row>
    <row r="139" customFormat="false" ht="57.45" hidden="false" customHeight="false" outlineLevel="0" collapsed="false">
      <c r="A139" s="9" t="n">
        <v>135</v>
      </c>
      <c r="B139" s="9" t="s">
        <v>435</v>
      </c>
      <c r="C139" s="10" t="s">
        <v>489</v>
      </c>
      <c r="D139" s="16" t="s">
        <v>107</v>
      </c>
      <c r="E139" s="9" t="s">
        <v>484</v>
      </c>
      <c r="F139" s="9" t="s">
        <v>490</v>
      </c>
      <c r="G139" s="9" t="s">
        <v>48</v>
      </c>
      <c r="H139" s="9"/>
      <c r="I139" s="9" t="s">
        <v>444</v>
      </c>
      <c r="J139" s="9" t="s">
        <v>61</v>
      </c>
      <c r="K139" s="9"/>
    </row>
    <row r="140" customFormat="false" ht="57.45" hidden="false" customHeight="false" outlineLevel="0" collapsed="false">
      <c r="A140" s="12" t="n">
        <v>136</v>
      </c>
      <c r="B140" s="12" t="s">
        <v>435</v>
      </c>
      <c r="C140" s="13" t="s">
        <v>491</v>
      </c>
      <c r="D140" s="16" t="s">
        <v>107</v>
      </c>
      <c r="E140" s="12" t="s">
        <v>484</v>
      </c>
      <c r="F140" s="12" t="s">
        <v>492</v>
      </c>
      <c r="G140" s="12" t="s">
        <v>48</v>
      </c>
      <c r="H140" s="12"/>
      <c r="I140" s="12" t="s">
        <v>444</v>
      </c>
      <c r="J140" s="12" t="s">
        <v>61</v>
      </c>
      <c r="K140" s="12"/>
    </row>
    <row r="141" customFormat="false" ht="46.25" hidden="false" customHeight="false" outlineLevel="0" collapsed="false">
      <c r="A141" s="9" t="n">
        <v>137</v>
      </c>
      <c r="B141" s="9" t="s">
        <v>435</v>
      </c>
      <c r="C141" s="10" t="s">
        <v>493</v>
      </c>
      <c r="D141" s="20" t="s">
        <v>447</v>
      </c>
      <c r="E141" s="9"/>
      <c r="F141" s="9" t="s">
        <v>494</v>
      </c>
      <c r="G141" s="9" t="s">
        <v>48</v>
      </c>
      <c r="H141" s="9"/>
      <c r="I141" s="9" t="s">
        <v>444</v>
      </c>
      <c r="J141" s="9" t="s">
        <v>61</v>
      </c>
      <c r="K141" s="9" t="s">
        <v>495</v>
      </c>
    </row>
    <row r="142" customFormat="false" ht="23.85" hidden="false" customHeight="false" outlineLevel="0" collapsed="false">
      <c r="A142" s="12" t="n">
        <v>138</v>
      </c>
      <c r="B142" s="12" t="s">
        <v>435</v>
      </c>
      <c r="C142" s="13" t="s">
        <v>496</v>
      </c>
      <c r="D142" s="18" t="s">
        <v>146</v>
      </c>
      <c r="E142" s="12"/>
      <c r="F142" s="12" t="s">
        <v>497</v>
      </c>
      <c r="G142" s="12" t="s">
        <v>48</v>
      </c>
      <c r="H142" s="12"/>
      <c r="I142" s="12" t="s">
        <v>444</v>
      </c>
      <c r="J142" s="12" t="s">
        <v>61</v>
      </c>
      <c r="K142" s="12"/>
    </row>
    <row r="143" customFormat="false" ht="23.85" hidden="false" customHeight="false" outlineLevel="0" collapsed="false">
      <c r="A143" s="9" t="n">
        <v>139</v>
      </c>
      <c r="B143" s="9" t="s">
        <v>435</v>
      </c>
      <c r="C143" s="10" t="s">
        <v>498</v>
      </c>
      <c r="D143" s="19" t="s">
        <v>157</v>
      </c>
      <c r="E143" s="9"/>
      <c r="F143" s="9" t="s">
        <v>499</v>
      </c>
      <c r="G143" s="9" t="s">
        <v>48</v>
      </c>
      <c r="H143" s="9"/>
      <c r="I143" s="9" t="s">
        <v>444</v>
      </c>
      <c r="J143" s="9" t="s">
        <v>61</v>
      </c>
      <c r="K143" s="9"/>
    </row>
    <row r="144" customFormat="false" ht="23.85" hidden="false" customHeight="false" outlineLevel="0" collapsed="false">
      <c r="A144" s="12" t="n">
        <v>140</v>
      </c>
      <c r="B144" s="12" t="s">
        <v>435</v>
      </c>
      <c r="C144" s="13" t="s">
        <v>500</v>
      </c>
      <c r="D144" s="16" t="s">
        <v>107</v>
      </c>
      <c r="E144" s="12" t="s">
        <v>501</v>
      </c>
      <c r="F144" s="12" t="s">
        <v>502</v>
      </c>
      <c r="G144" s="12" t="s">
        <v>48</v>
      </c>
      <c r="H144" s="12"/>
      <c r="I144" s="12" t="s">
        <v>444</v>
      </c>
      <c r="J144" s="12" t="s">
        <v>61</v>
      </c>
      <c r="K144" s="12" t="s">
        <v>503</v>
      </c>
    </row>
    <row r="145" customFormat="false" ht="23.85" hidden="false" customHeight="false" outlineLevel="0" collapsed="false">
      <c r="A145" s="9" t="n">
        <v>141</v>
      </c>
      <c r="B145" s="9" t="s">
        <v>504</v>
      </c>
      <c r="C145" s="10" t="s">
        <v>505</v>
      </c>
      <c r="D145" s="15" t="s">
        <v>57</v>
      </c>
      <c r="E145" s="9" t="s">
        <v>506</v>
      </c>
      <c r="F145" s="9" t="s">
        <v>507</v>
      </c>
      <c r="G145" s="9" t="s">
        <v>48</v>
      </c>
      <c r="H145" s="9"/>
      <c r="I145" s="9" t="s">
        <v>49</v>
      </c>
      <c r="J145" s="9" t="s">
        <v>49</v>
      </c>
      <c r="K145" s="9" t="s">
        <v>508</v>
      </c>
    </row>
    <row r="146" customFormat="false" ht="23.85" hidden="false" customHeight="false" outlineLevel="0" collapsed="false">
      <c r="A146" s="12" t="n">
        <v>142</v>
      </c>
      <c r="B146" s="12" t="s">
        <v>504</v>
      </c>
      <c r="C146" s="13" t="s">
        <v>509</v>
      </c>
      <c r="D146" s="16" t="s">
        <v>107</v>
      </c>
      <c r="E146" s="12" t="s">
        <v>506</v>
      </c>
      <c r="F146" s="12" t="s">
        <v>510</v>
      </c>
      <c r="G146" s="12" t="s">
        <v>48</v>
      </c>
      <c r="H146" s="12"/>
      <c r="I146" s="12" t="s">
        <v>49</v>
      </c>
      <c r="J146" s="12" t="s">
        <v>49</v>
      </c>
      <c r="K146" s="12"/>
    </row>
    <row r="147" customFormat="false" ht="23.85" hidden="false" customHeight="false" outlineLevel="0" collapsed="false">
      <c r="A147" s="9" t="n">
        <v>143</v>
      </c>
      <c r="B147" s="9" t="s">
        <v>504</v>
      </c>
      <c r="C147" s="10" t="s">
        <v>511</v>
      </c>
      <c r="D147" s="15" t="s">
        <v>57</v>
      </c>
      <c r="E147" s="9" t="s">
        <v>512</v>
      </c>
      <c r="F147" s="9" t="s">
        <v>513</v>
      </c>
      <c r="G147" s="9" t="s">
        <v>48</v>
      </c>
      <c r="H147" s="9"/>
      <c r="I147" s="9" t="s">
        <v>104</v>
      </c>
      <c r="J147" s="9" t="s">
        <v>61</v>
      </c>
      <c r="K147" s="9" t="s">
        <v>514</v>
      </c>
    </row>
    <row r="148" customFormat="false" ht="23.85" hidden="false" customHeight="false" outlineLevel="0" collapsed="false">
      <c r="A148" s="12" t="n">
        <v>144</v>
      </c>
      <c r="B148" s="12" t="s">
        <v>504</v>
      </c>
      <c r="C148" s="13" t="s">
        <v>515</v>
      </c>
      <c r="D148" s="17" t="s">
        <v>114</v>
      </c>
      <c r="E148" s="12"/>
      <c r="F148" s="12" t="s">
        <v>516</v>
      </c>
      <c r="G148" s="12" t="s">
        <v>48</v>
      </c>
      <c r="H148" s="12"/>
      <c r="I148" s="12" t="s">
        <v>104</v>
      </c>
      <c r="J148" s="12" t="s">
        <v>61</v>
      </c>
      <c r="K148" s="12" t="s">
        <v>517</v>
      </c>
    </row>
    <row r="149" customFormat="false" ht="46.25" hidden="false" customHeight="false" outlineLevel="0" collapsed="false">
      <c r="A149" s="9" t="n">
        <v>145</v>
      </c>
      <c r="B149" s="9" t="s">
        <v>504</v>
      </c>
      <c r="C149" s="10" t="s">
        <v>518</v>
      </c>
      <c r="D149" s="15" t="s">
        <v>57</v>
      </c>
      <c r="E149" s="9" t="s">
        <v>519</v>
      </c>
      <c r="F149" s="9" t="s">
        <v>520</v>
      </c>
      <c r="G149" s="9" t="s">
        <v>48</v>
      </c>
      <c r="H149" s="9"/>
      <c r="I149" s="9" t="s">
        <v>104</v>
      </c>
      <c r="J149" s="9" t="s">
        <v>61</v>
      </c>
      <c r="K149" s="9" t="s">
        <v>521</v>
      </c>
    </row>
    <row r="150" customFormat="false" ht="35.05" hidden="false" customHeight="false" outlineLevel="0" collapsed="false">
      <c r="A150" s="12" t="n">
        <v>146</v>
      </c>
      <c r="B150" s="12" t="s">
        <v>504</v>
      </c>
      <c r="C150" s="13" t="s">
        <v>522</v>
      </c>
      <c r="D150" s="19" t="s">
        <v>157</v>
      </c>
      <c r="E150" s="12"/>
      <c r="F150" s="12" t="s">
        <v>523</v>
      </c>
      <c r="G150" s="12" t="s">
        <v>48</v>
      </c>
      <c r="H150" s="12"/>
      <c r="I150" s="12" t="s">
        <v>524</v>
      </c>
      <c r="J150" s="12" t="s">
        <v>61</v>
      </c>
      <c r="K150" s="12" t="s">
        <v>525</v>
      </c>
    </row>
    <row r="151" customFormat="false" ht="23.85" hidden="false" customHeight="false" outlineLevel="0" collapsed="false">
      <c r="A151" s="9" t="n">
        <v>147</v>
      </c>
      <c r="B151" s="9" t="s">
        <v>504</v>
      </c>
      <c r="C151" s="10" t="s">
        <v>526</v>
      </c>
      <c r="D151" s="16" t="s">
        <v>107</v>
      </c>
      <c r="E151" s="9" t="s">
        <v>527</v>
      </c>
      <c r="F151" s="9" t="s">
        <v>528</v>
      </c>
      <c r="G151" s="9" t="s">
        <v>48</v>
      </c>
      <c r="H151" s="9"/>
      <c r="I151" s="9" t="s">
        <v>188</v>
      </c>
      <c r="J151" s="9" t="s">
        <v>61</v>
      </c>
      <c r="K151" s="9" t="s">
        <v>529</v>
      </c>
    </row>
    <row r="152" customFormat="false" ht="35.05" hidden="false" customHeight="false" outlineLevel="0" collapsed="false">
      <c r="A152" s="12" t="n">
        <v>148</v>
      </c>
      <c r="B152" s="12" t="s">
        <v>504</v>
      </c>
      <c r="C152" s="13" t="s">
        <v>530</v>
      </c>
      <c r="D152" s="16" t="s">
        <v>107</v>
      </c>
      <c r="E152" s="12" t="s">
        <v>530</v>
      </c>
      <c r="F152" s="12" t="s">
        <v>531</v>
      </c>
      <c r="G152" s="12" t="s">
        <v>48</v>
      </c>
      <c r="H152" s="12"/>
      <c r="I152" s="12" t="s">
        <v>49</v>
      </c>
      <c r="J152" s="12" t="s">
        <v>50</v>
      </c>
      <c r="K152" s="12" t="s">
        <v>532</v>
      </c>
    </row>
    <row r="153" customFormat="false" ht="35.05" hidden="false" customHeight="false" outlineLevel="0" collapsed="false">
      <c r="A153" s="9" t="n">
        <v>149</v>
      </c>
      <c r="B153" s="9" t="s">
        <v>504</v>
      </c>
      <c r="C153" s="10" t="s">
        <v>533</v>
      </c>
      <c r="D153" s="19" t="s">
        <v>157</v>
      </c>
      <c r="E153" s="9"/>
      <c r="F153" s="9" t="s">
        <v>534</v>
      </c>
      <c r="G153" s="9" t="s">
        <v>48</v>
      </c>
      <c r="H153" s="9"/>
      <c r="I153" s="9" t="s">
        <v>535</v>
      </c>
      <c r="J153" s="9" t="s">
        <v>61</v>
      </c>
      <c r="K153" s="9"/>
    </row>
    <row r="154" customFormat="false" ht="46.25" hidden="false" customHeight="false" outlineLevel="0" collapsed="false">
      <c r="A154" s="12" t="n">
        <v>150</v>
      </c>
      <c r="B154" s="12" t="s">
        <v>504</v>
      </c>
      <c r="C154" s="13" t="s">
        <v>536</v>
      </c>
      <c r="D154" s="19" t="s">
        <v>157</v>
      </c>
      <c r="E154" s="12"/>
      <c r="F154" s="12" t="s">
        <v>537</v>
      </c>
      <c r="G154" s="12" t="s">
        <v>48</v>
      </c>
      <c r="H154" s="12"/>
      <c r="I154" s="12" t="s">
        <v>535</v>
      </c>
      <c r="J154" s="12" t="s">
        <v>61</v>
      </c>
      <c r="K154" s="12"/>
    </row>
    <row r="155" customFormat="false" ht="23.85" hidden="false" customHeight="false" outlineLevel="0" collapsed="false">
      <c r="A155" s="9" t="n">
        <v>151</v>
      </c>
      <c r="B155" s="9" t="s">
        <v>504</v>
      </c>
      <c r="C155" s="10" t="s">
        <v>538</v>
      </c>
      <c r="D155" s="16" t="s">
        <v>107</v>
      </c>
      <c r="E155" s="9" t="s">
        <v>539</v>
      </c>
      <c r="F155" s="9" t="s">
        <v>540</v>
      </c>
      <c r="G155" s="9" t="s">
        <v>48</v>
      </c>
      <c r="H155" s="9"/>
      <c r="I155" s="9" t="s">
        <v>535</v>
      </c>
      <c r="J155" s="9" t="s">
        <v>61</v>
      </c>
      <c r="K155" s="9" t="s">
        <v>541</v>
      </c>
    </row>
    <row r="156" customFormat="false" ht="23.85" hidden="false" customHeight="false" outlineLevel="0" collapsed="false">
      <c r="A156" s="12" t="n">
        <v>152</v>
      </c>
      <c r="B156" s="12" t="s">
        <v>504</v>
      </c>
      <c r="C156" s="13" t="s">
        <v>542</v>
      </c>
      <c r="D156" s="16" t="s">
        <v>107</v>
      </c>
      <c r="E156" s="12" t="s">
        <v>543</v>
      </c>
      <c r="F156" s="12" t="s">
        <v>544</v>
      </c>
      <c r="G156" s="12" t="s">
        <v>48</v>
      </c>
      <c r="H156" s="12"/>
      <c r="I156" s="12" t="s">
        <v>545</v>
      </c>
      <c r="J156" s="12" t="s">
        <v>61</v>
      </c>
      <c r="K156" s="12" t="s">
        <v>546</v>
      </c>
    </row>
    <row r="157" customFormat="false" ht="68.65" hidden="false" customHeight="false" outlineLevel="0" collapsed="false">
      <c r="A157" s="9" t="n">
        <v>153</v>
      </c>
      <c r="B157" s="9" t="s">
        <v>504</v>
      </c>
      <c r="C157" s="10" t="s">
        <v>547</v>
      </c>
      <c r="D157" s="16" t="s">
        <v>107</v>
      </c>
      <c r="E157" s="9" t="s">
        <v>548</v>
      </c>
      <c r="F157" s="9" t="s">
        <v>549</v>
      </c>
      <c r="G157" s="9" t="s">
        <v>48</v>
      </c>
      <c r="H157" s="9"/>
      <c r="I157" s="9" t="s">
        <v>545</v>
      </c>
      <c r="J157" s="9" t="s">
        <v>61</v>
      </c>
      <c r="K157" s="9" t="s">
        <v>550</v>
      </c>
    </row>
    <row r="158" customFormat="false" ht="68.65" hidden="false" customHeight="false" outlineLevel="0" collapsed="false">
      <c r="A158" s="12" t="n">
        <v>154</v>
      </c>
      <c r="B158" s="12" t="s">
        <v>551</v>
      </c>
      <c r="C158" s="13" t="s">
        <v>552</v>
      </c>
      <c r="D158" s="15" t="s">
        <v>57</v>
      </c>
      <c r="E158" s="12" t="s">
        <v>553</v>
      </c>
      <c r="F158" s="12" t="s">
        <v>554</v>
      </c>
      <c r="G158" s="12" t="s">
        <v>48</v>
      </c>
      <c r="H158" s="12"/>
      <c r="I158" s="12" t="s">
        <v>555</v>
      </c>
      <c r="J158" s="12" t="s">
        <v>61</v>
      </c>
      <c r="K158" s="12" t="s">
        <v>556</v>
      </c>
    </row>
    <row r="159" customFormat="false" ht="23.85" hidden="false" customHeight="false" outlineLevel="0" collapsed="false">
      <c r="A159" s="9" t="n">
        <v>155</v>
      </c>
      <c r="B159" s="9" t="s">
        <v>551</v>
      </c>
      <c r="C159" s="10" t="s">
        <v>557</v>
      </c>
      <c r="D159" s="19" t="s">
        <v>157</v>
      </c>
      <c r="E159" s="9"/>
      <c r="F159" s="9" t="s">
        <v>558</v>
      </c>
      <c r="G159" s="9" t="s">
        <v>48</v>
      </c>
      <c r="H159" s="9"/>
      <c r="I159" s="9" t="s">
        <v>555</v>
      </c>
      <c r="J159" s="9" t="s">
        <v>61</v>
      </c>
      <c r="K159" s="9"/>
    </row>
    <row r="160" customFormat="false" ht="23.85" hidden="false" customHeight="false" outlineLevel="0" collapsed="false">
      <c r="A160" s="12" t="n">
        <v>156</v>
      </c>
      <c r="B160" s="12" t="s">
        <v>551</v>
      </c>
      <c r="C160" s="13" t="s">
        <v>559</v>
      </c>
      <c r="D160" s="16" t="s">
        <v>107</v>
      </c>
      <c r="E160" s="12" t="s">
        <v>560</v>
      </c>
      <c r="F160" s="12" t="s">
        <v>561</v>
      </c>
      <c r="G160" s="12" t="s">
        <v>48</v>
      </c>
      <c r="H160" s="12"/>
      <c r="I160" s="12" t="s">
        <v>555</v>
      </c>
      <c r="J160" s="12" t="s">
        <v>562</v>
      </c>
      <c r="K160" s="12" t="s">
        <v>563</v>
      </c>
    </row>
    <row r="161" customFormat="false" ht="35.05" hidden="false" customHeight="false" outlineLevel="0" collapsed="false">
      <c r="A161" s="9" t="n">
        <v>157</v>
      </c>
      <c r="B161" s="9" t="s">
        <v>551</v>
      </c>
      <c r="C161" s="10" t="s">
        <v>564</v>
      </c>
      <c r="D161" s="16" t="s">
        <v>107</v>
      </c>
      <c r="E161" s="9" t="s">
        <v>565</v>
      </c>
      <c r="F161" s="9" t="s">
        <v>566</v>
      </c>
      <c r="G161" s="9" t="s">
        <v>48</v>
      </c>
      <c r="H161" s="9"/>
      <c r="I161" s="9" t="s">
        <v>555</v>
      </c>
      <c r="J161" s="9" t="s">
        <v>61</v>
      </c>
      <c r="K161" s="9" t="s">
        <v>567</v>
      </c>
    </row>
    <row r="162" customFormat="false" ht="23.85" hidden="false" customHeight="false" outlineLevel="0" collapsed="false">
      <c r="A162" s="12" t="n">
        <v>158</v>
      </c>
      <c r="B162" s="12" t="s">
        <v>551</v>
      </c>
      <c r="C162" s="13" t="s">
        <v>568</v>
      </c>
      <c r="D162" s="15" t="s">
        <v>57</v>
      </c>
      <c r="E162" s="12" t="s">
        <v>569</v>
      </c>
      <c r="F162" s="12" t="s">
        <v>570</v>
      </c>
      <c r="G162" s="12" t="s">
        <v>48</v>
      </c>
      <c r="H162" s="12"/>
      <c r="I162" s="12" t="s">
        <v>571</v>
      </c>
      <c r="J162" s="12" t="s">
        <v>245</v>
      </c>
      <c r="K162" s="12" t="s">
        <v>572</v>
      </c>
    </row>
    <row r="163" customFormat="false" ht="23.85" hidden="false" customHeight="false" outlineLevel="0" collapsed="false">
      <c r="A163" s="9" t="n">
        <v>159</v>
      </c>
      <c r="B163" s="9" t="s">
        <v>551</v>
      </c>
      <c r="C163" s="10" t="s">
        <v>573</v>
      </c>
      <c r="D163" s="17" t="s">
        <v>114</v>
      </c>
      <c r="E163" s="9"/>
      <c r="F163" s="9" t="s">
        <v>574</v>
      </c>
      <c r="G163" s="9" t="s">
        <v>48</v>
      </c>
      <c r="H163" s="9"/>
      <c r="I163" s="9" t="s">
        <v>571</v>
      </c>
      <c r="J163" s="9" t="s">
        <v>61</v>
      </c>
      <c r="K163" s="9"/>
    </row>
    <row r="164" customFormat="false" ht="23.85" hidden="false" customHeight="false" outlineLevel="0" collapsed="false">
      <c r="A164" s="12" t="n">
        <v>160</v>
      </c>
      <c r="B164" s="12" t="s">
        <v>551</v>
      </c>
      <c r="C164" s="13" t="s">
        <v>575</v>
      </c>
      <c r="D164" s="15" t="s">
        <v>57</v>
      </c>
      <c r="E164" s="12" t="s">
        <v>575</v>
      </c>
      <c r="F164" s="12" t="s">
        <v>576</v>
      </c>
      <c r="G164" s="12" t="s">
        <v>48</v>
      </c>
      <c r="H164" s="12"/>
      <c r="I164" s="12" t="s">
        <v>571</v>
      </c>
      <c r="J164" s="12" t="s">
        <v>245</v>
      </c>
      <c r="K164" s="12" t="s">
        <v>577</v>
      </c>
    </row>
    <row r="165" customFormat="false" ht="23.85" hidden="false" customHeight="false" outlineLevel="0" collapsed="false">
      <c r="A165" s="9" t="n">
        <v>161</v>
      </c>
      <c r="B165" s="9" t="s">
        <v>551</v>
      </c>
      <c r="C165" s="10" t="s">
        <v>578</v>
      </c>
      <c r="D165" s="17" t="s">
        <v>114</v>
      </c>
      <c r="E165" s="9"/>
      <c r="F165" s="9" t="s">
        <v>579</v>
      </c>
      <c r="G165" s="9" t="s">
        <v>48</v>
      </c>
      <c r="H165" s="9"/>
      <c r="I165" s="9" t="s">
        <v>571</v>
      </c>
      <c r="J165" s="9" t="s">
        <v>61</v>
      </c>
      <c r="K165" s="9"/>
    </row>
    <row r="166" customFormat="false" ht="23.85" hidden="false" customHeight="false" outlineLevel="0" collapsed="false">
      <c r="A166" s="12" t="n">
        <v>162</v>
      </c>
      <c r="B166" s="12" t="s">
        <v>551</v>
      </c>
      <c r="C166" s="13" t="s">
        <v>580</v>
      </c>
      <c r="D166" s="15" t="s">
        <v>57</v>
      </c>
      <c r="E166" s="12" t="s">
        <v>580</v>
      </c>
      <c r="F166" s="12" t="s">
        <v>581</v>
      </c>
      <c r="G166" s="12" t="s">
        <v>48</v>
      </c>
      <c r="H166" s="12"/>
      <c r="I166" s="12" t="s">
        <v>571</v>
      </c>
      <c r="J166" s="12" t="s">
        <v>245</v>
      </c>
      <c r="K166" s="12" t="s">
        <v>582</v>
      </c>
    </row>
    <row r="167" customFormat="false" ht="23.85" hidden="false" customHeight="false" outlineLevel="0" collapsed="false">
      <c r="A167" s="9" t="n">
        <v>163</v>
      </c>
      <c r="B167" s="9" t="s">
        <v>551</v>
      </c>
      <c r="C167" s="10" t="s">
        <v>583</v>
      </c>
      <c r="D167" s="14" t="s">
        <v>53</v>
      </c>
      <c r="E167" s="9"/>
      <c r="F167" s="9" t="s">
        <v>584</v>
      </c>
      <c r="G167" s="9" t="s">
        <v>48</v>
      </c>
      <c r="H167" s="9"/>
      <c r="I167" s="9" t="s">
        <v>571</v>
      </c>
      <c r="J167" s="9" t="s">
        <v>61</v>
      </c>
      <c r="K167" s="9" t="s">
        <v>585</v>
      </c>
    </row>
    <row r="168" customFormat="false" ht="57.45" hidden="false" customHeight="false" outlineLevel="0" collapsed="false">
      <c r="A168" s="12" t="n">
        <v>164</v>
      </c>
      <c r="B168" s="12" t="s">
        <v>551</v>
      </c>
      <c r="C168" s="13" t="s">
        <v>586</v>
      </c>
      <c r="D168" s="16" t="s">
        <v>107</v>
      </c>
      <c r="E168" s="12" t="s">
        <v>587</v>
      </c>
      <c r="F168" s="12" t="s">
        <v>588</v>
      </c>
      <c r="G168" s="12" t="s">
        <v>48</v>
      </c>
      <c r="H168" s="12"/>
      <c r="I168" s="12" t="s">
        <v>571</v>
      </c>
      <c r="J168" s="12" t="s">
        <v>61</v>
      </c>
      <c r="K168" s="12" t="s">
        <v>589</v>
      </c>
    </row>
    <row r="169" customFormat="false" ht="46.25" hidden="false" customHeight="false" outlineLevel="0" collapsed="false">
      <c r="A169" s="9" t="n">
        <v>165</v>
      </c>
      <c r="B169" s="9" t="s">
        <v>551</v>
      </c>
      <c r="C169" s="10" t="s">
        <v>590</v>
      </c>
      <c r="D169" s="16" t="s">
        <v>107</v>
      </c>
      <c r="E169" s="9" t="s">
        <v>591</v>
      </c>
      <c r="F169" s="9" t="s">
        <v>592</v>
      </c>
      <c r="G169" s="9" t="s">
        <v>48</v>
      </c>
      <c r="H169" s="9"/>
      <c r="I169" s="9" t="s">
        <v>417</v>
      </c>
      <c r="J169" s="9" t="s">
        <v>61</v>
      </c>
      <c r="K169" s="9" t="s">
        <v>593</v>
      </c>
    </row>
    <row r="170" customFormat="false" ht="23.85" hidden="false" customHeight="false" outlineLevel="0" collapsed="false">
      <c r="A170" s="12" t="n">
        <v>166</v>
      </c>
      <c r="B170" s="12" t="s">
        <v>551</v>
      </c>
      <c r="C170" s="13" t="s">
        <v>594</v>
      </c>
      <c r="D170" s="14" t="s">
        <v>53</v>
      </c>
      <c r="E170" s="12"/>
      <c r="F170" s="12" t="s">
        <v>595</v>
      </c>
      <c r="G170" s="12" t="s">
        <v>48</v>
      </c>
      <c r="H170" s="12"/>
      <c r="I170" s="12" t="s">
        <v>204</v>
      </c>
      <c r="J170" s="12" t="s">
        <v>61</v>
      </c>
      <c r="K170" s="12" t="s">
        <v>596</v>
      </c>
    </row>
    <row r="171" customFormat="false" ht="23.85" hidden="false" customHeight="false" outlineLevel="0" collapsed="false">
      <c r="A171" s="9" t="n">
        <v>167</v>
      </c>
      <c r="B171" s="9" t="s">
        <v>551</v>
      </c>
      <c r="C171" s="10" t="s">
        <v>597</v>
      </c>
      <c r="D171" s="16" t="s">
        <v>107</v>
      </c>
      <c r="E171" s="9" t="s">
        <v>598</v>
      </c>
      <c r="F171" s="9" t="s">
        <v>599</v>
      </c>
      <c r="G171" s="9" t="s">
        <v>48</v>
      </c>
      <c r="H171" s="9"/>
      <c r="I171" s="9" t="s">
        <v>417</v>
      </c>
      <c r="J171" s="9" t="s">
        <v>61</v>
      </c>
      <c r="K171" s="9"/>
    </row>
    <row r="172" customFormat="false" ht="23.85" hidden="false" customHeight="false" outlineLevel="0" collapsed="false">
      <c r="A172" s="12" t="n">
        <v>168</v>
      </c>
      <c r="B172" s="12" t="s">
        <v>551</v>
      </c>
      <c r="C172" s="13" t="s">
        <v>600</v>
      </c>
      <c r="D172" s="16" t="s">
        <v>107</v>
      </c>
      <c r="E172" s="12" t="s">
        <v>600</v>
      </c>
      <c r="F172" s="12" t="s">
        <v>601</v>
      </c>
      <c r="G172" s="12" t="s">
        <v>48</v>
      </c>
      <c r="H172" s="12"/>
      <c r="I172" s="12" t="s">
        <v>417</v>
      </c>
      <c r="J172" s="12" t="s">
        <v>61</v>
      </c>
      <c r="K172" s="12"/>
    </row>
    <row r="173" customFormat="false" ht="23.85" hidden="false" customHeight="false" outlineLevel="0" collapsed="false">
      <c r="A173" s="9" t="n">
        <v>169</v>
      </c>
      <c r="B173" s="9" t="s">
        <v>551</v>
      </c>
      <c r="C173" s="10" t="s">
        <v>602</v>
      </c>
      <c r="D173" s="16" t="s">
        <v>107</v>
      </c>
      <c r="E173" s="9" t="s">
        <v>603</v>
      </c>
      <c r="F173" s="9" t="s">
        <v>604</v>
      </c>
      <c r="G173" s="9" t="s">
        <v>48</v>
      </c>
      <c r="H173" s="9"/>
      <c r="I173" s="9" t="s">
        <v>417</v>
      </c>
      <c r="J173" s="9" t="s">
        <v>245</v>
      </c>
      <c r="K173" s="9"/>
    </row>
    <row r="174" customFormat="false" ht="23.85" hidden="false" customHeight="false" outlineLevel="0" collapsed="false">
      <c r="A174" s="12" t="n">
        <v>170</v>
      </c>
      <c r="B174" s="12" t="s">
        <v>551</v>
      </c>
      <c r="C174" s="13" t="s">
        <v>605</v>
      </c>
      <c r="D174" s="16" t="s">
        <v>107</v>
      </c>
      <c r="E174" s="12" t="s">
        <v>606</v>
      </c>
      <c r="F174" s="12" t="s">
        <v>607</v>
      </c>
      <c r="G174" s="12" t="s">
        <v>48</v>
      </c>
      <c r="H174" s="12"/>
      <c r="I174" s="12" t="s">
        <v>417</v>
      </c>
      <c r="J174" s="12" t="s">
        <v>245</v>
      </c>
      <c r="K174" s="12"/>
    </row>
    <row r="175" customFormat="false" ht="23.85" hidden="false" customHeight="false" outlineLevel="0" collapsed="false">
      <c r="A175" s="9" t="n">
        <v>171</v>
      </c>
      <c r="B175" s="9" t="s">
        <v>551</v>
      </c>
      <c r="C175" s="10" t="s">
        <v>608</v>
      </c>
      <c r="D175" s="18" t="s">
        <v>146</v>
      </c>
      <c r="E175" s="9"/>
      <c r="F175" s="9" t="s">
        <v>609</v>
      </c>
      <c r="G175" s="9" t="s">
        <v>48</v>
      </c>
      <c r="H175" s="9"/>
      <c r="I175" s="9" t="s">
        <v>204</v>
      </c>
      <c r="J175" s="9" t="s">
        <v>61</v>
      </c>
      <c r="K175" s="9"/>
    </row>
    <row r="176" customFormat="false" ht="35.05" hidden="false" customHeight="false" outlineLevel="0" collapsed="false">
      <c r="A176" s="12" t="n">
        <v>172</v>
      </c>
      <c r="B176" s="12" t="s">
        <v>610</v>
      </c>
      <c r="C176" s="13" t="s">
        <v>611</v>
      </c>
      <c r="D176" s="16" t="s">
        <v>107</v>
      </c>
      <c r="E176" s="12" t="s">
        <v>612</v>
      </c>
      <c r="F176" s="12" t="s">
        <v>613</v>
      </c>
      <c r="G176" s="12" t="s">
        <v>48</v>
      </c>
      <c r="H176" s="12"/>
      <c r="I176" s="12" t="s">
        <v>188</v>
      </c>
      <c r="J176" s="12" t="s">
        <v>61</v>
      </c>
      <c r="K176" s="12" t="s">
        <v>614</v>
      </c>
    </row>
    <row r="177" customFormat="false" ht="23.85" hidden="false" customHeight="false" outlineLevel="0" collapsed="false">
      <c r="A177" s="9" t="n">
        <v>173</v>
      </c>
      <c r="B177" s="9" t="s">
        <v>610</v>
      </c>
      <c r="C177" s="10" t="s">
        <v>615</v>
      </c>
      <c r="D177" s="16" t="s">
        <v>107</v>
      </c>
      <c r="E177" s="9" t="s">
        <v>616</v>
      </c>
      <c r="F177" s="9" t="s">
        <v>617</v>
      </c>
      <c r="G177" s="9" t="s">
        <v>48</v>
      </c>
      <c r="H177" s="9"/>
      <c r="I177" s="9" t="s">
        <v>188</v>
      </c>
      <c r="J177" s="9" t="s">
        <v>61</v>
      </c>
      <c r="K177" s="9" t="s">
        <v>618</v>
      </c>
    </row>
    <row r="178" customFormat="false" ht="23.85" hidden="false" customHeight="false" outlineLevel="0" collapsed="false">
      <c r="A178" s="12" t="n">
        <v>174</v>
      </c>
      <c r="B178" s="12" t="s">
        <v>610</v>
      </c>
      <c r="C178" s="13" t="s">
        <v>619</v>
      </c>
      <c r="D178" s="16" t="s">
        <v>107</v>
      </c>
      <c r="E178" s="12" t="s">
        <v>620</v>
      </c>
      <c r="F178" s="12" t="s">
        <v>621</v>
      </c>
      <c r="G178" s="12" t="s">
        <v>48</v>
      </c>
      <c r="H178" s="12"/>
      <c r="I178" s="12" t="s">
        <v>188</v>
      </c>
      <c r="J178" s="12" t="s">
        <v>61</v>
      </c>
      <c r="K178" s="12"/>
    </row>
    <row r="179" customFormat="false" ht="23.85" hidden="false" customHeight="false" outlineLevel="0" collapsed="false">
      <c r="A179" s="9" t="n">
        <v>175</v>
      </c>
      <c r="B179" s="9" t="s">
        <v>610</v>
      </c>
      <c r="C179" s="10" t="s">
        <v>622</v>
      </c>
      <c r="D179" s="16" t="s">
        <v>107</v>
      </c>
      <c r="E179" s="9" t="s">
        <v>623</v>
      </c>
      <c r="F179" s="9" t="s">
        <v>624</v>
      </c>
      <c r="G179" s="9" t="s">
        <v>48</v>
      </c>
      <c r="H179" s="9"/>
      <c r="I179" s="9" t="s">
        <v>188</v>
      </c>
      <c r="J179" s="9" t="s">
        <v>61</v>
      </c>
      <c r="K179" s="9"/>
    </row>
    <row r="180" customFormat="false" ht="23.85" hidden="false" customHeight="false" outlineLevel="0" collapsed="false">
      <c r="A180" s="12" t="n">
        <v>176</v>
      </c>
      <c r="B180" s="12" t="s">
        <v>610</v>
      </c>
      <c r="C180" s="13" t="s">
        <v>625</v>
      </c>
      <c r="D180" s="16" t="s">
        <v>107</v>
      </c>
      <c r="E180" s="12" t="s">
        <v>626</v>
      </c>
      <c r="F180" s="12" t="s">
        <v>627</v>
      </c>
      <c r="G180" s="12" t="s">
        <v>48</v>
      </c>
      <c r="H180" s="12"/>
      <c r="I180" s="12" t="s">
        <v>188</v>
      </c>
      <c r="J180" s="12" t="s">
        <v>61</v>
      </c>
      <c r="K180" s="12"/>
    </row>
    <row r="181" customFormat="false" ht="23.85" hidden="false" customHeight="false" outlineLevel="0" collapsed="false">
      <c r="A181" s="9" t="n">
        <v>177</v>
      </c>
      <c r="B181" s="9" t="s">
        <v>610</v>
      </c>
      <c r="C181" s="10" t="s">
        <v>628</v>
      </c>
      <c r="D181" s="16" t="s">
        <v>107</v>
      </c>
      <c r="E181" s="9" t="s">
        <v>501</v>
      </c>
      <c r="F181" s="9" t="s">
        <v>629</v>
      </c>
      <c r="G181" s="9" t="s">
        <v>48</v>
      </c>
      <c r="H181" s="9"/>
      <c r="I181" s="9" t="s">
        <v>444</v>
      </c>
      <c r="J181" s="9" t="s">
        <v>61</v>
      </c>
      <c r="K181" s="9"/>
    </row>
    <row r="182" customFormat="false" ht="15" hidden="false" customHeight="false" outlineLevel="0" collapsed="false">
      <c r="A182" s="12" t="n">
        <v>178</v>
      </c>
      <c r="B182" s="12" t="s">
        <v>610</v>
      </c>
      <c r="C182" s="13" t="s">
        <v>630</v>
      </c>
      <c r="D182" s="19" t="s">
        <v>157</v>
      </c>
      <c r="E182" s="12"/>
      <c r="F182" s="12" t="s">
        <v>631</v>
      </c>
      <c r="G182" s="12" t="s">
        <v>632</v>
      </c>
      <c r="H182" s="12"/>
      <c r="I182" s="12" t="s">
        <v>188</v>
      </c>
      <c r="J182" s="12" t="s">
        <v>61</v>
      </c>
      <c r="K182" s="12" t="s">
        <v>633</v>
      </c>
    </row>
  </sheetData>
  <autoFilter ref="A4:K182"/>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11"/>
    <col collapsed="false" customWidth="true" hidden="false" outlineLevel="0" max="4" min="4" style="0" width="48"/>
    <col collapsed="false" customWidth="true" hidden="false" outlineLevel="0" max="5" min="5" style="0" width="60"/>
    <col collapsed="false" customWidth="true" hidden="false" outlineLevel="0" max="6" min="6" style="0" width="55"/>
  </cols>
  <sheetData>
    <row r="1" customFormat="false" ht="19.7" hidden="false" customHeight="false" outlineLevel="0" collapsed="false">
      <c r="A1" s="7" t="s">
        <v>634</v>
      </c>
    </row>
    <row r="2" customFormat="false" ht="15" hidden="false" customHeight="false" outlineLevel="0" collapsed="false">
      <c r="A2" s="2" t="s">
        <v>635</v>
      </c>
    </row>
    <row r="4" customFormat="false" ht="30" hidden="false" customHeight="true" outlineLevel="0" collapsed="false">
      <c r="A4" s="8" t="s">
        <v>23</v>
      </c>
      <c r="B4" s="8" t="s">
        <v>636</v>
      </c>
      <c r="C4" s="8" t="s">
        <v>637</v>
      </c>
      <c r="D4" s="8" t="s">
        <v>638</v>
      </c>
      <c r="E4" s="8" t="s">
        <v>639</v>
      </c>
      <c r="F4" s="8" t="s">
        <v>640</v>
      </c>
    </row>
    <row r="5" customFormat="false" ht="23.85" hidden="false" customHeight="false" outlineLevel="0" collapsed="false">
      <c r="A5" s="21" t="s">
        <v>53</v>
      </c>
      <c r="B5" s="9" t="n">
        <f aca="false">COUNTIF('All Worker Fields'!D:D,A5)</f>
        <v>600</v>
      </c>
      <c r="C5" s="22" t="n">
        <f aca="false">IFERROR(B5/SUM($B$5:$B$13),0)</f>
        <v>0.184388444990781</v>
      </c>
      <c r="D5" s="9" t="s">
        <v>641</v>
      </c>
      <c r="E5" s="9" t="s">
        <v>642</v>
      </c>
      <c r="F5" s="9" t="s">
        <v>643</v>
      </c>
    </row>
    <row r="6" customFormat="false" ht="15" hidden="false" customHeight="false" outlineLevel="0" collapsed="false">
      <c r="A6" s="23" t="s">
        <v>146</v>
      </c>
      <c r="B6" s="9" t="n">
        <f aca="false">COUNTIF('All Worker Fields'!D:D,A6)</f>
        <v>194</v>
      </c>
      <c r="C6" s="22" t="n">
        <f aca="false">IFERROR(B6/SUM($B$5:$B$13),0)</f>
        <v>0.0596189305470191</v>
      </c>
      <c r="D6" s="9" t="s">
        <v>644</v>
      </c>
      <c r="E6" s="9" t="s">
        <v>645</v>
      </c>
      <c r="F6" s="9" t="s">
        <v>646</v>
      </c>
    </row>
    <row r="7" customFormat="false" ht="35.05" hidden="false" customHeight="false" outlineLevel="0" collapsed="false">
      <c r="A7" s="24" t="s">
        <v>447</v>
      </c>
      <c r="B7" s="9" t="n">
        <f aca="false">COUNTIF('All Worker Fields'!D:D,A7)</f>
        <v>136</v>
      </c>
      <c r="C7" s="22" t="n">
        <f aca="false">IFERROR(B7/SUM($B$5:$B$13),0)</f>
        <v>0.0417947141979103</v>
      </c>
      <c r="D7" s="9" t="s">
        <v>647</v>
      </c>
      <c r="E7" s="9" t="s">
        <v>648</v>
      </c>
      <c r="F7" s="9" t="s">
        <v>649</v>
      </c>
    </row>
    <row r="8" customFormat="false" ht="23.85" hidden="false" customHeight="false" outlineLevel="0" collapsed="false">
      <c r="A8" s="25" t="s">
        <v>157</v>
      </c>
      <c r="B8" s="9" t="n">
        <f aca="false">COUNTIF('All Worker Fields'!D:D,A8)</f>
        <v>230</v>
      </c>
      <c r="C8" s="22" t="n">
        <f aca="false">IFERROR(B8/SUM($B$5:$B$13),0)</f>
        <v>0.0706822372464659</v>
      </c>
      <c r="D8" s="9" t="s">
        <v>650</v>
      </c>
      <c r="E8" s="9" t="s">
        <v>651</v>
      </c>
      <c r="F8" s="9" t="s">
        <v>652</v>
      </c>
    </row>
    <row r="9" customFormat="false" ht="23.85" hidden="false" customHeight="false" outlineLevel="0" collapsed="false">
      <c r="A9" s="26" t="s">
        <v>114</v>
      </c>
      <c r="B9" s="9" t="n">
        <f aca="false">COUNTIF('All Worker Fields'!D:D,A9)</f>
        <v>457</v>
      </c>
      <c r="C9" s="22" t="n">
        <f aca="false">IFERROR(B9/SUM($B$5:$B$13),0)</f>
        <v>0.140442532267978</v>
      </c>
      <c r="D9" s="9" t="s">
        <v>653</v>
      </c>
      <c r="E9" s="9" t="s">
        <v>654</v>
      </c>
      <c r="F9" s="9" t="s">
        <v>655</v>
      </c>
    </row>
    <row r="10" customFormat="false" ht="23.85" hidden="false" customHeight="false" outlineLevel="0" collapsed="false">
      <c r="A10" s="27" t="s">
        <v>57</v>
      </c>
      <c r="B10" s="9" t="n">
        <f aca="false">COUNTIF('All Worker Fields'!D:D,A10)</f>
        <v>608</v>
      </c>
      <c r="C10" s="22" t="n">
        <f aca="false">IFERROR(B10/SUM($B$5:$B$13),0)</f>
        <v>0.186846957590658</v>
      </c>
      <c r="D10" s="9" t="s">
        <v>656</v>
      </c>
      <c r="E10" s="9" t="s">
        <v>657</v>
      </c>
      <c r="F10" s="9" t="s">
        <v>658</v>
      </c>
    </row>
    <row r="11" customFormat="false" ht="35.05" hidden="false" customHeight="false" outlineLevel="0" collapsed="false">
      <c r="A11" s="28" t="s">
        <v>107</v>
      </c>
      <c r="B11" s="9" t="n">
        <f aca="false">COUNTIF('All Worker Fields'!D:D,A11)</f>
        <v>927</v>
      </c>
      <c r="C11" s="22" t="n">
        <f aca="false">IFERROR(B11/SUM($B$5:$B$13),0)</f>
        <v>0.284880147510756</v>
      </c>
      <c r="D11" s="9" t="s">
        <v>659</v>
      </c>
      <c r="E11" s="9" t="s">
        <v>660</v>
      </c>
      <c r="F11" s="9" t="s">
        <v>661</v>
      </c>
    </row>
    <row r="12" customFormat="false" ht="23.85" hidden="false" customHeight="false" outlineLevel="0" collapsed="false">
      <c r="A12" s="29" t="s">
        <v>46</v>
      </c>
      <c r="B12" s="9" t="n">
        <f aca="false">COUNTIF('All Worker Fields'!D:D,A12)</f>
        <v>96</v>
      </c>
      <c r="C12" s="22" t="n">
        <f aca="false">IFERROR(B12/SUM($B$5:$B$13),0)</f>
        <v>0.0295021511985249</v>
      </c>
      <c r="D12" s="9" t="s">
        <v>662</v>
      </c>
      <c r="E12" s="9" t="s">
        <v>663</v>
      </c>
      <c r="F12" s="9" t="s">
        <v>664</v>
      </c>
    </row>
    <row r="13" customFormat="false" ht="15" hidden="false" customHeight="false" outlineLevel="0" collapsed="false">
      <c r="A13" s="21" t="s">
        <v>665</v>
      </c>
      <c r="B13" s="9" t="n">
        <f aca="false">COUNTIF('All Worker Fields'!D:D,A13)</f>
        <v>6</v>
      </c>
      <c r="C13" s="22" t="n">
        <f aca="false">IFERROR(B13/SUM($B$5:$B$13),0)</f>
        <v>0.00184388444990781</v>
      </c>
      <c r="D13" s="9" t="s">
        <v>666</v>
      </c>
      <c r="E13" s="9" t="s">
        <v>667</v>
      </c>
      <c r="F13" s="9" t="s">
        <v>668</v>
      </c>
    </row>
    <row r="14" customFormat="false" ht="15" hidden="false" customHeight="false" outlineLevel="0" collapsed="false">
      <c r="A14" s="4" t="s">
        <v>669</v>
      </c>
      <c r="B14" s="30" t="n">
        <f aca="false">SUM(B5:B13)</f>
        <v>3254</v>
      </c>
      <c r="C14" s="31" t="n">
        <f aca="false">SUM(C5:C13)</f>
        <v>1</v>
      </c>
    </row>
    <row r="16" customFormat="false" ht="15" hidden="false" customHeight="false" outlineLevel="0" collapsed="false">
      <c r="A16" s="3" t="s">
        <v>27</v>
      </c>
    </row>
    <row r="17" customFormat="false" ht="30" hidden="false" customHeight="true" outlineLevel="0" collapsed="false">
      <c r="A17" s="8" t="s">
        <v>27</v>
      </c>
      <c r="B17" s="8" t="s">
        <v>636</v>
      </c>
      <c r="C17" s="8" t="s">
        <v>637</v>
      </c>
      <c r="D17" s="8" t="s">
        <v>670</v>
      </c>
    </row>
    <row r="18" customFormat="false" ht="15" hidden="false" customHeight="false" outlineLevel="0" collapsed="false">
      <c r="A18" s="9" t="s">
        <v>48</v>
      </c>
      <c r="B18" s="9" t="n">
        <f aca="false">COUNTIF('All Worker Fields'!C:C,A18)</f>
        <v>2835</v>
      </c>
      <c r="C18" s="22" t="n">
        <f aca="false">IFERROR(B18/SUM($B$18:$B$20),0)</f>
        <v>0.871235402581438</v>
      </c>
      <c r="D18" s="9" t="s">
        <v>671</v>
      </c>
    </row>
    <row r="19" customFormat="false" ht="23.85" hidden="false" customHeight="false" outlineLevel="0" collapsed="false">
      <c r="A19" s="9" t="s">
        <v>632</v>
      </c>
      <c r="B19" s="9" t="n">
        <f aca="false">COUNTIF('All Worker Fields'!C:C,A19)</f>
        <v>408</v>
      </c>
      <c r="C19" s="22" t="n">
        <f aca="false">IFERROR(B19/SUM($B$18:$B$20),0)</f>
        <v>0.125384142593731</v>
      </c>
      <c r="D19" s="9" t="s">
        <v>672</v>
      </c>
    </row>
    <row r="20" customFormat="false" ht="15" hidden="false" customHeight="false" outlineLevel="0" collapsed="false">
      <c r="A20" s="9" t="s">
        <v>673</v>
      </c>
      <c r="B20" s="9" t="n">
        <f aca="false">COUNTIF('All Worker Fields'!C:C,A20)</f>
        <v>11</v>
      </c>
      <c r="C20" s="22" t="n">
        <f aca="false">IFERROR(B20/SUM($B$18:$B$20),0)</f>
        <v>0.00338045482483098</v>
      </c>
      <c r="D20" s="9"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26"/>
  </cols>
  <sheetData>
    <row r="1" customFormat="false" ht="19.7" hidden="false" customHeight="false" outlineLevel="0" collapsed="false">
      <c r="A1" s="7" t="s">
        <v>675</v>
      </c>
    </row>
    <row r="2" customFormat="false" ht="15" hidden="false" customHeight="false" outlineLevel="0" collapsed="false">
      <c r="A2" s="2" t="s">
        <v>676</v>
      </c>
    </row>
    <row r="4" customFormat="false" ht="30" hidden="false" customHeight="true" outlineLevel="0" collapsed="false">
      <c r="A4" s="8" t="s">
        <v>31</v>
      </c>
      <c r="B4" s="8" t="s">
        <v>677</v>
      </c>
      <c r="C4" s="8" t="s">
        <v>678</v>
      </c>
    </row>
    <row r="5" customFormat="false" ht="15" hidden="false" customHeight="false" outlineLevel="0" collapsed="false">
      <c r="A5" s="32" t="s">
        <v>421</v>
      </c>
      <c r="B5" s="32" t="n">
        <f aca="false">COUNTIF('All Worker Fields'!G:G,A5)</f>
        <v>401</v>
      </c>
      <c r="C5" s="32" t="n">
        <f aca="false">COUNTIFS('All Worker Fields'!G:G,A5,'All Worker Fields'!I:I,"Yes")</f>
        <v>1</v>
      </c>
    </row>
    <row r="6" customFormat="false" ht="15" hidden="false" customHeight="false" outlineLevel="0" collapsed="false">
      <c r="A6" s="32" t="s">
        <v>679</v>
      </c>
      <c r="B6" s="32" t="n">
        <f aca="false">COUNTIF('All Worker Fields'!G:G,A6)</f>
        <v>219</v>
      </c>
      <c r="C6" s="32" t="n">
        <f aca="false">COUNTIFS('All Worker Fields'!G:G,A6,'All Worker Fields'!I:I,"Yes")</f>
        <v>0</v>
      </c>
    </row>
    <row r="7" customFormat="false" ht="15" hidden="false" customHeight="false" outlineLevel="0" collapsed="false">
      <c r="A7" s="32" t="s">
        <v>49</v>
      </c>
      <c r="B7" s="32" t="n">
        <f aca="false">COUNTIF('All Worker Fields'!G:G,A7)</f>
        <v>205</v>
      </c>
      <c r="C7" s="32" t="n">
        <f aca="false">COUNTIFS('All Worker Fields'!G:G,A7,'All Worker Fields'!I:I,"Yes")</f>
        <v>39</v>
      </c>
    </row>
    <row r="8" customFormat="false" ht="15" hidden="false" customHeight="false" outlineLevel="0" collapsed="false">
      <c r="A8" s="32" t="s">
        <v>444</v>
      </c>
      <c r="B8" s="32" t="n">
        <f aca="false">COUNTIF('All Worker Fields'!G:G,A8)</f>
        <v>205</v>
      </c>
      <c r="C8" s="32" t="n">
        <f aca="false">COUNTIFS('All Worker Fields'!G:G,A8,'All Worker Fields'!I:I,"Yes")</f>
        <v>18</v>
      </c>
    </row>
    <row r="9" customFormat="false" ht="15" hidden="false" customHeight="false" outlineLevel="0" collapsed="false">
      <c r="A9" s="32" t="s">
        <v>328</v>
      </c>
      <c r="B9" s="32" t="n">
        <f aca="false">COUNTIF('All Worker Fields'!G:G,A9)</f>
        <v>190</v>
      </c>
      <c r="C9" s="32" t="n">
        <f aca="false">COUNTIFS('All Worker Fields'!G:G,A9,'All Worker Fields'!I:I,"Yes")</f>
        <v>2</v>
      </c>
    </row>
    <row r="10" customFormat="false" ht="15" hidden="false" customHeight="false" outlineLevel="0" collapsed="false">
      <c r="A10" s="32" t="s">
        <v>262</v>
      </c>
      <c r="B10" s="32" t="n">
        <f aca="false">COUNTIF('All Worker Fields'!G:G,A10)</f>
        <v>159</v>
      </c>
      <c r="C10" s="32" t="n">
        <f aca="false">COUNTIFS('All Worker Fields'!G:G,A10,'All Worker Fields'!I:I,"Yes")</f>
        <v>17</v>
      </c>
    </row>
    <row r="11" customFormat="false" ht="15" hidden="false" customHeight="false" outlineLevel="0" collapsed="false">
      <c r="A11" s="32" t="s">
        <v>337</v>
      </c>
      <c r="B11" s="32" t="n">
        <f aca="false">COUNTIF('All Worker Fields'!G:G,A11)</f>
        <v>113</v>
      </c>
      <c r="C11" s="32" t="n">
        <f aca="false">COUNTIFS('All Worker Fields'!G:G,A11,'All Worker Fields'!I:I,"Yes")</f>
        <v>7</v>
      </c>
    </row>
    <row r="12" customFormat="false" ht="15" hidden="false" customHeight="false" outlineLevel="0" collapsed="false">
      <c r="A12" s="32" t="s">
        <v>571</v>
      </c>
      <c r="B12" s="32" t="n">
        <f aca="false">COUNTIF('All Worker Fields'!G:G,A12)</f>
        <v>107</v>
      </c>
      <c r="C12" s="32" t="n">
        <f aca="false">COUNTIFS('All Worker Fields'!G:G,A12,'All Worker Fields'!I:I,"Yes")</f>
        <v>7</v>
      </c>
    </row>
    <row r="13" customFormat="false" ht="15" hidden="false" customHeight="false" outlineLevel="0" collapsed="false">
      <c r="A13" s="32" t="s">
        <v>119</v>
      </c>
      <c r="B13" s="32" t="n">
        <f aca="false">COUNTIF('All Worker Fields'!G:G,A13)</f>
        <v>100</v>
      </c>
      <c r="C13" s="32" t="n">
        <f aca="false">COUNTIFS('All Worker Fields'!G:G,A13,'All Worker Fields'!I:I,"Yes")</f>
        <v>18</v>
      </c>
    </row>
    <row r="14" customFormat="false" ht="15" hidden="false" customHeight="false" outlineLevel="0" collapsed="false">
      <c r="A14" s="32" t="s">
        <v>87</v>
      </c>
      <c r="B14" s="32" t="n">
        <f aca="false">COUNTIF('All Worker Fields'!G:G,A14)</f>
        <v>91</v>
      </c>
      <c r="C14" s="32" t="n">
        <f aca="false">COUNTIFS('All Worker Fields'!G:G,A14,'All Worker Fields'!I:I,"Yes")</f>
        <v>10</v>
      </c>
    </row>
    <row r="15" customFormat="false" ht="15" hidden="false" customHeight="false" outlineLevel="0" collapsed="false">
      <c r="A15" s="32" t="s">
        <v>99</v>
      </c>
      <c r="B15" s="32" t="n">
        <f aca="false">COUNTIF('All Worker Fields'!G:G,A15)</f>
        <v>83</v>
      </c>
      <c r="C15" s="32" t="n">
        <f aca="false">COUNTIFS('All Worker Fields'!G:G,A15,'All Worker Fields'!I:I,"Yes")</f>
        <v>2</v>
      </c>
    </row>
    <row r="16" customFormat="false" ht="15" hidden="false" customHeight="false" outlineLevel="0" collapsed="false">
      <c r="A16" s="32" t="s">
        <v>545</v>
      </c>
      <c r="B16" s="32" t="n">
        <f aca="false">COUNTIF('All Worker Fields'!G:G,A16)</f>
        <v>82</v>
      </c>
      <c r="C16" s="32" t="n">
        <f aca="false">COUNTIFS('All Worker Fields'!G:G,A16,'All Worker Fields'!I:I,"Yes")</f>
        <v>2</v>
      </c>
    </row>
    <row r="17" customFormat="false" ht="15" hidden="false" customHeight="false" outlineLevel="0" collapsed="false">
      <c r="A17" s="32" t="s">
        <v>417</v>
      </c>
      <c r="B17" s="32" t="n">
        <f aca="false">COUNTIF('All Worker Fields'!G:G,A17)</f>
        <v>80</v>
      </c>
      <c r="C17" s="32" t="n">
        <f aca="false">COUNTIFS('All Worker Fields'!G:G,A17,'All Worker Fields'!I:I,"Yes")</f>
        <v>6</v>
      </c>
    </row>
    <row r="18" customFormat="false" ht="15" hidden="false" customHeight="false" outlineLevel="0" collapsed="false">
      <c r="A18" s="32" t="s">
        <v>680</v>
      </c>
      <c r="B18" s="32" t="n">
        <f aca="false">COUNTIF('All Worker Fields'!G:G,A18)</f>
        <v>74</v>
      </c>
      <c r="C18" s="32" t="n">
        <f aca="false">COUNTIFS('All Worker Fields'!G:G,A18,'All Worker Fields'!I:I,"Yes")</f>
        <v>0</v>
      </c>
    </row>
    <row r="19" customFormat="false" ht="15" hidden="false" customHeight="false" outlineLevel="0" collapsed="false">
      <c r="A19" s="32" t="s">
        <v>681</v>
      </c>
      <c r="B19" s="32" t="n">
        <f aca="false">COUNTIF('All Worker Fields'!G:G,A19)</f>
        <v>67</v>
      </c>
      <c r="C19" s="32" t="n">
        <f aca="false">COUNTIFS('All Worker Fields'!G:G,A19,'All Worker Fields'!I:I,"Yes")</f>
        <v>0</v>
      </c>
    </row>
    <row r="20" customFormat="false" ht="15" hidden="false" customHeight="false" outlineLevel="0" collapsed="false">
      <c r="A20" s="32" t="s">
        <v>104</v>
      </c>
      <c r="B20" s="32" t="n">
        <f aca="false">COUNTIF('All Worker Fields'!G:G,A20)</f>
        <v>65</v>
      </c>
      <c r="C20" s="32" t="n">
        <f aca="false">COUNTIFS('All Worker Fields'!G:G,A20,'All Worker Fields'!I:I,"Yes")</f>
        <v>16</v>
      </c>
    </row>
    <row r="21" customFormat="false" ht="15" hidden="false" customHeight="false" outlineLevel="0" collapsed="false">
      <c r="A21" s="32" t="s">
        <v>555</v>
      </c>
      <c r="B21" s="32" t="n">
        <f aca="false">COUNTIF('All Worker Fields'!G:G,A21)</f>
        <v>52</v>
      </c>
      <c r="C21" s="32" t="n">
        <f aca="false">COUNTIFS('All Worker Fields'!G:G,A21,'All Worker Fields'!I:I,"Yes")</f>
        <v>4</v>
      </c>
    </row>
    <row r="22" customFormat="false" ht="15" hidden="false" customHeight="false" outlineLevel="0" collapsed="false">
      <c r="A22" s="32" t="s">
        <v>682</v>
      </c>
      <c r="B22" s="32" t="n">
        <f aca="false">COUNTIF('All Worker Fields'!G:G,A22)</f>
        <v>48</v>
      </c>
      <c r="C22" s="32" t="n">
        <f aca="false">COUNTIFS('All Worker Fields'!G:G,A22,'All Worker Fields'!I:I,"Yes")</f>
        <v>0</v>
      </c>
    </row>
    <row r="23" customFormat="false" ht="15" hidden="false" customHeight="false" outlineLevel="0" collapsed="false">
      <c r="A23" s="32" t="s">
        <v>683</v>
      </c>
      <c r="B23" s="32" t="n">
        <f aca="false">COUNTIF('All Worker Fields'!G:G,A23)</f>
        <v>47</v>
      </c>
      <c r="C23" s="32" t="n">
        <f aca="false">COUNTIFS('All Worker Fields'!G:G,A23,'All Worker Fields'!I:I,"Yes")</f>
        <v>0</v>
      </c>
    </row>
    <row r="24" customFormat="false" ht="15" hidden="false" customHeight="false" outlineLevel="0" collapsed="false">
      <c r="A24" s="32" t="s">
        <v>684</v>
      </c>
      <c r="B24" s="32" t="n">
        <f aca="false">COUNTIF('All Worker Fields'!G:G,A24)</f>
        <v>45</v>
      </c>
      <c r="C24" s="32" t="n">
        <f aca="false">COUNTIFS('All Worker Fields'!G:G,A24,'All Worker Fields'!I:I,"Yes")</f>
        <v>0</v>
      </c>
    </row>
    <row r="25" customFormat="false" ht="15" hidden="false" customHeight="false" outlineLevel="0" collapsed="false">
      <c r="A25" s="32" t="s">
        <v>60</v>
      </c>
      <c r="B25" s="32" t="n">
        <f aca="false">COUNTIF('All Worker Fields'!G:G,A25)</f>
        <v>42</v>
      </c>
      <c r="C25" s="32" t="n">
        <f aca="false">COUNTIFS('All Worker Fields'!G:G,A25,'All Worker Fields'!I:I,"Yes")</f>
        <v>8</v>
      </c>
    </row>
    <row r="26" customFormat="false" ht="15" hidden="false" customHeight="false" outlineLevel="0" collapsed="false">
      <c r="A26" s="32" t="s">
        <v>204</v>
      </c>
      <c r="B26" s="32" t="n">
        <f aca="false">COUNTIF('All Worker Fields'!G:G,A26)</f>
        <v>41</v>
      </c>
      <c r="C26" s="32" t="n">
        <f aca="false">COUNTIFS('All Worker Fields'!G:G,A26,'All Worker Fields'!I:I,"Yes")</f>
        <v>3</v>
      </c>
    </row>
    <row r="27" customFormat="false" ht="15" hidden="false" customHeight="false" outlineLevel="0" collapsed="false">
      <c r="A27" s="32" t="s">
        <v>45</v>
      </c>
      <c r="B27" s="32" t="n">
        <f aca="false">COUNTIF('All Worker Fields'!G:G,A27)</f>
        <v>40</v>
      </c>
      <c r="C27" s="32" t="n">
        <f aca="false">COUNTIFS('All Worker Fields'!G:G,A27,'All Worker Fields'!I:I,"Yes")</f>
        <v>0</v>
      </c>
    </row>
    <row r="28" customFormat="false" ht="15" hidden="false" customHeight="false" outlineLevel="0" collapsed="false">
      <c r="A28" s="32" t="s">
        <v>188</v>
      </c>
      <c r="B28" s="32" t="n">
        <f aca="false">COUNTIF('All Worker Fields'!G:G,A28)</f>
        <v>36</v>
      </c>
      <c r="C28" s="32" t="n">
        <f aca="false">COUNTIFS('All Worker Fields'!G:G,A28,'All Worker Fields'!I:I,"Yes")</f>
        <v>9</v>
      </c>
    </row>
    <row r="29" customFormat="false" ht="15" hidden="false" customHeight="false" outlineLevel="0" collapsed="false">
      <c r="A29" s="32" t="s">
        <v>685</v>
      </c>
      <c r="B29" s="32" t="n">
        <f aca="false">COUNTIF('All Worker Fields'!G:G,A29)</f>
        <v>35</v>
      </c>
      <c r="C29" s="32" t="n">
        <f aca="false">COUNTIFS('All Worker Fields'!G:G,A29,'All Worker Fields'!I:I,"Yes")</f>
        <v>0</v>
      </c>
    </row>
    <row r="30" customFormat="false" ht="15" hidden="false" customHeight="false" outlineLevel="0" collapsed="false">
      <c r="A30" s="32" t="s">
        <v>686</v>
      </c>
      <c r="B30" s="32" t="n">
        <f aca="false">COUNTIF('All Worker Fields'!G:G,A30)</f>
        <v>33</v>
      </c>
      <c r="C30" s="32" t="n">
        <f aca="false">COUNTIFS('All Worker Fields'!G:G,A30,'All Worker Fields'!I:I,"Yes")</f>
        <v>0</v>
      </c>
    </row>
    <row r="31" customFormat="false" ht="15" hidden="false" customHeight="false" outlineLevel="0" collapsed="false">
      <c r="A31" s="32" t="s">
        <v>524</v>
      </c>
      <c r="B31" s="32" t="n">
        <f aca="false">COUNTIF('All Worker Fields'!G:G,A31)</f>
        <v>31</v>
      </c>
      <c r="C31" s="32" t="n">
        <f aca="false">COUNTIFS('All Worker Fields'!G:G,A31,'All Worker Fields'!I:I,"Yes")</f>
        <v>1</v>
      </c>
    </row>
    <row r="32" customFormat="false" ht="15" hidden="false" customHeight="false" outlineLevel="0" collapsed="false">
      <c r="A32" s="32" t="s">
        <v>687</v>
      </c>
      <c r="B32" s="32" t="n">
        <f aca="false">COUNTIF('All Worker Fields'!G:G,A32)</f>
        <v>28</v>
      </c>
      <c r="C32" s="32" t="n">
        <f aca="false">COUNTIFS('All Worker Fields'!G:G,A32,'All Worker Fields'!I:I,"Yes")</f>
        <v>0</v>
      </c>
    </row>
    <row r="33" customFormat="false" ht="15" hidden="false" customHeight="false" outlineLevel="0" collapsed="false">
      <c r="A33" s="32" t="s">
        <v>688</v>
      </c>
      <c r="B33" s="32" t="n">
        <f aca="false">COUNTIF('All Worker Fields'!G:G,A33)</f>
        <v>26</v>
      </c>
      <c r="C33" s="32" t="n">
        <f aca="false">COUNTIFS('All Worker Fields'!G:G,A33,'All Worker Fields'!I:I,"Yes")</f>
        <v>0</v>
      </c>
    </row>
    <row r="34" customFormat="false" ht="15" hidden="false" customHeight="false" outlineLevel="0" collapsed="false">
      <c r="A34" s="32" t="s">
        <v>433</v>
      </c>
      <c r="B34" s="32" t="n">
        <f aca="false">COUNTIF('All Worker Fields'!G:G,A34)</f>
        <v>26</v>
      </c>
      <c r="C34" s="32" t="n">
        <f aca="false">COUNTIFS('All Worker Fields'!G:G,A34,'All Worker Fields'!I:I,"Yes")</f>
        <v>1</v>
      </c>
    </row>
    <row r="35" customFormat="false" ht="15" hidden="false" customHeight="false" outlineLevel="0" collapsed="false">
      <c r="A35" s="32" t="s">
        <v>689</v>
      </c>
      <c r="B35" s="32" t="n">
        <f aca="false">COUNTIF('All Worker Fields'!G:G,A35)</f>
        <v>24</v>
      </c>
      <c r="C35" s="32" t="n">
        <f aca="false">COUNTIFS('All Worker Fields'!G:G,A35,'All Worker Fields'!I:I,"Yes")</f>
        <v>0</v>
      </c>
    </row>
    <row r="36" customFormat="false" ht="15" hidden="false" customHeight="false" outlineLevel="0" collapsed="false">
      <c r="A36" s="32" t="s">
        <v>690</v>
      </c>
      <c r="B36" s="32" t="n">
        <f aca="false">COUNTIF('All Worker Fields'!G:G,A36)</f>
        <v>23</v>
      </c>
      <c r="C36" s="32" t="n">
        <f aca="false">COUNTIFS('All Worker Fields'!G:G,A36,'All Worker Fields'!I:I,"Yes")</f>
        <v>0</v>
      </c>
    </row>
    <row r="37" customFormat="false" ht="15" hidden="false" customHeight="false" outlineLevel="0" collapsed="false">
      <c r="A37" s="32" t="s">
        <v>691</v>
      </c>
      <c r="B37" s="32" t="n">
        <f aca="false">COUNTIF('All Worker Fields'!G:G,A37)</f>
        <v>21</v>
      </c>
      <c r="C37" s="32" t="n">
        <f aca="false">COUNTIFS('All Worker Fields'!G:G,A37,'All Worker Fields'!I:I,"Yes")</f>
        <v>0</v>
      </c>
    </row>
    <row r="38" customFormat="false" ht="15" hidden="false" customHeight="false" outlineLevel="0" collapsed="false">
      <c r="A38" s="32" t="s">
        <v>692</v>
      </c>
      <c r="B38" s="32" t="n">
        <f aca="false">COUNTIF('All Worker Fields'!G:G,A38)</f>
        <v>18</v>
      </c>
      <c r="C38" s="32" t="n">
        <f aca="false">COUNTIFS('All Worker Fields'!G:G,A38,'All Worker Fields'!I:I,"Yes")</f>
        <v>0</v>
      </c>
    </row>
    <row r="39" customFormat="false" ht="15" hidden="false" customHeight="false" outlineLevel="0" collapsed="false">
      <c r="A39" s="32" t="s">
        <v>693</v>
      </c>
      <c r="B39" s="32" t="n">
        <f aca="false">COUNTIF('All Worker Fields'!G:G,A39)</f>
        <v>15</v>
      </c>
      <c r="C39" s="32" t="n">
        <f aca="false">COUNTIFS('All Worker Fields'!G:G,A39,'All Worker Fields'!I:I,"Yes")</f>
        <v>0</v>
      </c>
    </row>
    <row r="40" customFormat="false" ht="15" hidden="false" customHeight="false" outlineLevel="0" collapsed="false">
      <c r="A40" s="32" t="s">
        <v>694</v>
      </c>
      <c r="B40" s="32" t="n">
        <f aca="false">COUNTIF('All Worker Fields'!G:G,A40)</f>
        <v>15</v>
      </c>
      <c r="C40" s="32" t="n">
        <f aca="false">COUNTIFS('All Worker Fields'!G:G,A40,'All Worker Fields'!I:I,"Yes")</f>
        <v>0</v>
      </c>
    </row>
    <row r="41" customFormat="false" ht="15" hidden="false" customHeight="false" outlineLevel="0" collapsed="false">
      <c r="A41" s="32" t="s">
        <v>535</v>
      </c>
      <c r="B41" s="32" t="n">
        <f aca="false">COUNTIF('All Worker Fields'!G:G,A41)</f>
        <v>14</v>
      </c>
      <c r="C41" s="32" t="n">
        <f aca="false">COUNTIFS('All Worker Fields'!G:G,A41,'All Worker Fields'!I:I,"Yes")</f>
        <v>3</v>
      </c>
    </row>
    <row r="42" customFormat="false" ht="15" hidden="false" customHeight="false" outlineLevel="0" collapsed="false">
      <c r="A42" s="32" t="s">
        <v>695</v>
      </c>
      <c r="B42" s="32" t="n">
        <f aca="false">COUNTIF('All Worker Fields'!G:G,A42)</f>
        <v>13</v>
      </c>
      <c r="C42" s="32" t="n">
        <f aca="false">COUNTIFS('All Worker Fields'!G:G,A42,'All Worker Fields'!I:I,"Yes")</f>
        <v>0</v>
      </c>
    </row>
    <row r="43" customFormat="false" ht="15" hidden="false" customHeight="false" outlineLevel="0" collapsed="false">
      <c r="A43" s="32" t="s">
        <v>696</v>
      </c>
      <c r="B43" s="32" t="n">
        <f aca="false">COUNTIF('All Worker Fields'!G:G,A43)</f>
        <v>12</v>
      </c>
      <c r="C43" s="32" t="n">
        <f aca="false">COUNTIFS('All Worker Fields'!G:G,A43,'All Worker Fields'!I:I,"Yes")</f>
        <v>0</v>
      </c>
    </row>
    <row r="44" customFormat="false" ht="15" hidden="false" customHeight="false" outlineLevel="0" collapsed="false">
      <c r="A44" s="32" t="s">
        <v>175</v>
      </c>
      <c r="B44" s="32" t="n">
        <f aca="false">COUNTIF('All Worker Fields'!G:G,A44)</f>
        <v>12</v>
      </c>
      <c r="C44" s="32" t="n">
        <f aca="false">COUNTIFS('All Worker Fields'!G:G,A44,'All Worker Fields'!I:I,"Yes")</f>
        <v>1</v>
      </c>
    </row>
    <row r="45" customFormat="false" ht="15" hidden="false" customHeight="false" outlineLevel="0" collapsed="false">
      <c r="A45" s="32" t="s">
        <v>91</v>
      </c>
      <c r="B45" s="32" t="n">
        <f aca="false">COUNTIF('All Worker Fields'!G:G,A45)</f>
        <v>12</v>
      </c>
      <c r="C45" s="32" t="n">
        <f aca="false">COUNTIFS('All Worker Fields'!G:G,A45,'All Worker Fields'!I:I,"Yes")</f>
        <v>1</v>
      </c>
    </row>
    <row r="46" customFormat="false" ht="15" hidden="false" customHeight="false" outlineLevel="0" collapsed="false">
      <c r="A46" s="32" t="s">
        <v>697</v>
      </c>
      <c r="B46" s="32" t="n">
        <f aca="false">COUNTIF('All Worker Fields'!G:G,A46)</f>
        <v>12</v>
      </c>
      <c r="C46" s="32" t="n">
        <f aca="false">COUNTIFS('All Worker Fields'!G:G,A46,'All Worker Fields'!I:I,"Yes")</f>
        <v>0</v>
      </c>
    </row>
    <row r="47" customFormat="false" ht="15" hidden="false" customHeight="false" outlineLevel="0" collapsed="false">
      <c r="A47" s="32" t="s">
        <v>698</v>
      </c>
      <c r="B47" s="32" t="n">
        <f aca="false">COUNTIF('All Worker Fields'!G:G,A47)</f>
        <v>12</v>
      </c>
      <c r="C47" s="32" t="n">
        <f aca="false">COUNTIFS('All Worker Fields'!G:G,A47,'All Worker Fields'!I:I,"Yes")</f>
        <v>0</v>
      </c>
    </row>
    <row r="48" customFormat="false" ht="15" hidden="false" customHeight="false" outlineLevel="0" collapsed="false">
      <c r="A48" s="32" t="s">
        <v>699</v>
      </c>
      <c r="B48" s="32" t="n">
        <f aca="false">COUNTIF('All Worker Fields'!G:G,A48)</f>
        <v>10</v>
      </c>
      <c r="C48" s="32" t="n">
        <f aca="false">COUNTIFS('All Worker Fields'!G:G,A48,'All Worker Fields'!I:I,"Yes")</f>
        <v>0</v>
      </c>
    </row>
    <row r="49" customFormat="false" ht="15" hidden="false" customHeight="false" outlineLevel="0" collapsed="false">
      <c r="A49" s="32" t="s">
        <v>700</v>
      </c>
      <c r="B49" s="32" t="n">
        <f aca="false">COUNTIF('All Worker Fields'!G:G,A49)</f>
        <v>10</v>
      </c>
      <c r="C49" s="32" t="n">
        <f aca="false">COUNTIFS('All Worker Fields'!G:G,A49,'All Worker Fields'!I:I,"Yes")</f>
        <v>0</v>
      </c>
    </row>
    <row r="50" customFormat="false" ht="15" hidden="false" customHeight="false" outlineLevel="0" collapsed="false">
      <c r="A50" s="32" t="s">
        <v>701</v>
      </c>
      <c r="B50" s="32" t="n">
        <f aca="false">COUNTIF('All Worker Fields'!G:G,A50)</f>
        <v>10</v>
      </c>
      <c r="C50" s="32" t="n">
        <f aca="false">COUNTIFS('All Worker Fields'!G:G,A50,'All Worker Fields'!I:I,"Yes")</f>
        <v>0</v>
      </c>
    </row>
    <row r="51" customFormat="false" ht="15" hidden="false" customHeight="false" outlineLevel="0" collapsed="false">
      <c r="A51" s="32" t="s">
        <v>702</v>
      </c>
      <c r="B51" s="32" t="n">
        <f aca="false">COUNTIF('All Worker Fields'!G:G,A51)</f>
        <v>9</v>
      </c>
      <c r="C51" s="32" t="n">
        <f aca="false">COUNTIFS('All Worker Fields'!G:G,A51,'All Worker Fields'!I:I,"Yes")</f>
        <v>0</v>
      </c>
    </row>
    <row r="52" customFormat="false" ht="15" hidden="false" customHeight="false" outlineLevel="0" collapsed="false">
      <c r="A52" s="32" t="s">
        <v>703</v>
      </c>
      <c r="B52" s="32" t="n">
        <f aca="false">COUNTIF('All Worker Fields'!G:G,A52)</f>
        <v>8</v>
      </c>
      <c r="C52" s="32" t="n">
        <f aca="false">COUNTIFS('All Worker Fields'!G:G,A52,'All Worker Fields'!I:I,"Yes")</f>
        <v>0</v>
      </c>
    </row>
    <row r="53" customFormat="false" ht="15" hidden="false" customHeight="false" outlineLevel="0" collapsed="false">
      <c r="A53" s="32" t="s">
        <v>704</v>
      </c>
      <c r="B53" s="32" t="n">
        <f aca="false">COUNTIF('All Worker Fields'!G:G,A53)</f>
        <v>8</v>
      </c>
      <c r="C53" s="32" t="n">
        <f aca="false">COUNTIFS('All Worker Fields'!G:G,A53,'All Worker Fields'!I:I,"Yes")</f>
        <v>0</v>
      </c>
    </row>
    <row r="54" customFormat="false" ht="15" hidden="false" customHeight="false" outlineLevel="0" collapsed="false">
      <c r="A54" s="32" t="s">
        <v>705</v>
      </c>
      <c r="B54" s="32" t="n">
        <f aca="false">COUNTIF('All Worker Fields'!G:G,A54)</f>
        <v>8</v>
      </c>
      <c r="C54" s="32" t="n">
        <f aca="false">COUNTIFS('All Worker Fields'!G:G,A54,'All Worker Fields'!I:I,"Yes")</f>
        <v>0</v>
      </c>
    </row>
    <row r="55" customFormat="false" ht="15" hidden="false" customHeight="false" outlineLevel="0" collapsed="false">
      <c r="A55" s="32" t="s">
        <v>706</v>
      </c>
      <c r="B55" s="32" t="n">
        <f aca="false">COUNTIF('All Worker Fields'!G:G,A55)</f>
        <v>7</v>
      </c>
      <c r="C55" s="32" t="n">
        <f aca="false">COUNTIFS('All Worker Fields'!G:G,A55,'All Worker Fields'!I:I,"Yes")</f>
        <v>0</v>
      </c>
    </row>
    <row r="56" customFormat="false" ht="15" hidden="false" customHeight="false" outlineLevel="0" collapsed="false">
      <c r="A56" s="32" t="s">
        <v>707</v>
      </c>
      <c r="B56" s="32" t="n">
        <f aca="false">COUNTIF('All Worker Fields'!G:G,A56)</f>
        <v>7</v>
      </c>
      <c r="C56" s="32" t="n">
        <f aca="false">COUNTIFS('All Worker Fields'!G:G,A56,'All Worker Fields'!I:I,"Yes")</f>
        <v>0</v>
      </c>
    </row>
    <row r="57" customFormat="false" ht="15" hidden="false" customHeight="false" outlineLevel="0" collapsed="false">
      <c r="A57" s="32" t="s">
        <v>708</v>
      </c>
      <c r="B57" s="32" t="n">
        <f aca="false">COUNTIF('All Worker Fields'!G:G,A57)</f>
        <v>7</v>
      </c>
      <c r="C57" s="32" t="n">
        <f aca="false">COUNTIFS('All Worker Fields'!G:G,A57,'All Worker Fields'!I:I,"Yes")</f>
        <v>0</v>
      </c>
    </row>
    <row r="58" customFormat="false" ht="15" hidden="false" customHeight="false" outlineLevel="0" collapsed="false">
      <c r="A58" s="32" t="s">
        <v>709</v>
      </c>
      <c r="B58" s="32" t="n">
        <f aca="false">COUNTIF('All Worker Fields'!G:G,A58)</f>
        <v>7</v>
      </c>
      <c r="C58" s="32" t="n">
        <f aca="false">COUNTIFS('All Worker Fields'!G:G,A58,'All Worker Fields'!I:I,"Yes")</f>
        <v>0</v>
      </c>
    </row>
    <row r="59" customFormat="false" ht="15" hidden="false" customHeight="false" outlineLevel="0" collapsed="false">
      <c r="A59" s="32" t="s">
        <v>710</v>
      </c>
      <c r="B59" s="32" t="n">
        <f aca="false">COUNTIF('All Worker Fields'!G:G,A59)</f>
        <v>6</v>
      </c>
      <c r="C59" s="32" t="n">
        <f aca="false">COUNTIFS('All Worker Fields'!G:G,A59,'All Worker Fields'!I:I,"Yes")</f>
        <v>0</v>
      </c>
    </row>
    <row r="60" customFormat="false" ht="15" hidden="false" customHeight="false" outlineLevel="0" collapsed="false">
      <c r="A60" s="32" t="s">
        <v>711</v>
      </c>
      <c r="B60" s="32" t="n">
        <f aca="false">COUNTIF('All Worker Fields'!G:G,A60)</f>
        <v>6</v>
      </c>
      <c r="C60" s="32" t="n">
        <f aca="false">COUNTIFS('All Worker Fields'!G:G,A60,'All Worker Fields'!I:I,"Yes")</f>
        <v>0</v>
      </c>
    </row>
    <row r="61" customFormat="false" ht="15" hidden="false" customHeight="false" outlineLevel="0" collapsed="false">
      <c r="A61" s="32" t="s">
        <v>712</v>
      </c>
      <c r="B61" s="32" t="n">
        <f aca="false">COUNTIF('All Worker Fields'!G:G,A61)</f>
        <v>6</v>
      </c>
      <c r="C61" s="32" t="n">
        <f aca="false">COUNTIFS('All Worker Fields'!G:G,A61,'All Worker Fields'!I:I,"Yes")</f>
        <v>0</v>
      </c>
    </row>
    <row r="62" customFormat="false" ht="15" hidden="false" customHeight="false" outlineLevel="0" collapsed="false">
      <c r="A62" s="32" t="s">
        <v>331</v>
      </c>
      <c r="B62" s="32" t="n">
        <f aca="false">COUNTIF('All Worker Fields'!G:G,A62)</f>
        <v>6</v>
      </c>
      <c r="C62" s="32" t="n">
        <f aca="false">COUNTIFS('All Worker Fields'!G:G,A62,'All Worker Fields'!I:I,"Yes")</f>
        <v>1</v>
      </c>
    </row>
    <row r="63" customFormat="false" ht="15" hidden="false" customHeight="false" outlineLevel="0" collapsed="false">
      <c r="A63" s="32" t="s">
        <v>713</v>
      </c>
      <c r="B63" s="32" t="n">
        <f aca="false">COUNTIF('All Worker Fields'!G:G,A63)</f>
        <v>5</v>
      </c>
      <c r="C63" s="32" t="n">
        <f aca="false">COUNTIFS('All Worker Fields'!G:G,A63,'All Worker Fields'!I:I,"Yes")</f>
        <v>0</v>
      </c>
    </row>
    <row r="64" customFormat="false" ht="15" hidden="false" customHeight="false" outlineLevel="0" collapsed="false">
      <c r="A64" s="32" t="s">
        <v>714</v>
      </c>
      <c r="B64" s="32" t="n">
        <f aca="false">COUNTIF('All Worker Fields'!G:G,A64)</f>
        <v>5</v>
      </c>
      <c r="C64" s="32" t="n">
        <f aca="false">COUNTIFS('All Worker Fields'!G:G,A64,'All Worker Fields'!I:I,"Yes")</f>
        <v>0</v>
      </c>
    </row>
    <row r="65" customFormat="false" ht="15" hidden="false" customHeight="false" outlineLevel="0" collapsed="false">
      <c r="A65" s="32" t="s">
        <v>715</v>
      </c>
      <c r="B65" s="32" t="n">
        <f aca="false">COUNTIF('All Worker Fields'!G:G,A65)</f>
        <v>5</v>
      </c>
      <c r="C65" s="32" t="n">
        <f aca="false">COUNTIFS('All Worker Fields'!G:G,A65,'All Worker Fields'!I:I,"Yes")</f>
        <v>0</v>
      </c>
    </row>
    <row r="66" customFormat="false" ht="15" hidden="false" customHeight="false" outlineLevel="0" collapsed="false">
      <c r="A66" s="32" t="s">
        <v>716</v>
      </c>
      <c r="B66" s="32" t="n">
        <f aca="false">COUNTIF('All Worker Fields'!G:G,A66)</f>
        <v>5</v>
      </c>
      <c r="C66" s="32" t="n">
        <f aca="false">COUNTIFS('All Worker Fields'!G:G,A66,'All Worker Fields'!I:I,"Yes")</f>
        <v>0</v>
      </c>
    </row>
    <row r="67" customFormat="false" ht="15" hidden="false" customHeight="false" outlineLevel="0" collapsed="false">
      <c r="A67" s="32" t="s">
        <v>717</v>
      </c>
      <c r="B67" s="32" t="n">
        <f aca="false">COUNTIF('All Worker Fields'!G:G,A67)</f>
        <v>5</v>
      </c>
      <c r="C67" s="32" t="n">
        <f aca="false">COUNTIFS('All Worker Fields'!G:G,A67,'All Worker Fields'!I:I,"Yes")</f>
        <v>0</v>
      </c>
    </row>
    <row r="68" customFormat="false" ht="15" hidden="false" customHeight="false" outlineLevel="0" collapsed="false">
      <c r="A68" s="32" t="s">
        <v>718</v>
      </c>
      <c r="B68" s="32" t="n">
        <f aca="false">COUNTIF('All Worker Fields'!G:G,A68)</f>
        <v>5</v>
      </c>
      <c r="C68" s="32" t="n">
        <f aca="false">COUNTIFS('All Worker Fields'!G:G,A68,'All Worker Fields'!I:I,"Yes")</f>
        <v>0</v>
      </c>
    </row>
    <row r="69" customFormat="false" ht="15" hidden="false" customHeight="false" outlineLevel="0" collapsed="false">
      <c r="A69" s="32" t="s">
        <v>719</v>
      </c>
      <c r="B69" s="32" t="n">
        <f aca="false">COUNTIF('All Worker Fields'!G:G,A69)</f>
        <v>5</v>
      </c>
      <c r="C69" s="32" t="n">
        <f aca="false">COUNTIFS('All Worker Fields'!G:G,A69,'All Worker Fields'!I:I,"Yes")</f>
        <v>0</v>
      </c>
    </row>
    <row r="70" customFormat="false" ht="15" hidden="false" customHeight="false" outlineLevel="0" collapsed="false">
      <c r="A70" s="32" t="s">
        <v>720</v>
      </c>
      <c r="B70" s="32" t="n">
        <f aca="false">COUNTIF('All Worker Fields'!G:G,A70)</f>
        <v>5</v>
      </c>
      <c r="C70" s="32" t="n">
        <f aca="false">COUNTIFS('All Worker Fields'!G:G,A70,'All Worker Fields'!I:I,"Yes")</f>
        <v>0</v>
      </c>
    </row>
    <row r="71" customFormat="false" ht="15" hidden="false" customHeight="false" outlineLevel="0" collapsed="false">
      <c r="A71" s="32" t="s">
        <v>83</v>
      </c>
      <c r="B71" s="32" t="n">
        <f aca="false">COUNTIF('All Worker Fields'!G:G,A71)</f>
        <v>5</v>
      </c>
      <c r="C71" s="32" t="n">
        <f aca="false">COUNTIFS('All Worker Fields'!G:G,A71,'All Worker Fields'!I:I,"Yes")</f>
        <v>1</v>
      </c>
    </row>
    <row r="72" customFormat="false" ht="15" hidden="false" customHeight="false" outlineLevel="0" collapsed="false">
      <c r="A72" s="32" t="s">
        <v>721</v>
      </c>
      <c r="B72" s="32" t="n">
        <f aca="false">COUNTIF('All Worker Fields'!G:G,A72)</f>
        <v>4</v>
      </c>
      <c r="C72" s="32" t="n">
        <f aca="false">COUNTIFS('All Worker Fields'!G:G,A72,'All Worker Fields'!I:I,"Yes")</f>
        <v>0</v>
      </c>
    </row>
    <row r="73" customFormat="false" ht="15" hidden="false" customHeight="false" outlineLevel="0" collapsed="false">
      <c r="A73" s="32" t="s">
        <v>722</v>
      </c>
      <c r="B73" s="32" t="n">
        <f aca="false">COUNTIF('All Worker Fields'!G:G,A73)</f>
        <v>4</v>
      </c>
      <c r="C73" s="32" t="n">
        <f aca="false">COUNTIFS('All Worker Fields'!G:G,A73,'All Worker Fields'!I:I,"Yes")</f>
        <v>0</v>
      </c>
    </row>
    <row r="74" customFormat="false" ht="15" hidden="false" customHeight="false" outlineLevel="0" collapsed="false">
      <c r="A74" s="32" t="s">
        <v>723</v>
      </c>
      <c r="B74" s="32" t="n">
        <f aca="false">COUNTIF('All Worker Fields'!G:G,A74)</f>
        <v>4</v>
      </c>
      <c r="C74" s="32" t="n">
        <f aca="false">COUNTIFS('All Worker Fields'!G:G,A74,'All Worker Fields'!I:I,"Yes")</f>
        <v>0</v>
      </c>
    </row>
    <row r="75" customFormat="false" ht="15" hidden="false" customHeight="false" outlineLevel="0" collapsed="false">
      <c r="A75" s="32" t="s">
        <v>724</v>
      </c>
      <c r="B75" s="32" t="n">
        <f aca="false">COUNTIF('All Worker Fields'!G:G,A75)</f>
        <v>4</v>
      </c>
      <c r="C75" s="32" t="n">
        <f aca="false">COUNTIFS('All Worker Fields'!G:G,A75,'All Worker Fields'!I:I,"Yes")</f>
        <v>0</v>
      </c>
    </row>
    <row r="76" customFormat="false" ht="15" hidden="false" customHeight="false" outlineLevel="0" collapsed="false">
      <c r="A76" s="32" t="s">
        <v>725</v>
      </c>
      <c r="B76" s="32" t="n">
        <f aca="false">COUNTIF('All Worker Fields'!G:G,A76)</f>
        <v>4</v>
      </c>
      <c r="C76" s="32" t="n">
        <f aca="false">COUNTIFS('All Worker Fields'!G:G,A76,'All Worker Fields'!I:I,"Yes")</f>
        <v>0</v>
      </c>
    </row>
    <row r="77" customFormat="false" ht="15" hidden="false" customHeight="false" outlineLevel="0" collapsed="false">
      <c r="A77" s="32" t="s">
        <v>726</v>
      </c>
      <c r="B77" s="32" t="n">
        <f aca="false">COUNTIF('All Worker Fields'!G:G,A77)</f>
        <v>4</v>
      </c>
      <c r="C77" s="32" t="n">
        <f aca="false">COUNTIFS('All Worker Fields'!G:G,A77,'All Worker Fields'!I:I,"Yes")</f>
        <v>0</v>
      </c>
    </row>
    <row r="78" customFormat="false" ht="15" hidden="false" customHeight="false" outlineLevel="0" collapsed="false">
      <c r="A78" s="32" t="s">
        <v>727</v>
      </c>
      <c r="B78" s="32" t="n">
        <f aca="false">COUNTIF('All Worker Fields'!G:G,A78)</f>
        <v>4</v>
      </c>
      <c r="C78" s="32" t="n">
        <f aca="false">COUNTIFS('All Worker Fields'!G:G,A78,'All Worker Fields'!I:I,"Yes")</f>
        <v>0</v>
      </c>
    </row>
    <row r="79" customFormat="false" ht="15" hidden="false" customHeight="false" outlineLevel="0" collapsed="false">
      <c r="A79" s="32" t="s">
        <v>728</v>
      </c>
      <c r="B79" s="32" t="n">
        <f aca="false">COUNTIF('All Worker Fields'!G:G,A79)</f>
        <v>3</v>
      </c>
      <c r="C79" s="32" t="n">
        <f aca="false">COUNTIFS('All Worker Fields'!G:G,A79,'All Worker Fields'!I:I,"Yes")</f>
        <v>0</v>
      </c>
    </row>
    <row r="80" customFormat="false" ht="15" hidden="false" customHeight="false" outlineLevel="0" collapsed="false">
      <c r="A80" s="32" t="s">
        <v>729</v>
      </c>
      <c r="B80" s="32" t="n">
        <f aca="false">COUNTIF('All Worker Fields'!G:G,A80)</f>
        <v>3</v>
      </c>
      <c r="C80" s="32" t="n">
        <f aca="false">COUNTIFS('All Worker Fields'!G:G,A80,'All Worker Fields'!I:I,"Yes")</f>
        <v>0</v>
      </c>
    </row>
    <row r="81" customFormat="false" ht="15" hidden="false" customHeight="false" outlineLevel="0" collapsed="false">
      <c r="A81" s="32" t="s">
        <v>730</v>
      </c>
      <c r="B81" s="32" t="n">
        <f aca="false">COUNTIF('All Worker Fields'!G:G,A81)</f>
        <v>3</v>
      </c>
      <c r="C81" s="32" t="n">
        <f aca="false">COUNTIFS('All Worker Fields'!G:G,A81,'All Worker Fields'!I:I,"Yes")</f>
        <v>0</v>
      </c>
    </row>
    <row r="82" customFormat="false" ht="15" hidden="false" customHeight="false" outlineLevel="0" collapsed="false">
      <c r="A82" s="32" t="s">
        <v>731</v>
      </c>
      <c r="B82" s="32" t="n">
        <f aca="false">COUNTIF('All Worker Fields'!G:G,A82)</f>
        <v>3</v>
      </c>
      <c r="C82" s="32" t="n">
        <f aca="false">COUNTIFS('All Worker Fields'!G:G,A82,'All Worker Fields'!I:I,"Yes")</f>
        <v>0</v>
      </c>
    </row>
    <row r="83" customFormat="false" ht="15" hidden="false" customHeight="false" outlineLevel="0" collapsed="false">
      <c r="A83" s="32" t="s">
        <v>732</v>
      </c>
      <c r="B83" s="32" t="n">
        <f aca="false">COUNTIF('All Worker Fields'!G:G,A83)</f>
        <v>3</v>
      </c>
      <c r="C83" s="32" t="n">
        <f aca="false">COUNTIFS('All Worker Fields'!G:G,A83,'All Worker Fields'!I:I,"Yes")</f>
        <v>0</v>
      </c>
    </row>
    <row r="84" customFormat="false" ht="15" hidden="false" customHeight="false" outlineLevel="0" collapsed="false">
      <c r="A84" s="32" t="s">
        <v>733</v>
      </c>
      <c r="B84" s="32" t="n">
        <f aca="false">COUNTIF('All Worker Fields'!G:G,A84)</f>
        <v>3</v>
      </c>
      <c r="C84" s="32" t="n">
        <f aca="false">COUNTIFS('All Worker Fields'!G:G,A84,'All Worker Fields'!I:I,"Yes")</f>
        <v>0</v>
      </c>
    </row>
    <row r="85" customFormat="false" ht="15" hidden="false" customHeight="false" outlineLevel="0" collapsed="false">
      <c r="A85" s="32" t="s">
        <v>734</v>
      </c>
      <c r="B85" s="32" t="n">
        <f aca="false">COUNTIF('All Worker Fields'!G:G,A85)</f>
        <v>3</v>
      </c>
      <c r="C85" s="32" t="n">
        <f aca="false">COUNTIFS('All Worker Fields'!G:G,A85,'All Worker Fields'!I:I,"Yes")</f>
        <v>0</v>
      </c>
    </row>
    <row r="86" customFormat="false" ht="15" hidden="false" customHeight="false" outlineLevel="0" collapsed="false">
      <c r="A86" s="32" t="s">
        <v>735</v>
      </c>
      <c r="B86" s="32" t="n">
        <f aca="false">COUNTIF('All Worker Fields'!G:G,A86)</f>
        <v>3</v>
      </c>
      <c r="C86" s="32" t="n">
        <f aca="false">COUNTIFS('All Worker Fields'!G:G,A86,'All Worker Fields'!I:I,"Yes")</f>
        <v>0</v>
      </c>
    </row>
    <row r="87" customFormat="false" ht="15" hidden="false" customHeight="false" outlineLevel="0" collapsed="false">
      <c r="A87" s="32" t="s">
        <v>736</v>
      </c>
      <c r="B87" s="32" t="n">
        <f aca="false">COUNTIF('All Worker Fields'!G:G,A87)</f>
        <v>3</v>
      </c>
      <c r="C87" s="32" t="n">
        <f aca="false">COUNTIFS('All Worker Fields'!G:G,A87,'All Worker Fields'!I:I,"Yes")</f>
        <v>0</v>
      </c>
    </row>
    <row r="88" customFormat="false" ht="15" hidden="false" customHeight="false" outlineLevel="0" collapsed="false">
      <c r="A88" s="32" t="s">
        <v>737</v>
      </c>
      <c r="B88" s="32" t="n">
        <f aca="false">COUNTIF('All Worker Fields'!G:G,A88)</f>
        <v>3</v>
      </c>
      <c r="C88" s="32" t="n">
        <f aca="false">COUNTIFS('All Worker Fields'!G:G,A88,'All Worker Fields'!I:I,"Yes")</f>
        <v>0</v>
      </c>
    </row>
    <row r="89" customFormat="false" ht="15" hidden="false" customHeight="false" outlineLevel="0" collapsed="false">
      <c r="A89" s="32" t="s">
        <v>738</v>
      </c>
      <c r="B89" s="32" t="n">
        <f aca="false">COUNTIF('All Worker Fields'!G:G,A89)</f>
        <v>3</v>
      </c>
      <c r="C89" s="32" t="n">
        <f aca="false">COUNTIFS('All Worker Fields'!G:G,A89,'All Worker Fields'!I:I,"Yes")</f>
        <v>0</v>
      </c>
    </row>
    <row r="90" customFormat="false" ht="15" hidden="false" customHeight="false" outlineLevel="0" collapsed="false">
      <c r="A90" s="32" t="s">
        <v>739</v>
      </c>
      <c r="B90" s="32" t="n">
        <f aca="false">COUNTIF('All Worker Fields'!G:G,A90)</f>
        <v>2</v>
      </c>
      <c r="C90" s="32" t="n">
        <f aca="false">COUNTIFS('All Worker Fields'!G:G,A90,'All Worker Fields'!I:I,"Yes")</f>
        <v>0</v>
      </c>
    </row>
    <row r="91" customFormat="false" ht="15" hidden="false" customHeight="false" outlineLevel="0" collapsed="false">
      <c r="A91" s="32" t="s">
        <v>740</v>
      </c>
      <c r="B91" s="32" t="n">
        <f aca="false">COUNTIF('All Worker Fields'!G:G,A91)</f>
        <v>2</v>
      </c>
      <c r="C91" s="32" t="n">
        <f aca="false">COUNTIFS('All Worker Fields'!G:G,A91,'All Worker Fields'!I:I,"Yes")</f>
        <v>0</v>
      </c>
    </row>
    <row r="92" customFormat="false" ht="15" hidden="false" customHeight="false" outlineLevel="0" collapsed="false">
      <c r="A92" s="32" t="s">
        <v>741</v>
      </c>
      <c r="B92" s="32" t="n">
        <f aca="false">COUNTIF('All Worker Fields'!G:G,A92)</f>
        <v>2</v>
      </c>
      <c r="C92" s="32" t="n">
        <f aca="false">COUNTIFS('All Worker Fields'!G:G,A92,'All Worker Fields'!I:I,"Yes")</f>
        <v>0</v>
      </c>
    </row>
    <row r="93" customFormat="false" ht="15" hidden="false" customHeight="false" outlineLevel="0" collapsed="false">
      <c r="A93" s="32" t="s">
        <v>742</v>
      </c>
      <c r="B93" s="32" t="n">
        <f aca="false">COUNTIF('All Worker Fields'!G:G,A93)</f>
        <v>2</v>
      </c>
      <c r="C93" s="32" t="n">
        <f aca="false">COUNTIFS('All Worker Fields'!G:G,A93,'All Worker Fields'!I:I,"Yes")</f>
        <v>0</v>
      </c>
    </row>
    <row r="94" customFormat="false" ht="15" hidden="false" customHeight="false" outlineLevel="0" collapsed="false">
      <c r="A94" s="32" t="s">
        <v>743</v>
      </c>
      <c r="B94" s="32" t="n">
        <f aca="false">COUNTIF('All Worker Fields'!G:G,A94)</f>
        <v>2</v>
      </c>
      <c r="C94" s="32" t="n">
        <f aca="false">COUNTIFS('All Worker Fields'!G:G,A94,'All Worker Fields'!I:I,"Yes")</f>
        <v>0</v>
      </c>
    </row>
    <row r="95" customFormat="false" ht="15" hidden="false" customHeight="false" outlineLevel="0" collapsed="false">
      <c r="A95" s="32" t="s">
        <v>744</v>
      </c>
      <c r="B95" s="32" t="n">
        <f aca="false">COUNTIF('All Worker Fields'!G:G,A95)</f>
        <v>2</v>
      </c>
      <c r="C95" s="32" t="n">
        <f aca="false">COUNTIFS('All Worker Fields'!G:G,A95,'All Worker Fields'!I:I,"Yes")</f>
        <v>0</v>
      </c>
    </row>
    <row r="96" customFormat="false" ht="15" hidden="false" customHeight="false" outlineLevel="0" collapsed="false">
      <c r="A96" s="32" t="s">
        <v>745</v>
      </c>
      <c r="B96" s="32" t="n">
        <f aca="false">COUNTIF('All Worker Fields'!G:G,A96)</f>
        <v>2</v>
      </c>
      <c r="C96" s="32" t="n">
        <f aca="false">COUNTIFS('All Worker Fields'!G:G,A96,'All Worker Fields'!I:I,"Yes")</f>
        <v>0</v>
      </c>
    </row>
    <row r="97" customFormat="false" ht="15" hidden="false" customHeight="false" outlineLevel="0" collapsed="false">
      <c r="A97" s="32" t="s">
        <v>746</v>
      </c>
      <c r="B97" s="32" t="n">
        <f aca="false">COUNTIF('All Worker Fields'!G:G,A97)</f>
        <v>2</v>
      </c>
      <c r="C97" s="32" t="n">
        <f aca="false">COUNTIFS('All Worker Fields'!G:G,A97,'All Worker Fields'!I:I,"Yes")</f>
        <v>0</v>
      </c>
    </row>
    <row r="98" customFormat="false" ht="15" hidden="false" customHeight="false" outlineLevel="0" collapsed="false">
      <c r="A98" s="32" t="s">
        <v>747</v>
      </c>
      <c r="B98" s="32" t="n">
        <f aca="false">COUNTIF('All Worker Fields'!G:G,A98)</f>
        <v>2</v>
      </c>
      <c r="C98" s="32" t="n">
        <f aca="false">COUNTIFS('All Worker Fields'!G:G,A98,'All Worker Fields'!I:I,"Yes")</f>
        <v>0</v>
      </c>
    </row>
    <row r="99" customFormat="false" ht="15" hidden="false" customHeight="false" outlineLevel="0" collapsed="false">
      <c r="A99" s="32" t="s">
        <v>748</v>
      </c>
      <c r="B99" s="32" t="n">
        <f aca="false">COUNTIF('All Worker Fields'!G:G,A99)</f>
        <v>2</v>
      </c>
      <c r="C99" s="32" t="n">
        <f aca="false">COUNTIFS('All Worker Fields'!G:G,A99,'All Worker Fields'!I:I,"Yes")</f>
        <v>0</v>
      </c>
    </row>
    <row r="100" customFormat="false" ht="15" hidden="false" customHeight="false" outlineLevel="0" collapsed="false">
      <c r="A100" s="32" t="s">
        <v>749</v>
      </c>
      <c r="B100" s="32" t="n">
        <f aca="false">COUNTIF('All Worker Fields'!G:G,A100)</f>
        <v>2</v>
      </c>
      <c r="C100" s="32" t="n">
        <f aca="false">COUNTIFS('All Worker Fields'!G:G,A100,'All Worker Fields'!I:I,"Yes")</f>
        <v>0</v>
      </c>
    </row>
    <row r="101" customFormat="false" ht="15" hidden="false" customHeight="false" outlineLevel="0" collapsed="false">
      <c r="A101" s="32" t="s">
        <v>750</v>
      </c>
      <c r="B101" s="32" t="n">
        <f aca="false">COUNTIF('All Worker Fields'!G:G,A101)</f>
        <v>1</v>
      </c>
      <c r="C101" s="32" t="n">
        <f aca="false">COUNTIFS('All Worker Fields'!G:G,A101,'All Worker Fields'!I:I,"Yes")</f>
        <v>0</v>
      </c>
    </row>
    <row r="102" customFormat="false" ht="15" hidden="false" customHeight="false" outlineLevel="0" collapsed="false">
      <c r="A102" s="32" t="s">
        <v>751</v>
      </c>
      <c r="B102" s="32" t="n">
        <f aca="false">COUNTIF('All Worker Fields'!G:G,A102)</f>
        <v>1</v>
      </c>
      <c r="C102" s="32" t="n">
        <f aca="false">COUNTIFS('All Worker Fields'!G:G,A102,'All Worker Fields'!I:I,"Yes")</f>
        <v>0</v>
      </c>
    </row>
    <row r="103" customFormat="false" ht="15" hidden="false" customHeight="false" outlineLevel="0" collapsed="false">
      <c r="A103" s="32" t="s">
        <v>752</v>
      </c>
      <c r="B103" s="32" t="n">
        <f aca="false">COUNTIF('All Worker Fields'!G:G,A103)</f>
        <v>1</v>
      </c>
      <c r="C103" s="32" t="n">
        <f aca="false">COUNTIFS('All Worker Fields'!G:G,A103,'All Worker Fields'!I:I,"Yes")</f>
        <v>0</v>
      </c>
    </row>
    <row r="104" customFormat="false" ht="15" hidden="false" customHeight="false" outlineLevel="0" collapsed="false">
      <c r="A104" s="32" t="s">
        <v>753</v>
      </c>
      <c r="B104" s="32" t="n">
        <f aca="false">COUNTIF('All Worker Fields'!G:G,A104)</f>
        <v>1</v>
      </c>
      <c r="C104" s="32" t="n">
        <f aca="false">COUNTIFS('All Worker Fields'!G:G,A104,'All Worker Fields'!I:I,"Yes")</f>
        <v>0</v>
      </c>
    </row>
    <row r="105" customFormat="false" ht="15" hidden="false" customHeight="false" outlineLevel="0" collapsed="false">
      <c r="A105" s="32" t="s">
        <v>447</v>
      </c>
      <c r="B105" s="32" t="n">
        <f aca="false">COUNTIF('All Worker Fields'!G:G,A105)</f>
        <v>1</v>
      </c>
      <c r="C105" s="32" t="n">
        <f aca="false">COUNTIFS('All Worker Fields'!G:G,A105,'All Worker Fields'!I:I,"Yes")</f>
        <v>0</v>
      </c>
    </row>
    <row r="106" customFormat="false" ht="15" hidden="false" customHeight="false" outlineLevel="0" collapsed="false">
      <c r="A106" s="32" t="s">
        <v>754</v>
      </c>
      <c r="B106" s="32" t="n">
        <f aca="false">COUNTIF('All Worker Fields'!G:G,A106)</f>
        <v>1</v>
      </c>
      <c r="C106" s="32" t="n">
        <f aca="false">COUNTIFS('All Worker Fields'!G:G,A106,'All Worker Fields'!I:I,"Yes")</f>
        <v>0</v>
      </c>
    </row>
    <row r="107" customFormat="false" ht="15" hidden="false" customHeight="false" outlineLevel="0" collapsed="false">
      <c r="A107" s="32" t="s">
        <v>755</v>
      </c>
      <c r="B107" s="32" t="n">
        <f aca="false">COUNTIF('All Worker Fields'!G:G,A107)</f>
        <v>1</v>
      </c>
      <c r="C107" s="32" t="n">
        <f aca="false">COUNTIFS('All Worker Fields'!G:G,A107,'All Worker Fields'!I:I,"Yes")</f>
        <v>0</v>
      </c>
    </row>
    <row r="108" customFormat="false" ht="15" hidden="false" customHeight="false" outlineLevel="0" collapsed="false">
      <c r="A108" s="32" t="s">
        <v>756</v>
      </c>
      <c r="B108" s="32" t="n">
        <f aca="false">COUNTIF('All Worker Fields'!G:G,A108)</f>
        <v>1</v>
      </c>
      <c r="C108" s="32" t="n">
        <f aca="false">COUNTIFS('All Worker Fields'!G:G,A108,'All Worker Fields'!I:I,"Yes")</f>
        <v>0</v>
      </c>
    </row>
    <row r="109" customFormat="false" ht="15" hidden="false" customHeight="false" outlineLevel="0" collapsed="false">
      <c r="A109" s="32" t="s">
        <v>757</v>
      </c>
      <c r="B109" s="32" t="n">
        <f aca="false">COUNTIF('All Worker Fields'!G:G,A109)</f>
        <v>1</v>
      </c>
      <c r="C109" s="32" t="n">
        <f aca="false">COUNTIFS('All Worker Fields'!G:G,A109,'All Worker Fields'!I:I,"Yes")</f>
        <v>0</v>
      </c>
    </row>
    <row r="110" customFormat="false" ht="15" hidden="false" customHeight="false" outlineLevel="0" collapsed="false">
      <c r="A110" s="32" t="s">
        <v>758</v>
      </c>
      <c r="B110" s="32" t="n">
        <f aca="false">COUNTIF('All Worker Fields'!G:G,A110)</f>
        <v>1</v>
      </c>
      <c r="C110" s="32" t="n">
        <f aca="false">COUNTIFS('All Worker Fields'!G:G,A110,'All Worker Fields'!I:I,"Yes")</f>
        <v>0</v>
      </c>
    </row>
    <row r="111" customFormat="false" ht="15" hidden="false" customHeight="false" outlineLevel="0" collapsed="false">
      <c r="A111" s="32" t="s">
        <v>759</v>
      </c>
      <c r="B111" s="32" t="n">
        <f aca="false">COUNTIF('All Worker Fields'!G:G,A111)</f>
        <v>1</v>
      </c>
      <c r="C111" s="32" t="n">
        <f aca="false">COUNTIFS('All Worker Fields'!G:G,A111,'All Worker Fields'!I:I,"Yes")</f>
        <v>0</v>
      </c>
    </row>
    <row r="112" customFormat="false" ht="15" hidden="false" customHeight="false" outlineLevel="0" collapsed="false">
      <c r="A112" s="32" t="s">
        <v>313</v>
      </c>
      <c r="B112" s="32" t="n">
        <f aca="false">COUNTIF('All Worker Fields'!G:G,A112)</f>
        <v>1</v>
      </c>
      <c r="C112" s="32" t="n">
        <f aca="false">COUNTIFS('All Worker Fields'!G:G,A112,'All Worker Fields'!I:I,"Yes")</f>
        <v>0</v>
      </c>
    </row>
    <row r="113" customFormat="false" ht="15" hidden="false" customHeight="false" outlineLevel="0" collapsed="false">
      <c r="A113" s="32" t="s">
        <v>760</v>
      </c>
      <c r="B113" s="32" t="n">
        <f aca="false">COUNTIF('All Worker Fields'!G:G,A113)</f>
        <v>1</v>
      </c>
      <c r="C113" s="32" t="n">
        <f aca="false">COUNTIFS('All Worker Fields'!G:G,A113,'All Worker Fields'!I:I,"Yes")</f>
        <v>0</v>
      </c>
    </row>
    <row r="114" customFormat="false" ht="15" hidden="false" customHeight="false" outlineLevel="0" collapsed="false">
      <c r="A114" s="32" t="s">
        <v>761</v>
      </c>
      <c r="B114" s="32" t="n">
        <f aca="false">COUNTIF('All Worker Fields'!G:G,A114)</f>
        <v>1</v>
      </c>
      <c r="C114" s="32" t="n">
        <f aca="false">COUNTIFS('All Worker Fields'!G:G,A114,'All Worker Fields'!I:I,"Yes")</f>
        <v>0</v>
      </c>
    </row>
    <row r="115" customFormat="false" ht="15" hidden="false" customHeight="false" outlineLevel="0" collapsed="false">
      <c r="A115" s="32" t="s">
        <v>762</v>
      </c>
      <c r="B115" s="32" t="n">
        <f aca="false">COUNTIF('All Worker Fields'!G:G,A115)</f>
        <v>1</v>
      </c>
      <c r="C115" s="32" t="n">
        <f aca="false">COUNTIFS('All Worker Fields'!G:G,A115,'All Worker Fields'!I:I,"Yes")</f>
        <v>0</v>
      </c>
    </row>
    <row r="116" customFormat="false" ht="15" hidden="false" customHeight="false" outlineLevel="0" collapsed="false">
      <c r="A116" s="32" t="s">
        <v>763</v>
      </c>
      <c r="B116" s="32" t="n">
        <f aca="false">COUNTIF('All Worker Fields'!G:G,A116)</f>
        <v>1</v>
      </c>
      <c r="C116" s="32" t="n">
        <f aca="false">COUNTIFS('All Worker Fields'!G:G,A116,'All Worker Fields'!I:I,"Yes")</f>
        <v>0</v>
      </c>
    </row>
    <row r="117" customFormat="false" ht="15" hidden="false" customHeight="false" outlineLevel="0" collapsed="false">
      <c r="A117" s="32" t="s">
        <v>764</v>
      </c>
      <c r="B117" s="32" t="n">
        <f aca="false">COUNTIF('All Worker Fields'!G:G,A117)</f>
        <v>1</v>
      </c>
      <c r="C117" s="32" t="n">
        <f aca="false">COUNTIFS('All Worker Fields'!G:G,A117,'All Worker Fields'!I:I,"Yes")</f>
        <v>0</v>
      </c>
    </row>
    <row r="118" customFormat="false" ht="15" hidden="false" customHeight="false" outlineLevel="0" collapsed="false">
      <c r="A118" s="32" t="s">
        <v>765</v>
      </c>
      <c r="B118" s="32" t="n">
        <f aca="false">COUNTIF('All Worker Fields'!G:G,A118)</f>
        <v>1</v>
      </c>
      <c r="C118" s="32" t="n">
        <f aca="false">COUNTIFS('All Worker Fields'!G:G,A118,'All Worker Fields'!I:I,"Yes")</f>
        <v>0</v>
      </c>
    </row>
    <row r="119" customFormat="false" ht="15" hidden="false" customHeight="false" outlineLevel="0" collapsed="false">
      <c r="A119" s="32" t="s">
        <v>766</v>
      </c>
      <c r="B119" s="32" t="n">
        <f aca="false">COUNTIF('All Worker Fields'!G:G,A119)</f>
        <v>1</v>
      </c>
      <c r="C119" s="32" t="n">
        <f aca="false">COUNTIFS('All Worker Fields'!G:G,A119,'All Worker Fields'!I:I,"Yes")</f>
        <v>0</v>
      </c>
    </row>
    <row r="120" customFormat="false" ht="15" hidden="false" customHeight="false" outlineLevel="0" collapsed="false">
      <c r="A120" s="32" t="s">
        <v>767</v>
      </c>
      <c r="B120" s="32" t="n">
        <f aca="false">COUNTIF('All Worker Fields'!G:G,A120)</f>
        <v>1</v>
      </c>
      <c r="C120" s="32" t="n">
        <f aca="false">COUNTIFS('All Worker Fields'!G:G,A120,'All Worker Fields'!I:I,"Yes")</f>
        <v>0</v>
      </c>
    </row>
    <row r="121" customFormat="false" ht="15" hidden="false" customHeight="false" outlineLevel="0" collapsed="false">
      <c r="A121" s="32" t="s">
        <v>768</v>
      </c>
      <c r="B121" s="32" t="n">
        <f aca="false">COUNTIF('All Worker Fields'!G:G,A121)</f>
        <v>1</v>
      </c>
      <c r="C121" s="32" t="n">
        <f aca="false">COUNTIFS('All Worker Fields'!G:G,A121,'All Worker Fields'!I:I,"Yes")</f>
        <v>0</v>
      </c>
    </row>
    <row r="122" customFormat="false" ht="15" hidden="false" customHeight="false" outlineLevel="0" collapsed="false">
      <c r="A122" s="32" t="s">
        <v>769</v>
      </c>
      <c r="B122" s="32" t="n">
        <f aca="false">COUNTIF('All Worker Fields'!G:G,A122)</f>
        <v>1</v>
      </c>
      <c r="C122" s="32" t="n">
        <f aca="false">COUNTIFS('All Worker Fields'!G:G,A122,'All Worker Fields'!I:I,"Yes")</f>
        <v>0</v>
      </c>
    </row>
    <row r="123" customFormat="false" ht="15" hidden="false" customHeight="false" outlineLevel="0" collapsed="false">
      <c r="A123" s="32" t="s">
        <v>770</v>
      </c>
      <c r="B123" s="32" t="n">
        <f aca="false">COUNTIF('All Worker Fields'!G:G,A123)</f>
        <v>1</v>
      </c>
      <c r="C123" s="32" t="n">
        <f aca="false">COUNTIFS('All Worker Fields'!G:G,A123,'All Worker Fields'!I:I,"Yes")</f>
        <v>0</v>
      </c>
    </row>
    <row r="124" customFormat="false" ht="15" hidden="false" customHeight="false" outlineLevel="0" collapsed="false">
      <c r="A124" s="32" t="s">
        <v>771</v>
      </c>
      <c r="B124" s="32" t="n">
        <f aca="false">COUNTIF('All Worker Fields'!G:G,A124)</f>
        <v>1</v>
      </c>
      <c r="C124" s="32" t="n">
        <f aca="false">COUNTIFS('All Worker Fields'!G:G,A124,'All Worker Fields'!I:I,"Yes")</f>
        <v>0</v>
      </c>
    </row>
    <row r="125" customFormat="false" ht="15" hidden="false" customHeight="false" outlineLevel="0" collapsed="false">
      <c r="A125" s="32" t="s">
        <v>772</v>
      </c>
      <c r="B125" s="32" t="n">
        <f aca="false">COUNTIF('All Worker Fields'!G:G,A125)</f>
        <v>1</v>
      </c>
      <c r="C125" s="32" t="n">
        <f aca="false">COUNTIFS('All Worker Fields'!G:G,A125,'All Worker Fields'!I:I,"Yes")</f>
        <v>0</v>
      </c>
    </row>
    <row r="126" customFormat="false" ht="15" hidden="false" customHeight="false" outlineLevel="0" collapsed="false">
      <c r="A126" s="32" t="s">
        <v>773</v>
      </c>
      <c r="B126" s="32" t="n">
        <f aca="false">COUNTIF('All Worker Fields'!G:G,A126)</f>
        <v>1</v>
      </c>
      <c r="C126" s="32" t="n">
        <f aca="false">COUNTIFS('All Worker Fields'!G:G,A126,'All Worker Fields'!I:I,"Yes")</f>
        <v>0</v>
      </c>
    </row>
    <row r="127" customFormat="false" ht="15" hidden="false" customHeight="false" outlineLevel="0" collapsed="false">
      <c r="A127" s="32" t="s">
        <v>774</v>
      </c>
      <c r="B127" s="32" t="n">
        <f aca="false">COUNTIF('All Worker Fields'!G:G,A127)</f>
        <v>1</v>
      </c>
      <c r="C127" s="32" t="n">
        <f aca="false">COUNTIFS('All Worker Fields'!G:G,A127,'All Worker Fields'!I:I,"Yes")</f>
        <v>0</v>
      </c>
    </row>
    <row r="128" customFormat="false" ht="15" hidden="false" customHeight="false" outlineLevel="0" collapsed="false">
      <c r="A128" s="32" t="s">
        <v>775</v>
      </c>
      <c r="B128" s="32" t="n">
        <f aca="false">COUNTIF('All Worker Fields'!G:G,A128)</f>
        <v>1</v>
      </c>
      <c r="C128" s="32" t="n">
        <f aca="false">COUNTIFS('All Worker Fields'!G:G,A128,'All Worker Fields'!I:I,"Yes")</f>
        <v>0</v>
      </c>
    </row>
    <row r="129" customFormat="false" ht="15" hidden="false" customHeight="false" outlineLevel="0" collapsed="false">
      <c r="A129" s="32" t="s">
        <v>776</v>
      </c>
      <c r="B129" s="32" t="n">
        <f aca="false">COUNTIF('All Worker Fields'!G:G,A129)</f>
        <v>1</v>
      </c>
      <c r="C129" s="32" t="n">
        <f aca="false">COUNTIFS('All Worker Fields'!G:G,A129,'All Worker Fields'!I:I,"Yes")</f>
        <v>0</v>
      </c>
    </row>
    <row r="130" customFormat="false" ht="15" hidden="false" customHeight="false" outlineLevel="0" collapsed="false">
      <c r="A130" s="32" t="s">
        <v>777</v>
      </c>
      <c r="B130" s="32" t="n">
        <f aca="false">COUNTIF('All Worker Fields'!G:G,A130)</f>
        <v>1</v>
      </c>
      <c r="C130" s="32" t="n">
        <f aca="false">COUNTIFS('All Worker Fields'!G:G,A130,'All Worker Fields'!I:I,"Yes")</f>
        <v>0</v>
      </c>
    </row>
    <row r="131" customFormat="false" ht="15" hidden="false" customHeight="false" outlineLevel="0" collapsed="false">
      <c r="A131" s="32" t="s">
        <v>778</v>
      </c>
      <c r="B131" s="32" t="n">
        <f aca="false">COUNTIF('All Worker Fields'!G:G,A131)</f>
        <v>1</v>
      </c>
      <c r="C131" s="32" t="n">
        <f aca="false">COUNTIFS('All Worker Fields'!G:G,A131,'All Worker Fields'!I:I,"Yes")</f>
        <v>0</v>
      </c>
    </row>
    <row r="132" customFormat="false" ht="15" hidden="false" customHeight="false" outlineLevel="0" collapsed="false">
      <c r="A132" s="32" t="s">
        <v>779</v>
      </c>
      <c r="B132" s="32" t="n">
        <f aca="false">COUNTIF('All Worker Fields'!G:G,A132)</f>
        <v>1</v>
      </c>
      <c r="C132" s="32" t="n">
        <f aca="false">COUNTIFS('All Worker Fields'!G:G,A132,'All Worker Fields'!I:I,"Yes")</f>
        <v>0</v>
      </c>
    </row>
    <row r="133" customFormat="false" ht="15" hidden="false" customHeight="false" outlineLevel="0" collapsed="false">
      <c r="A133" s="32" t="s">
        <v>780</v>
      </c>
      <c r="B133" s="32" t="n">
        <f aca="false">COUNTIF('All Worker Fields'!G:G,A133)</f>
        <v>1</v>
      </c>
      <c r="C133" s="32" t="n">
        <f aca="false">COUNTIFS('All Worker Fields'!G:G,A133,'All Worker Fields'!I:I,"Yes")</f>
        <v>0</v>
      </c>
    </row>
    <row r="134" customFormat="false" ht="15" hidden="false" customHeight="false" outlineLevel="0" collapsed="false">
      <c r="A134" s="32" t="s">
        <v>781</v>
      </c>
      <c r="B134" s="32" t="n">
        <f aca="false">COUNTIF('All Worker Fields'!G:G,A134)</f>
        <v>1</v>
      </c>
      <c r="C134" s="32" t="n">
        <f aca="false">COUNTIFS('All Worker Fields'!G:G,A134,'All Worker Fields'!I:I,"Yes")</f>
        <v>0</v>
      </c>
    </row>
    <row r="135" customFormat="false" ht="15" hidden="false" customHeight="false" outlineLevel="0" collapsed="false">
      <c r="A135" s="32" t="s">
        <v>782</v>
      </c>
      <c r="B135" s="32" t="n">
        <f aca="false">COUNTIF('All Worker Fields'!G:G,A135)</f>
        <v>1</v>
      </c>
      <c r="C135" s="32" t="n">
        <f aca="false">COUNTIFS('All Worker Fields'!G:G,A135,'All Worker Fields'!I:I,"Yes")</f>
        <v>0</v>
      </c>
    </row>
    <row r="136" customFormat="false" ht="15" hidden="false" customHeight="false" outlineLevel="0" collapsed="false">
      <c r="A136" s="32" t="s">
        <v>783</v>
      </c>
      <c r="B136" s="32" t="n">
        <f aca="false">COUNTIF('All Worker Fields'!G:G,A136)</f>
        <v>1</v>
      </c>
      <c r="C136" s="32" t="n">
        <f aca="false">COUNTIFS('All Worker Fields'!G:G,A136,'All Worker Fields'!I:I,"Yes")</f>
        <v>0</v>
      </c>
    </row>
    <row r="137" customFormat="false" ht="15" hidden="false" customHeight="false" outlineLevel="0" collapsed="false">
      <c r="A137" s="32" t="s">
        <v>784</v>
      </c>
      <c r="B137" s="32" t="n">
        <f aca="false">COUNTIF('All Worker Fields'!G:G,A137)</f>
        <v>1</v>
      </c>
      <c r="C137" s="32" t="n">
        <f aca="false">COUNTIFS('All Worker Fields'!G:G,A137,'All Worker Fields'!I:I,"Yes")</f>
        <v>0</v>
      </c>
    </row>
  </sheetData>
  <autoFilter ref="A4:C1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6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4"/>
    <col collapsed="false" customWidth="true" hidden="false" outlineLevel="0" max="5" min="5" style="0" width="110"/>
  </cols>
  <sheetData>
    <row r="1" customFormat="false" ht="19.7" hidden="false" customHeight="false" outlineLevel="0" collapsed="false">
      <c r="A1" s="7" t="s">
        <v>785</v>
      </c>
    </row>
    <row r="2" customFormat="false" ht="15" hidden="false" customHeight="false" outlineLevel="0" collapsed="false">
      <c r="A2" s="2" t="s">
        <v>786</v>
      </c>
    </row>
    <row r="4" customFormat="false" ht="30" hidden="false" customHeight="true" outlineLevel="0" collapsed="false">
      <c r="A4" s="8" t="s">
        <v>25</v>
      </c>
      <c r="B4" s="8" t="s">
        <v>787</v>
      </c>
      <c r="C4" s="8" t="s">
        <v>788</v>
      </c>
      <c r="D4" s="8" t="s">
        <v>789</v>
      </c>
      <c r="E4" s="8" t="s">
        <v>790</v>
      </c>
    </row>
    <row r="5" customFormat="false" ht="15" hidden="false" customHeight="false" outlineLevel="0" collapsed="false">
      <c r="A5" s="33" t="s">
        <v>45</v>
      </c>
      <c r="B5" s="32" t="n">
        <v>88</v>
      </c>
      <c r="C5" s="32" t="n">
        <f aca="false">COUNTIFS('All Worker Fields'!E:E,A5,'All Worker Fields'!D:D,"Single instance")</f>
        <v>40</v>
      </c>
      <c r="D5" s="32" t="n">
        <f aca="false">COUNTIFS('All Worker Fields'!E:E,A5,'All Worker Fields'!D:D,"Multi-instance")</f>
        <v>29</v>
      </c>
      <c r="E5" s="34" t="s">
        <v>791</v>
      </c>
    </row>
    <row r="6" customFormat="false" ht="15" hidden="false" customHeight="false" outlineLevel="0" collapsed="false">
      <c r="A6" s="33" t="s">
        <v>247</v>
      </c>
      <c r="B6" s="32" t="n">
        <v>47</v>
      </c>
      <c r="C6" s="32" t="n">
        <f aca="false">COUNTIFS('All Worker Fields'!E:E,A6,'All Worker Fields'!D:D,"Single instance")</f>
        <v>24</v>
      </c>
      <c r="D6" s="32" t="n">
        <f aca="false">COUNTIFS('All Worker Fields'!E:E,A6,'All Worker Fields'!D:D,"Multi-instance")</f>
        <v>18</v>
      </c>
      <c r="E6" s="34" t="s">
        <v>792</v>
      </c>
    </row>
    <row r="7" customFormat="false" ht="15" hidden="false" customHeight="false" outlineLevel="0" collapsed="false">
      <c r="A7" s="33" t="s">
        <v>262</v>
      </c>
      <c r="B7" s="32" t="n">
        <v>35</v>
      </c>
      <c r="C7" s="32" t="n">
        <f aca="false">COUNTIFS('All Worker Fields'!E:E,A7,'All Worker Fields'!D:D,"Single instance")</f>
        <v>11</v>
      </c>
      <c r="D7" s="32" t="n">
        <f aca="false">COUNTIFS('All Worker Fields'!E:E,A7,'All Worker Fields'!D:D,"Multi-instance")</f>
        <v>21</v>
      </c>
      <c r="E7" s="34" t="s">
        <v>793</v>
      </c>
    </row>
    <row r="8" customFormat="false" ht="15" hidden="false" customHeight="false" outlineLevel="0" collapsed="false">
      <c r="A8" s="33" t="s">
        <v>313</v>
      </c>
      <c r="B8" s="32" t="n">
        <v>30</v>
      </c>
      <c r="C8" s="32" t="n">
        <f aca="false">COUNTIFS('All Worker Fields'!E:E,A8,'All Worker Fields'!D:D,"Single instance")</f>
        <v>18</v>
      </c>
      <c r="D8" s="32" t="n">
        <f aca="false">COUNTIFS('All Worker Fields'!E:E,A8,'All Worker Fields'!D:D,"Multi-instance")</f>
        <v>11</v>
      </c>
      <c r="E8" s="34" t="s">
        <v>794</v>
      </c>
    </row>
    <row r="9" customFormat="false" ht="15" hidden="false" customHeight="false" outlineLevel="0" collapsed="false">
      <c r="A9" s="33" t="s">
        <v>447</v>
      </c>
      <c r="B9" s="32" t="n">
        <v>29</v>
      </c>
      <c r="C9" s="32" t="n">
        <f aca="false">COUNTIFS('All Worker Fields'!E:E,A9,'All Worker Fields'!D:D,"Single instance")</f>
        <v>29</v>
      </c>
      <c r="D9" s="32" t="n">
        <f aca="false">COUNTIFS('All Worker Fields'!E:E,A9,'All Worker Fields'!D:D,"Multi-instance")</f>
        <v>0</v>
      </c>
      <c r="E9" s="34" t="s">
        <v>795</v>
      </c>
    </row>
    <row r="10" customFormat="false" ht="15" hidden="false" customHeight="false" outlineLevel="0" collapsed="false">
      <c r="A10" s="33" t="s">
        <v>553</v>
      </c>
      <c r="B10" s="32" t="n">
        <v>26</v>
      </c>
      <c r="C10" s="32" t="n">
        <f aca="false">COUNTIFS('All Worker Fields'!E:E,A10,'All Worker Fields'!D:D,"Single instance")</f>
        <v>22</v>
      </c>
      <c r="D10" s="32" t="n">
        <f aca="false">COUNTIFS('All Worker Fields'!E:E,A10,'All Worker Fields'!D:D,"Multi-instance")</f>
        <v>4</v>
      </c>
      <c r="E10" s="34" t="s">
        <v>796</v>
      </c>
    </row>
    <row r="11" customFormat="false" ht="15" hidden="false" customHeight="false" outlineLevel="0" collapsed="false">
      <c r="A11" s="33" t="s">
        <v>454</v>
      </c>
      <c r="B11" s="32" t="n">
        <v>24</v>
      </c>
      <c r="C11" s="32" t="n">
        <f aca="false">COUNTIFS('All Worker Fields'!E:E,A11,'All Worker Fields'!D:D,"Single instance")</f>
        <v>24</v>
      </c>
      <c r="D11" s="32" t="n">
        <f aca="false">COUNTIFS('All Worker Fields'!E:E,A11,'All Worker Fields'!D:D,"Multi-instance")</f>
        <v>0</v>
      </c>
      <c r="E11" s="34" t="s">
        <v>797</v>
      </c>
    </row>
    <row r="12" customFormat="false" ht="15" hidden="false" customHeight="false" outlineLevel="0" collapsed="false">
      <c r="A12" s="33" t="s">
        <v>798</v>
      </c>
      <c r="B12" s="32" t="n">
        <v>21</v>
      </c>
      <c r="C12" s="32" t="n">
        <f aca="false">COUNTIFS('All Worker Fields'!E:E,A12,'All Worker Fields'!D:D,"Single instance")</f>
        <v>0</v>
      </c>
      <c r="D12" s="32" t="n">
        <f aca="false">COUNTIFS('All Worker Fields'!E:E,A12,'All Worker Fields'!D:D,"Multi-instance")</f>
        <v>21</v>
      </c>
      <c r="E12" s="34" t="s">
        <v>799</v>
      </c>
    </row>
    <row r="13" customFormat="false" ht="15" hidden="false" customHeight="false" outlineLevel="0" collapsed="false">
      <c r="A13" s="33" t="s">
        <v>351</v>
      </c>
      <c r="B13" s="32" t="n">
        <v>20</v>
      </c>
      <c r="C13" s="32" t="n">
        <f aca="false">COUNTIFS('All Worker Fields'!E:E,A13,'All Worker Fields'!D:D,"Single instance")</f>
        <v>8</v>
      </c>
      <c r="D13" s="32" t="n">
        <f aca="false">COUNTIFS('All Worker Fields'!E:E,A13,'All Worker Fields'!D:D,"Multi-instance")</f>
        <v>11</v>
      </c>
      <c r="E13" s="34" t="s">
        <v>800</v>
      </c>
    </row>
    <row r="14" customFormat="false" ht="15" hidden="false" customHeight="false" outlineLevel="0" collapsed="false">
      <c r="A14" s="33" t="s">
        <v>801</v>
      </c>
      <c r="B14" s="32" t="n">
        <v>18</v>
      </c>
      <c r="C14" s="32" t="n">
        <f aca="false">COUNTIFS('All Worker Fields'!E:E,A14,'All Worker Fields'!D:D,"Single instance")</f>
        <v>0</v>
      </c>
      <c r="D14" s="32" t="n">
        <f aca="false">COUNTIFS('All Worker Fields'!E:E,A14,'All Worker Fields'!D:D,"Multi-instance")</f>
        <v>18</v>
      </c>
      <c r="E14" s="34" t="s">
        <v>802</v>
      </c>
    </row>
    <row r="15" customFormat="false" ht="15" hidden="false" customHeight="false" outlineLevel="0" collapsed="false">
      <c r="A15" s="33" t="s">
        <v>803</v>
      </c>
      <c r="B15" s="32" t="n">
        <v>18</v>
      </c>
      <c r="C15" s="32" t="n">
        <f aca="false">COUNTIFS('All Worker Fields'!E:E,A15,'All Worker Fields'!D:D,"Single instance")</f>
        <v>0</v>
      </c>
      <c r="D15" s="32" t="n">
        <f aca="false">COUNTIFS('All Worker Fields'!E:E,A15,'All Worker Fields'!D:D,"Multi-instance")</f>
        <v>18</v>
      </c>
      <c r="E15" s="34" t="s">
        <v>804</v>
      </c>
    </row>
    <row r="16" customFormat="false" ht="15" hidden="false" customHeight="false" outlineLevel="0" collapsed="false">
      <c r="A16" s="33" t="s">
        <v>331</v>
      </c>
      <c r="B16" s="32" t="n">
        <v>18</v>
      </c>
      <c r="C16" s="32" t="n">
        <f aca="false">COUNTIFS('All Worker Fields'!E:E,A16,'All Worker Fields'!D:D,"Single instance")</f>
        <v>0</v>
      </c>
      <c r="D16" s="32" t="n">
        <f aca="false">COUNTIFS('All Worker Fields'!E:E,A16,'All Worker Fields'!D:D,"Multi-instance")</f>
        <v>18</v>
      </c>
      <c r="E16" s="34" t="s">
        <v>805</v>
      </c>
    </row>
    <row r="17" customFormat="false" ht="15" hidden="false" customHeight="false" outlineLevel="0" collapsed="false">
      <c r="A17" s="33" t="s">
        <v>320</v>
      </c>
      <c r="B17" s="32" t="n">
        <v>16</v>
      </c>
      <c r="C17" s="32" t="n">
        <f aca="false">COUNTIFS('All Worker Fields'!E:E,A17,'All Worker Fields'!D:D,"Single instance")</f>
        <v>8</v>
      </c>
      <c r="D17" s="32" t="n">
        <f aca="false">COUNTIFS('All Worker Fields'!E:E,A17,'All Worker Fields'!D:D,"Multi-instance")</f>
        <v>7</v>
      </c>
      <c r="E17" s="34" t="s">
        <v>806</v>
      </c>
    </row>
    <row r="18" customFormat="false" ht="15" hidden="false" customHeight="false" outlineLevel="0" collapsed="false">
      <c r="A18" s="33" t="s">
        <v>357</v>
      </c>
      <c r="B18" s="32" t="n">
        <v>16</v>
      </c>
      <c r="C18" s="32" t="n">
        <f aca="false">COUNTIFS('All Worker Fields'!E:E,A18,'All Worker Fields'!D:D,"Single instance")</f>
        <v>14</v>
      </c>
      <c r="D18" s="32" t="n">
        <f aca="false">COUNTIFS('All Worker Fields'!E:E,A18,'All Worker Fields'!D:D,"Multi-instance")</f>
        <v>2</v>
      </c>
      <c r="E18" s="34" t="s">
        <v>807</v>
      </c>
    </row>
    <row r="19" customFormat="false" ht="15" hidden="false" customHeight="false" outlineLevel="0" collapsed="false">
      <c r="A19" s="33" t="s">
        <v>220</v>
      </c>
      <c r="B19" s="32" t="n">
        <v>15</v>
      </c>
      <c r="C19" s="32" t="n">
        <f aca="false">COUNTIFS('All Worker Fields'!E:E,A19,'All Worker Fields'!D:D,"Single instance")</f>
        <v>6</v>
      </c>
      <c r="D19" s="32" t="n">
        <f aca="false">COUNTIFS('All Worker Fields'!E:E,A19,'All Worker Fields'!D:D,"Multi-instance")</f>
        <v>7</v>
      </c>
      <c r="E19" s="34" t="s">
        <v>808</v>
      </c>
    </row>
    <row r="20" customFormat="false" ht="15" hidden="false" customHeight="false" outlineLevel="0" collapsed="false">
      <c r="A20" s="33" t="s">
        <v>347</v>
      </c>
      <c r="B20" s="32" t="n">
        <v>15</v>
      </c>
      <c r="C20" s="32" t="n">
        <f aca="false">COUNTIFS('All Worker Fields'!E:E,A20,'All Worker Fields'!D:D,"Single instance")</f>
        <v>6</v>
      </c>
      <c r="D20" s="32" t="n">
        <f aca="false">COUNTIFS('All Worker Fields'!E:E,A20,'All Worker Fields'!D:D,"Multi-instance")</f>
        <v>9</v>
      </c>
      <c r="E20" s="34" t="s">
        <v>809</v>
      </c>
    </row>
    <row r="21" customFormat="false" ht="15" hidden="false" customHeight="false" outlineLevel="0" collapsed="false">
      <c r="A21" s="33" t="s">
        <v>810</v>
      </c>
      <c r="B21" s="32" t="n">
        <v>14</v>
      </c>
      <c r="C21" s="32" t="n">
        <f aca="false">COUNTIFS('All Worker Fields'!E:E,A21,'All Worker Fields'!D:D,"Single instance")</f>
        <v>14</v>
      </c>
      <c r="D21" s="32" t="n">
        <f aca="false">COUNTIFS('All Worker Fields'!E:E,A21,'All Worker Fields'!D:D,"Multi-instance")</f>
        <v>0</v>
      </c>
      <c r="E21" s="34" t="s">
        <v>811</v>
      </c>
    </row>
    <row r="22" customFormat="false" ht="15" hidden="false" customHeight="false" outlineLevel="0" collapsed="false">
      <c r="A22" s="33" t="s">
        <v>560</v>
      </c>
      <c r="B22" s="32" t="n">
        <v>13</v>
      </c>
      <c r="C22" s="32" t="n">
        <f aca="false">COUNTIFS('All Worker Fields'!E:E,A22,'All Worker Fields'!D:D,"Single instance")</f>
        <v>2</v>
      </c>
      <c r="D22" s="32" t="n">
        <f aca="false">COUNTIFS('All Worker Fields'!E:E,A22,'All Worker Fields'!D:D,"Multi-instance")</f>
        <v>10</v>
      </c>
      <c r="E22" s="34" t="s">
        <v>812</v>
      </c>
    </row>
    <row r="23" customFormat="false" ht="15" hidden="false" customHeight="false" outlineLevel="0" collapsed="false">
      <c r="A23" s="33" t="s">
        <v>261</v>
      </c>
      <c r="B23" s="32" t="n">
        <v>13</v>
      </c>
      <c r="C23" s="32" t="n">
        <f aca="false">COUNTIFS('All Worker Fields'!E:E,A23,'All Worker Fields'!D:D,"Single instance")</f>
        <v>3</v>
      </c>
      <c r="D23" s="32" t="n">
        <f aca="false">COUNTIFS('All Worker Fields'!E:E,A23,'All Worker Fields'!D:D,"Multi-instance")</f>
        <v>8</v>
      </c>
      <c r="E23" s="34" t="s">
        <v>813</v>
      </c>
    </row>
    <row r="24" customFormat="false" ht="15" hidden="false" customHeight="false" outlineLevel="0" collapsed="false">
      <c r="A24" s="33" t="s">
        <v>484</v>
      </c>
      <c r="B24" s="32" t="n">
        <v>12</v>
      </c>
      <c r="C24" s="32" t="n">
        <f aca="false">COUNTIFS('All Worker Fields'!E:E,A24,'All Worker Fields'!D:D,"Single instance")</f>
        <v>0</v>
      </c>
      <c r="D24" s="32" t="n">
        <f aca="false">COUNTIFS('All Worker Fields'!E:E,A24,'All Worker Fields'!D:D,"Multi-instance")</f>
        <v>12</v>
      </c>
      <c r="E24" s="34" t="s">
        <v>814</v>
      </c>
    </row>
    <row r="25" customFormat="false" ht="15" hidden="false" customHeight="false" outlineLevel="0" collapsed="false">
      <c r="A25" s="33" t="s">
        <v>226</v>
      </c>
      <c r="B25" s="32" t="n">
        <v>12</v>
      </c>
      <c r="C25" s="32" t="n">
        <f aca="false">COUNTIFS('All Worker Fields'!E:E,A25,'All Worker Fields'!D:D,"Single instance")</f>
        <v>1</v>
      </c>
      <c r="D25" s="32" t="n">
        <f aca="false">COUNTIFS('All Worker Fields'!E:E,A25,'All Worker Fields'!D:D,"Multi-instance")</f>
        <v>8</v>
      </c>
      <c r="E25" s="34" t="s">
        <v>815</v>
      </c>
    </row>
    <row r="26" customFormat="false" ht="15" hidden="false" customHeight="false" outlineLevel="0" collapsed="false">
      <c r="A26" s="33" t="s">
        <v>816</v>
      </c>
      <c r="B26" s="32" t="n">
        <v>12</v>
      </c>
      <c r="C26" s="32" t="n">
        <f aca="false">COUNTIFS('All Worker Fields'!E:E,A26,'All Worker Fields'!D:D,"Single instance")</f>
        <v>10</v>
      </c>
      <c r="D26" s="32" t="n">
        <f aca="false">COUNTIFS('All Worker Fields'!E:E,A26,'All Worker Fields'!D:D,"Multi-instance")</f>
        <v>2</v>
      </c>
      <c r="E26" s="34" t="s">
        <v>817</v>
      </c>
    </row>
    <row r="27" customFormat="false" ht="15" hidden="false" customHeight="false" outlineLevel="0" collapsed="false">
      <c r="A27" s="33" t="s">
        <v>403</v>
      </c>
      <c r="B27" s="32" t="n">
        <v>11</v>
      </c>
      <c r="C27" s="32" t="n">
        <f aca="false">COUNTIFS('All Worker Fields'!E:E,A27,'All Worker Fields'!D:D,"Single instance")</f>
        <v>8</v>
      </c>
      <c r="D27" s="32" t="n">
        <f aca="false">COUNTIFS('All Worker Fields'!E:E,A27,'All Worker Fields'!D:D,"Multi-instance")</f>
        <v>3</v>
      </c>
      <c r="E27" s="34" t="s">
        <v>818</v>
      </c>
    </row>
    <row r="28" customFormat="false" ht="15" hidden="false" customHeight="false" outlineLevel="0" collapsed="false">
      <c r="A28" s="33" t="s">
        <v>243</v>
      </c>
      <c r="B28" s="32" t="n">
        <v>10</v>
      </c>
      <c r="C28" s="32" t="n">
        <f aca="false">COUNTIFS('All Worker Fields'!E:E,A28,'All Worker Fields'!D:D,"Single instance")</f>
        <v>0</v>
      </c>
      <c r="D28" s="32" t="n">
        <f aca="false">COUNTIFS('All Worker Fields'!E:E,A28,'All Worker Fields'!D:D,"Multi-instance")</f>
        <v>10</v>
      </c>
      <c r="E28" s="34" t="s">
        <v>819</v>
      </c>
    </row>
    <row r="29" customFormat="false" ht="15" hidden="false" customHeight="false" outlineLevel="0" collapsed="false">
      <c r="A29" s="33" t="s">
        <v>326</v>
      </c>
      <c r="B29" s="32" t="n">
        <v>10</v>
      </c>
      <c r="C29" s="32" t="n">
        <f aca="false">COUNTIFS('All Worker Fields'!E:E,A29,'All Worker Fields'!D:D,"Single instance")</f>
        <v>8</v>
      </c>
      <c r="D29" s="32" t="n">
        <f aca="false">COUNTIFS('All Worker Fields'!E:E,A29,'All Worker Fields'!D:D,"Multi-instance")</f>
        <v>0</v>
      </c>
      <c r="E29" s="34" t="s">
        <v>820</v>
      </c>
    </row>
    <row r="30" customFormat="false" ht="15" hidden="false" customHeight="false" outlineLevel="0" collapsed="false">
      <c r="A30" s="33" t="s">
        <v>94</v>
      </c>
      <c r="B30" s="32" t="n">
        <v>9</v>
      </c>
      <c r="C30" s="32" t="n">
        <f aca="false">COUNTIFS('All Worker Fields'!E:E,A30,'All Worker Fields'!D:D,"Single instance")</f>
        <v>5</v>
      </c>
      <c r="D30" s="32" t="n">
        <f aca="false">COUNTIFS('All Worker Fields'!E:E,A30,'All Worker Fields'!D:D,"Multi-instance")</f>
        <v>0</v>
      </c>
      <c r="E30" s="34" t="s">
        <v>821</v>
      </c>
    </row>
    <row r="31" customFormat="false" ht="15" hidden="false" customHeight="false" outlineLevel="0" collapsed="false">
      <c r="A31" s="33" t="s">
        <v>822</v>
      </c>
      <c r="B31" s="32" t="n">
        <v>9</v>
      </c>
      <c r="C31" s="32" t="n">
        <f aca="false">COUNTIFS('All Worker Fields'!E:E,A31,'All Worker Fields'!D:D,"Single instance")</f>
        <v>0</v>
      </c>
      <c r="D31" s="32" t="n">
        <f aca="false">COUNTIFS('All Worker Fields'!E:E,A31,'All Worker Fields'!D:D,"Multi-instance")</f>
        <v>9</v>
      </c>
      <c r="E31" s="34" t="s">
        <v>823</v>
      </c>
    </row>
    <row r="32" customFormat="false" ht="15" hidden="false" customHeight="false" outlineLevel="0" collapsed="false">
      <c r="A32" s="33" t="s">
        <v>824</v>
      </c>
      <c r="B32" s="32" t="n">
        <v>8</v>
      </c>
      <c r="C32" s="32" t="n">
        <f aca="false">COUNTIFS('All Worker Fields'!E:E,A32,'All Worker Fields'!D:D,"Single instance")</f>
        <v>8</v>
      </c>
      <c r="D32" s="32" t="n">
        <f aca="false">COUNTIFS('All Worker Fields'!E:E,A32,'All Worker Fields'!D:D,"Multi-instance")</f>
        <v>0</v>
      </c>
      <c r="E32" s="34" t="s">
        <v>825</v>
      </c>
    </row>
    <row r="33" customFormat="false" ht="15" hidden="false" customHeight="false" outlineLevel="0" collapsed="false">
      <c r="A33" s="33" t="s">
        <v>289</v>
      </c>
      <c r="B33" s="32" t="n">
        <v>8</v>
      </c>
      <c r="C33" s="32" t="n">
        <f aca="false">COUNTIFS('All Worker Fields'!E:E,A33,'All Worker Fields'!D:D,"Single instance")</f>
        <v>1</v>
      </c>
      <c r="D33" s="32" t="n">
        <f aca="false">COUNTIFS('All Worker Fields'!E:E,A33,'All Worker Fields'!D:D,"Multi-instance")</f>
        <v>5</v>
      </c>
      <c r="E33" s="34" t="s">
        <v>826</v>
      </c>
    </row>
    <row r="34" customFormat="false" ht="15" hidden="false" customHeight="false" outlineLevel="0" collapsed="false">
      <c r="A34" s="33" t="s">
        <v>827</v>
      </c>
      <c r="B34" s="32" t="n">
        <v>8</v>
      </c>
      <c r="C34" s="32" t="n">
        <f aca="false">COUNTIFS('All Worker Fields'!E:E,A34,'All Worker Fields'!D:D,"Single instance")</f>
        <v>0</v>
      </c>
      <c r="D34" s="32" t="n">
        <f aca="false">COUNTIFS('All Worker Fields'!E:E,A34,'All Worker Fields'!D:D,"Multi-instance")</f>
        <v>8</v>
      </c>
      <c r="E34" s="34" t="s">
        <v>828</v>
      </c>
    </row>
    <row r="35" customFormat="false" ht="15" hidden="false" customHeight="false" outlineLevel="0" collapsed="false">
      <c r="A35" s="33" t="s">
        <v>829</v>
      </c>
      <c r="B35" s="32" t="n">
        <v>8</v>
      </c>
      <c r="C35" s="32" t="n">
        <f aca="false">COUNTIFS('All Worker Fields'!E:E,A35,'All Worker Fields'!D:D,"Single instance")</f>
        <v>2</v>
      </c>
      <c r="D35" s="32" t="n">
        <f aca="false">COUNTIFS('All Worker Fields'!E:E,A35,'All Worker Fields'!D:D,"Multi-instance")</f>
        <v>5</v>
      </c>
      <c r="E35" s="34" t="s">
        <v>830</v>
      </c>
    </row>
    <row r="36" customFormat="false" ht="15" hidden="false" customHeight="false" outlineLevel="0" collapsed="false">
      <c r="A36" s="33" t="s">
        <v>239</v>
      </c>
      <c r="B36" s="32" t="n">
        <v>8</v>
      </c>
      <c r="C36" s="32" t="n">
        <f aca="false">COUNTIFS('All Worker Fields'!E:E,A36,'All Worker Fields'!D:D,"Single instance")</f>
        <v>5</v>
      </c>
      <c r="D36" s="32" t="n">
        <f aca="false">COUNTIFS('All Worker Fields'!E:E,A36,'All Worker Fields'!D:D,"Multi-instance")</f>
        <v>2</v>
      </c>
      <c r="E36" s="34" t="s">
        <v>831</v>
      </c>
    </row>
    <row r="37" customFormat="false" ht="15" hidden="false" customHeight="false" outlineLevel="0" collapsed="false">
      <c r="A37" s="33" t="s">
        <v>832</v>
      </c>
      <c r="B37" s="32" t="n">
        <v>8</v>
      </c>
      <c r="C37" s="32" t="n">
        <f aca="false">COUNTIFS('All Worker Fields'!E:E,A37,'All Worker Fields'!D:D,"Single instance")</f>
        <v>5</v>
      </c>
      <c r="D37" s="32" t="n">
        <f aca="false">COUNTIFS('All Worker Fields'!E:E,A37,'All Worker Fields'!D:D,"Multi-instance")</f>
        <v>3</v>
      </c>
      <c r="E37" s="34" t="s">
        <v>833</v>
      </c>
    </row>
    <row r="38" customFormat="false" ht="15" hidden="false" customHeight="false" outlineLevel="0" collapsed="false">
      <c r="A38" s="33" t="s">
        <v>834</v>
      </c>
      <c r="B38" s="32" t="n">
        <v>8</v>
      </c>
      <c r="C38" s="32" t="n">
        <f aca="false">COUNTIFS('All Worker Fields'!E:E,A38,'All Worker Fields'!D:D,"Single instance")</f>
        <v>7</v>
      </c>
      <c r="D38" s="32" t="n">
        <f aca="false">COUNTIFS('All Worker Fields'!E:E,A38,'All Worker Fields'!D:D,"Multi-instance")</f>
        <v>1</v>
      </c>
      <c r="E38" s="34" t="s">
        <v>835</v>
      </c>
    </row>
    <row r="39" customFormat="false" ht="15" hidden="false" customHeight="false" outlineLevel="0" collapsed="false">
      <c r="A39" s="33" t="s">
        <v>89</v>
      </c>
      <c r="B39" s="32" t="n">
        <v>8</v>
      </c>
      <c r="C39" s="32" t="n">
        <f aca="false">COUNTIFS('All Worker Fields'!E:E,A39,'All Worker Fields'!D:D,"Single instance")</f>
        <v>2</v>
      </c>
      <c r="D39" s="32" t="n">
        <f aca="false">COUNTIFS('All Worker Fields'!E:E,A39,'All Worker Fields'!D:D,"Multi-instance")</f>
        <v>1</v>
      </c>
      <c r="E39" s="34" t="s">
        <v>836</v>
      </c>
    </row>
    <row r="40" customFormat="false" ht="15" hidden="false" customHeight="false" outlineLevel="0" collapsed="false">
      <c r="A40" s="33" t="s">
        <v>837</v>
      </c>
      <c r="B40" s="32" t="n">
        <v>8</v>
      </c>
      <c r="C40" s="32" t="n">
        <f aca="false">COUNTIFS('All Worker Fields'!E:E,A40,'All Worker Fields'!D:D,"Single instance")</f>
        <v>1</v>
      </c>
      <c r="D40" s="32" t="n">
        <f aca="false">COUNTIFS('All Worker Fields'!E:E,A40,'All Worker Fields'!D:D,"Multi-instance")</f>
        <v>7</v>
      </c>
      <c r="E40" s="34" t="s">
        <v>838</v>
      </c>
    </row>
    <row r="41" customFormat="false" ht="15" hidden="false" customHeight="false" outlineLevel="0" collapsed="false">
      <c r="A41" s="33" t="s">
        <v>102</v>
      </c>
      <c r="B41" s="32" t="n">
        <v>8</v>
      </c>
      <c r="C41" s="32" t="n">
        <f aca="false">COUNTIFS('All Worker Fields'!E:E,A41,'All Worker Fields'!D:D,"Single instance")</f>
        <v>4</v>
      </c>
      <c r="D41" s="32" t="n">
        <f aca="false">COUNTIFS('All Worker Fields'!E:E,A41,'All Worker Fields'!D:D,"Multi-instance")</f>
        <v>2</v>
      </c>
      <c r="E41" s="34" t="s">
        <v>839</v>
      </c>
    </row>
    <row r="42" customFormat="false" ht="15" hidden="false" customHeight="false" outlineLevel="0" collapsed="false">
      <c r="A42" s="33" t="s">
        <v>616</v>
      </c>
      <c r="B42" s="32" t="n">
        <v>7</v>
      </c>
      <c r="C42" s="32" t="n">
        <f aca="false">COUNTIFS('All Worker Fields'!E:E,A42,'All Worker Fields'!D:D,"Single instance")</f>
        <v>0</v>
      </c>
      <c r="D42" s="32" t="n">
        <f aca="false">COUNTIFS('All Worker Fields'!E:E,A42,'All Worker Fields'!D:D,"Multi-instance")</f>
        <v>7</v>
      </c>
      <c r="E42" s="34" t="s">
        <v>840</v>
      </c>
    </row>
    <row r="43" customFormat="false" ht="15" hidden="false" customHeight="false" outlineLevel="0" collapsed="false">
      <c r="A43" s="33" t="s">
        <v>841</v>
      </c>
      <c r="B43" s="32" t="n">
        <v>7</v>
      </c>
      <c r="C43" s="32" t="n">
        <f aca="false">COUNTIFS('All Worker Fields'!E:E,A43,'All Worker Fields'!D:D,"Single instance")</f>
        <v>2</v>
      </c>
      <c r="D43" s="32" t="n">
        <f aca="false">COUNTIFS('All Worker Fields'!E:E,A43,'All Worker Fields'!D:D,"Multi-instance")</f>
        <v>5</v>
      </c>
      <c r="E43" s="34" t="s">
        <v>842</v>
      </c>
    </row>
    <row r="44" customFormat="false" ht="15" hidden="false" customHeight="false" outlineLevel="0" collapsed="false">
      <c r="A44" s="33" t="s">
        <v>598</v>
      </c>
      <c r="B44" s="32" t="n">
        <v>7</v>
      </c>
      <c r="C44" s="32" t="n">
        <f aca="false">COUNTIFS('All Worker Fields'!E:E,A44,'All Worker Fields'!D:D,"Single instance")</f>
        <v>0</v>
      </c>
      <c r="D44" s="32" t="n">
        <f aca="false">COUNTIFS('All Worker Fields'!E:E,A44,'All Worker Fields'!D:D,"Multi-instance")</f>
        <v>12</v>
      </c>
      <c r="E44" s="34" t="s">
        <v>843</v>
      </c>
    </row>
    <row r="45" customFormat="false" ht="15" hidden="false" customHeight="false" outlineLevel="0" collapsed="false">
      <c r="A45" s="33" t="s">
        <v>603</v>
      </c>
      <c r="B45" s="32" t="n">
        <v>7</v>
      </c>
      <c r="C45" s="32" t="n">
        <f aca="false">COUNTIFS('All Worker Fields'!E:E,A45,'All Worker Fields'!D:D,"Single instance")</f>
        <v>3</v>
      </c>
      <c r="D45" s="32" t="n">
        <f aca="false">COUNTIFS('All Worker Fields'!E:E,A45,'All Worker Fields'!D:D,"Multi-instance")</f>
        <v>4</v>
      </c>
      <c r="E45" s="34" t="s">
        <v>844</v>
      </c>
    </row>
    <row r="46" customFormat="false" ht="15" hidden="false" customHeight="false" outlineLevel="0" collapsed="false">
      <c r="A46" s="33" t="s">
        <v>845</v>
      </c>
      <c r="B46" s="32" t="n">
        <v>7</v>
      </c>
      <c r="C46" s="32" t="n">
        <f aca="false">COUNTIFS('All Worker Fields'!E:E,A46,'All Worker Fields'!D:D,"Single instance")</f>
        <v>2</v>
      </c>
      <c r="D46" s="32" t="n">
        <f aca="false">COUNTIFS('All Worker Fields'!E:E,A46,'All Worker Fields'!D:D,"Multi-instance")</f>
        <v>5</v>
      </c>
      <c r="E46" s="34" t="s">
        <v>846</v>
      </c>
    </row>
    <row r="47" customFormat="false" ht="15" hidden="false" customHeight="false" outlineLevel="0" collapsed="false">
      <c r="A47" s="33" t="s">
        <v>548</v>
      </c>
      <c r="B47" s="32" t="n">
        <v>7</v>
      </c>
      <c r="C47" s="32" t="n">
        <f aca="false">COUNTIFS('All Worker Fields'!E:E,A47,'All Worker Fields'!D:D,"Single instance")</f>
        <v>1</v>
      </c>
      <c r="D47" s="32" t="n">
        <f aca="false">COUNTIFS('All Worker Fields'!E:E,A47,'All Worker Fields'!D:D,"Multi-instance")</f>
        <v>6</v>
      </c>
      <c r="E47" s="34" t="s">
        <v>847</v>
      </c>
    </row>
    <row r="48" customFormat="false" ht="15" hidden="false" customHeight="false" outlineLevel="0" collapsed="false">
      <c r="A48" s="33" t="s">
        <v>501</v>
      </c>
      <c r="B48" s="32" t="n">
        <v>6</v>
      </c>
      <c r="C48" s="32" t="n">
        <f aca="false">COUNTIFS('All Worker Fields'!E:E,A48,'All Worker Fields'!D:D,"Single instance")</f>
        <v>3</v>
      </c>
      <c r="D48" s="32" t="n">
        <f aca="false">COUNTIFS('All Worker Fields'!E:E,A48,'All Worker Fields'!D:D,"Multi-instance")</f>
        <v>3</v>
      </c>
      <c r="E48" s="34" t="s">
        <v>848</v>
      </c>
    </row>
    <row r="49" customFormat="false" ht="15" hidden="false" customHeight="false" outlineLevel="0" collapsed="false">
      <c r="A49" s="33" t="s">
        <v>106</v>
      </c>
      <c r="B49" s="32" t="n">
        <v>6</v>
      </c>
      <c r="C49" s="32" t="n">
        <f aca="false">COUNTIFS('All Worker Fields'!E:E,A49,'All Worker Fields'!D:D,"Single instance")</f>
        <v>1</v>
      </c>
      <c r="D49" s="32" t="n">
        <f aca="false">COUNTIFS('All Worker Fields'!E:E,A49,'All Worker Fields'!D:D,"Multi-instance")</f>
        <v>5</v>
      </c>
      <c r="E49" s="34" t="s">
        <v>849</v>
      </c>
    </row>
    <row r="50" customFormat="false" ht="15" hidden="false" customHeight="false" outlineLevel="0" collapsed="false">
      <c r="A50" s="33" t="s">
        <v>850</v>
      </c>
      <c r="B50" s="32" t="n">
        <v>6</v>
      </c>
      <c r="C50" s="32" t="n">
        <f aca="false">COUNTIFS('All Worker Fields'!E:E,A50,'All Worker Fields'!D:D,"Single instance")</f>
        <v>0</v>
      </c>
      <c r="D50" s="32" t="n">
        <f aca="false">COUNTIFS('All Worker Fields'!E:E,A50,'All Worker Fields'!D:D,"Multi-instance")</f>
        <v>6</v>
      </c>
      <c r="E50" s="34" t="s">
        <v>851</v>
      </c>
    </row>
    <row r="51" customFormat="false" ht="15" hidden="false" customHeight="false" outlineLevel="0" collapsed="false">
      <c r="A51" s="33" t="s">
        <v>58</v>
      </c>
      <c r="B51" s="32" t="n">
        <v>6</v>
      </c>
      <c r="C51" s="32" t="n">
        <f aca="false">COUNTIFS('All Worker Fields'!E:E,A51,'All Worker Fields'!D:D,"Single instance")</f>
        <v>2</v>
      </c>
      <c r="D51" s="32" t="n">
        <f aca="false">COUNTIFS('All Worker Fields'!E:E,A51,'All Worker Fields'!D:D,"Multi-instance")</f>
        <v>3</v>
      </c>
      <c r="E51" s="34" t="s">
        <v>852</v>
      </c>
    </row>
    <row r="52" customFormat="false" ht="15" hidden="false" customHeight="false" outlineLevel="0" collapsed="false">
      <c r="A52" s="33" t="s">
        <v>853</v>
      </c>
      <c r="B52" s="32" t="n">
        <v>6</v>
      </c>
      <c r="C52" s="32" t="n">
        <f aca="false">COUNTIFS('All Worker Fields'!E:E,A52,'All Worker Fields'!D:D,"Single instance")</f>
        <v>5</v>
      </c>
      <c r="D52" s="32" t="n">
        <f aca="false">COUNTIFS('All Worker Fields'!E:E,A52,'All Worker Fields'!D:D,"Multi-instance")</f>
        <v>0</v>
      </c>
      <c r="E52" s="34" t="s">
        <v>854</v>
      </c>
    </row>
    <row r="53" customFormat="false" ht="15" hidden="false" customHeight="false" outlineLevel="0" collapsed="false">
      <c r="A53" s="33" t="s">
        <v>591</v>
      </c>
      <c r="B53" s="32" t="n">
        <v>6</v>
      </c>
      <c r="C53" s="32" t="n">
        <f aca="false">COUNTIFS('All Worker Fields'!E:E,A53,'All Worker Fields'!D:D,"Single instance")</f>
        <v>0</v>
      </c>
      <c r="D53" s="32" t="n">
        <f aca="false">COUNTIFS('All Worker Fields'!E:E,A53,'All Worker Fields'!D:D,"Multi-instance")</f>
        <v>6</v>
      </c>
      <c r="E53" s="34" t="s">
        <v>855</v>
      </c>
    </row>
    <row r="54" customFormat="false" ht="15" hidden="false" customHeight="false" outlineLevel="0" collapsed="false">
      <c r="A54" s="33" t="s">
        <v>302</v>
      </c>
      <c r="B54" s="32" t="n">
        <v>6</v>
      </c>
      <c r="C54" s="32" t="n">
        <f aca="false">COUNTIFS('All Worker Fields'!E:E,A54,'All Worker Fields'!D:D,"Single instance")</f>
        <v>1</v>
      </c>
      <c r="D54" s="32" t="n">
        <f aca="false">COUNTIFS('All Worker Fields'!E:E,A54,'All Worker Fields'!D:D,"Multi-instance")</f>
        <v>4</v>
      </c>
      <c r="E54" s="34" t="s">
        <v>856</v>
      </c>
    </row>
    <row r="55" customFormat="false" ht="15" hidden="false" customHeight="false" outlineLevel="0" collapsed="false">
      <c r="A55" s="33" t="s">
        <v>857</v>
      </c>
      <c r="B55" s="32" t="n">
        <v>5</v>
      </c>
      <c r="C55" s="32" t="n">
        <f aca="false">COUNTIFS('All Worker Fields'!E:E,A55,'All Worker Fields'!D:D,"Single instance")</f>
        <v>5</v>
      </c>
      <c r="D55" s="32" t="n">
        <f aca="false">COUNTIFS('All Worker Fields'!E:E,A55,'All Worker Fields'!D:D,"Multi-instance")</f>
        <v>0</v>
      </c>
      <c r="E55" s="34" t="s">
        <v>858</v>
      </c>
    </row>
    <row r="56" customFormat="false" ht="15" hidden="false" customHeight="false" outlineLevel="0" collapsed="false">
      <c r="A56" s="33" t="s">
        <v>859</v>
      </c>
      <c r="B56" s="32" t="n">
        <v>5</v>
      </c>
      <c r="C56" s="32" t="n">
        <f aca="false">COUNTIFS('All Worker Fields'!E:E,A56,'All Worker Fields'!D:D,"Single instance")</f>
        <v>3</v>
      </c>
      <c r="D56" s="32" t="n">
        <f aca="false">COUNTIFS('All Worker Fields'!E:E,A56,'All Worker Fields'!D:D,"Multi-instance")</f>
        <v>2</v>
      </c>
      <c r="E56" s="34" t="s">
        <v>860</v>
      </c>
    </row>
    <row r="57" customFormat="false" ht="15" hidden="false" customHeight="false" outlineLevel="0" collapsed="false">
      <c r="A57" s="33" t="s">
        <v>861</v>
      </c>
      <c r="B57" s="32" t="n">
        <v>5</v>
      </c>
      <c r="C57" s="32" t="n">
        <f aca="false">COUNTIFS('All Worker Fields'!E:E,A57,'All Worker Fields'!D:D,"Single instance")</f>
        <v>5</v>
      </c>
      <c r="D57" s="32" t="n">
        <f aca="false">COUNTIFS('All Worker Fields'!E:E,A57,'All Worker Fields'!D:D,"Multi-instance")</f>
        <v>0</v>
      </c>
      <c r="E57" s="34" t="s">
        <v>862</v>
      </c>
    </row>
    <row r="58" customFormat="false" ht="15" hidden="false" customHeight="false" outlineLevel="0" collapsed="false">
      <c r="A58" s="33" t="s">
        <v>863</v>
      </c>
      <c r="B58" s="32" t="n">
        <v>5</v>
      </c>
      <c r="C58" s="32" t="n">
        <f aca="false">COUNTIFS('All Worker Fields'!E:E,A58,'All Worker Fields'!D:D,"Single instance")</f>
        <v>1</v>
      </c>
      <c r="D58" s="32" t="n">
        <f aca="false">COUNTIFS('All Worker Fields'!E:E,A58,'All Worker Fields'!D:D,"Multi-instance")</f>
        <v>4</v>
      </c>
      <c r="E58" s="34" t="s">
        <v>864</v>
      </c>
    </row>
    <row r="59" customFormat="false" ht="15" hidden="false" customHeight="false" outlineLevel="0" collapsed="false">
      <c r="A59" s="33" t="s">
        <v>598</v>
      </c>
      <c r="B59" s="32" t="n">
        <v>5</v>
      </c>
      <c r="C59" s="32" t="n">
        <f aca="false">COUNTIFS('All Worker Fields'!E:E,A59,'All Worker Fields'!D:D,"Single instance")</f>
        <v>0</v>
      </c>
      <c r="D59" s="32" t="n">
        <f aca="false">COUNTIFS('All Worker Fields'!E:E,A59,'All Worker Fields'!D:D,"Multi-instance")</f>
        <v>12</v>
      </c>
      <c r="E59" s="34" t="s">
        <v>843</v>
      </c>
    </row>
    <row r="60" customFormat="false" ht="15" hidden="false" customHeight="false" outlineLevel="0" collapsed="false">
      <c r="A60" s="33" t="s">
        <v>865</v>
      </c>
      <c r="B60" s="32" t="n">
        <v>5</v>
      </c>
      <c r="C60" s="32" t="n">
        <f aca="false">COUNTIFS('All Worker Fields'!E:E,A60,'All Worker Fields'!D:D,"Single instance")</f>
        <v>5</v>
      </c>
      <c r="D60" s="32" t="n">
        <f aca="false">COUNTIFS('All Worker Fields'!E:E,A60,'All Worker Fields'!D:D,"Multi-instance")</f>
        <v>0</v>
      </c>
      <c r="E60" s="34" t="s">
        <v>866</v>
      </c>
    </row>
    <row r="61" customFormat="false" ht="15" hidden="false" customHeight="false" outlineLevel="0" collapsed="false">
      <c r="A61" s="33" t="s">
        <v>297</v>
      </c>
      <c r="B61" s="32" t="n">
        <v>5</v>
      </c>
      <c r="C61" s="32" t="n">
        <f aca="false">COUNTIFS('All Worker Fields'!E:E,A61,'All Worker Fields'!D:D,"Single instance")</f>
        <v>3</v>
      </c>
      <c r="D61" s="32" t="n">
        <f aca="false">COUNTIFS('All Worker Fields'!E:E,A61,'All Worker Fields'!D:D,"Multi-instance")</f>
        <v>1</v>
      </c>
      <c r="E61" s="34" t="s">
        <v>867</v>
      </c>
    </row>
    <row r="62" customFormat="false" ht="15" hidden="false" customHeight="false" outlineLevel="0" collapsed="false">
      <c r="A62" s="33" t="s">
        <v>110</v>
      </c>
      <c r="B62" s="32" t="n">
        <v>5</v>
      </c>
      <c r="C62" s="32" t="n">
        <f aca="false">COUNTIFS('All Worker Fields'!E:E,A62,'All Worker Fields'!D:D,"Single instance")</f>
        <v>1</v>
      </c>
      <c r="D62" s="32" t="n">
        <f aca="false">COUNTIFS('All Worker Fields'!E:E,A62,'All Worker Fields'!D:D,"Multi-instance")</f>
        <v>2</v>
      </c>
      <c r="E62" s="34" t="s">
        <v>868</v>
      </c>
    </row>
    <row r="63" customFormat="false" ht="15" hidden="false" customHeight="false" outlineLevel="0" collapsed="false">
      <c r="A63" s="33" t="s">
        <v>869</v>
      </c>
      <c r="B63" s="32" t="n">
        <v>5</v>
      </c>
      <c r="C63" s="32" t="n">
        <f aca="false">COUNTIFS('All Worker Fields'!E:E,A63,'All Worker Fields'!D:D,"Single instance")</f>
        <v>1</v>
      </c>
      <c r="D63" s="32" t="n">
        <f aca="false">COUNTIFS('All Worker Fields'!E:E,A63,'All Worker Fields'!D:D,"Multi-instance")</f>
        <v>3</v>
      </c>
      <c r="E63" s="34" t="s">
        <v>870</v>
      </c>
    </row>
    <row r="64" customFormat="false" ht="15" hidden="false" customHeight="false" outlineLevel="0" collapsed="false">
      <c r="A64" s="33" t="s">
        <v>386</v>
      </c>
      <c r="B64" s="32" t="n">
        <v>5</v>
      </c>
      <c r="C64" s="32" t="n">
        <f aca="false">COUNTIFS('All Worker Fields'!E:E,A64,'All Worker Fields'!D:D,"Single instance")</f>
        <v>5</v>
      </c>
      <c r="D64" s="32" t="n">
        <f aca="false">COUNTIFS('All Worker Fields'!E:E,A64,'All Worker Fields'!D:D,"Multi-instance")</f>
        <v>0</v>
      </c>
      <c r="E64" s="34" t="s">
        <v>871</v>
      </c>
    </row>
    <row r="65" customFormat="false" ht="15" hidden="false" customHeight="false" outlineLevel="0" collapsed="false">
      <c r="A65" s="33" t="s">
        <v>872</v>
      </c>
      <c r="B65" s="32" t="n">
        <v>5</v>
      </c>
      <c r="C65" s="32" t="n">
        <f aca="false">COUNTIFS('All Worker Fields'!E:E,A65,'All Worker Fields'!D:D,"Single instance")</f>
        <v>3</v>
      </c>
      <c r="D65" s="32" t="n">
        <f aca="false">COUNTIFS('All Worker Fields'!E:E,A65,'All Worker Fields'!D:D,"Multi-instance")</f>
        <v>2</v>
      </c>
      <c r="E65" s="34" t="s">
        <v>873</v>
      </c>
    </row>
    <row r="66" customFormat="false" ht="15" hidden="false" customHeight="false" outlineLevel="0" collapsed="false">
      <c r="A66" s="33" t="s">
        <v>874</v>
      </c>
      <c r="B66" s="32" t="n">
        <v>5</v>
      </c>
      <c r="C66" s="32" t="n">
        <f aca="false">COUNTIFS('All Worker Fields'!E:E,A66,'All Worker Fields'!D:D,"Single instance")</f>
        <v>4</v>
      </c>
      <c r="D66" s="32" t="n">
        <f aca="false">COUNTIFS('All Worker Fields'!E:E,A66,'All Worker Fields'!D:D,"Multi-instance")</f>
        <v>1</v>
      </c>
      <c r="E66" s="34" t="s">
        <v>875</v>
      </c>
    </row>
    <row r="67" customFormat="false" ht="15" hidden="false" customHeight="false" outlineLevel="0" collapsed="false">
      <c r="A67" s="33" t="s">
        <v>876</v>
      </c>
      <c r="B67" s="32" t="n">
        <v>5</v>
      </c>
      <c r="C67" s="32" t="n">
        <f aca="false">COUNTIFS('All Worker Fields'!E:E,A67,'All Worker Fields'!D:D,"Single instance")</f>
        <v>1</v>
      </c>
      <c r="D67" s="32" t="n">
        <f aca="false">COUNTIFS('All Worker Fields'!E:E,A67,'All Worker Fields'!D:D,"Multi-instance")</f>
        <v>4</v>
      </c>
      <c r="E67" s="34" t="s">
        <v>877</v>
      </c>
    </row>
    <row r="68" customFormat="false" ht="15" hidden="false" customHeight="false" outlineLevel="0" collapsed="false">
      <c r="A68" s="33" t="s">
        <v>878</v>
      </c>
      <c r="B68" s="32" t="n">
        <v>5</v>
      </c>
      <c r="C68" s="32" t="n">
        <f aca="false">COUNTIFS('All Worker Fields'!E:E,A68,'All Worker Fields'!D:D,"Single instance")</f>
        <v>0</v>
      </c>
      <c r="D68" s="32" t="n">
        <f aca="false">COUNTIFS('All Worker Fields'!E:E,A68,'All Worker Fields'!D:D,"Multi-instance")</f>
        <v>2</v>
      </c>
      <c r="E68" s="34" t="s">
        <v>879</v>
      </c>
    </row>
    <row r="69" customFormat="false" ht="15" hidden="false" customHeight="false" outlineLevel="0" collapsed="false">
      <c r="A69" s="33" t="s">
        <v>880</v>
      </c>
      <c r="B69" s="32" t="n">
        <v>5</v>
      </c>
      <c r="C69" s="32" t="n">
        <f aca="false">COUNTIFS('All Worker Fields'!E:E,A69,'All Worker Fields'!D:D,"Single instance")</f>
        <v>1</v>
      </c>
      <c r="D69" s="32" t="n">
        <f aca="false">COUNTIFS('All Worker Fields'!E:E,A69,'All Worker Fields'!D:D,"Multi-instance")</f>
        <v>4</v>
      </c>
      <c r="E69" s="34" t="s">
        <v>881</v>
      </c>
    </row>
    <row r="70" customFormat="false" ht="15" hidden="false" customHeight="false" outlineLevel="0" collapsed="false">
      <c r="A70" s="33" t="s">
        <v>758</v>
      </c>
      <c r="B70" s="32" t="n">
        <v>5</v>
      </c>
      <c r="C70" s="32" t="n">
        <f aca="false">COUNTIFS('All Worker Fields'!E:E,A70,'All Worker Fields'!D:D,"Single instance")</f>
        <v>1</v>
      </c>
      <c r="D70" s="32" t="n">
        <f aca="false">COUNTIFS('All Worker Fields'!E:E,A70,'All Worker Fields'!D:D,"Multi-instance")</f>
        <v>2</v>
      </c>
      <c r="E70" s="34" t="s">
        <v>882</v>
      </c>
    </row>
    <row r="71" customFormat="false" ht="15" hidden="false" customHeight="false" outlineLevel="0" collapsed="false">
      <c r="A71" s="33" t="s">
        <v>883</v>
      </c>
      <c r="B71" s="32" t="n">
        <v>5</v>
      </c>
      <c r="C71" s="32" t="n">
        <f aca="false">COUNTIFS('All Worker Fields'!E:E,A71,'All Worker Fields'!D:D,"Single instance")</f>
        <v>5</v>
      </c>
      <c r="D71" s="32" t="n">
        <f aca="false">COUNTIFS('All Worker Fields'!E:E,A71,'All Worker Fields'!D:D,"Multi-instance")</f>
        <v>0</v>
      </c>
      <c r="E71" s="34" t="s">
        <v>884</v>
      </c>
    </row>
    <row r="72" customFormat="false" ht="15" hidden="false" customHeight="false" outlineLevel="0" collapsed="false">
      <c r="A72" s="33" t="s">
        <v>885</v>
      </c>
      <c r="B72" s="32" t="n">
        <v>5</v>
      </c>
      <c r="C72" s="32" t="n">
        <f aca="false">COUNTIFS('All Worker Fields'!E:E,A72,'All Worker Fields'!D:D,"Single instance")</f>
        <v>1</v>
      </c>
      <c r="D72" s="32" t="n">
        <f aca="false">COUNTIFS('All Worker Fields'!E:E,A72,'All Worker Fields'!D:D,"Multi-instance")</f>
        <v>4</v>
      </c>
      <c r="E72" s="34" t="s">
        <v>886</v>
      </c>
    </row>
    <row r="73" customFormat="false" ht="15" hidden="false" customHeight="false" outlineLevel="0" collapsed="false">
      <c r="A73" s="33" t="s">
        <v>569</v>
      </c>
      <c r="B73" s="32" t="n">
        <v>5</v>
      </c>
      <c r="C73" s="32" t="n">
        <f aca="false">COUNTIFS('All Worker Fields'!E:E,A73,'All Worker Fields'!D:D,"Single instance")</f>
        <v>5</v>
      </c>
      <c r="D73" s="32" t="n">
        <f aca="false">COUNTIFS('All Worker Fields'!E:E,A73,'All Worker Fields'!D:D,"Multi-instance")</f>
        <v>0</v>
      </c>
      <c r="E73" s="34" t="s">
        <v>887</v>
      </c>
    </row>
    <row r="74" customFormat="false" ht="15" hidden="false" customHeight="false" outlineLevel="0" collapsed="false">
      <c r="A74" s="33" t="s">
        <v>888</v>
      </c>
      <c r="B74" s="32" t="n">
        <v>5</v>
      </c>
      <c r="C74" s="32" t="n">
        <f aca="false">COUNTIFS('All Worker Fields'!E:E,A74,'All Worker Fields'!D:D,"Single instance")</f>
        <v>3</v>
      </c>
      <c r="D74" s="32" t="n">
        <f aca="false">COUNTIFS('All Worker Fields'!E:E,A74,'All Worker Fields'!D:D,"Multi-instance")</f>
        <v>2</v>
      </c>
      <c r="E74" s="34" t="s">
        <v>889</v>
      </c>
    </row>
    <row r="75" customFormat="false" ht="15" hidden="false" customHeight="false" outlineLevel="0" collapsed="false">
      <c r="A75" s="33" t="s">
        <v>890</v>
      </c>
      <c r="B75" s="32" t="n">
        <v>5</v>
      </c>
      <c r="C75" s="32" t="n">
        <f aca="false">COUNTIFS('All Worker Fields'!E:E,A75,'All Worker Fields'!D:D,"Single instance")</f>
        <v>0</v>
      </c>
      <c r="D75" s="32" t="n">
        <f aca="false">COUNTIFS('All Worker Fields'!E:E,A75,'All Worker Fields'!D:D,"Multi-instance")</f>
        <v>5</v>
      </c>
      <c r="E75" s="34" t="s">
        <v>891</v>
      </c>
    </row>
    <row r="76" customFormat="false" ht="15" hidden="false" customHeight="false" outlineLevel="0" collapsed="false">
      <c r="A76" s="33" t="s">
        <v>892</v>
      </c>
      <c r="B76" s="32" t="n">
        <v>5</v>
      </c>
      <c r="C76" s="32" t="n">
        <f aca="false">COUNTIFS('All Worker Fields'!E:E,A76,'All Worker Fields'!D:D,"Single instance")</f>
        <v>1</v>
      </c>
      <c r="D76" s="32" t="n">
        <f aca="false">COUNTIFS('All Worker Fields'!E:E,A76,'All Worker Fields'!D:D,"Multi-instance")</f>
        <v>4</v>
      </c>
      <c r="E76" s="34" t="s">
        <v>893</v>
      </c>
    </row>
    <row r="77" customFormat="false" ht="15" hidden="false" customHeight="false" outlineLevel="0" collapsed="false">
      <c r="A77" s="33" t="s">
        <v>894</v>
      </c>
      <c r="B77" s="32" t="n">
        <v>5</v>
      </c>
      <c r="C77" s="32" t="n">
        <f aca="false">COUNTIFS('All Worker Fields'!E:E,A77,'All Worker Fields'!D:D,"Single instance")</f>
        <v>0</v>
      </c>
      <c r="D77" s="32" t="n">
        <f aca="false">COUNTIFS('All Worker Fields'!E:E,A77,'All Worker Fields'!D:D,"Multi-instance")</f>
        <v>4</v>
      </c>
      <c r="E77" s="34" t="s">
        <v>895</v>
      </c>
    </row>
    <row r="78" customFormat="false" ht="15" hidden="false" customHeight="false" outlineLevel="0" collapsed="false">
      <c r="A78" s="33" t="s">
        <v>587</v>
      </c>
      <c r="B78" s="32" t="n">
        <v>5</v>
      </c>
      <c r="C78" s="32" t="n">
        <f aca="false">COUNTIFS('All Worker Fields'!E:E,A78,'All Worker Fields'!D:D,"Single instance")</f>
        <v>0</v>
      </c>
      <c r="D78" s="32" t="n">
        <f aca="false">COUNTIFS('All Worker Fields'!E:E,A78,'All Worker Fields'!D:D,"Multi-instance")</f>
        <v>5</v>
      </c>
      <c r="E78" s="34" t="s">
        <v>896</v>
      </c>
    </row>
    <row r="79" customFormat="false" ht="15" hidden="false" customHeight="false" outlineLevel="0" collapsed="false">
      <c r="A79" s="33" t="s">
        <v>897</v>
      </c>
      <c r="B79" s="32" t="n">
        <v>5</v>
      </c>
      <c r="C79" s="32" t="n">
        <f aca="false">COUNTIFS('All Worker Fields'!E:E,A79,'All Worker Fields'!D:D,"Single instance")</f>
        <v>0</v>
      </c>
      <c r="D79" s="32" t="n">
        <f aca="false">COUNTIFS('All Worker Fields'!E:E,A79,'All Worker Fields'!D:D,"Multi-instance")</f>
        <v>4</v>
      </c>
      <c r="E79" s="34" t="s">
        <v>898</v>
      </c>
    </row>
    <row r="80" customFormat="false" ht="15" hidden="false" customHeight="false" outlineLevel="0" collapsed="false">
      <c r="A80" s="33" t="s">
        <v>899</v>
      </c>
      <c r="B80" s="32" t="n">
        <v>4</v>
      </c>
      <c r="C80" s="32" t="n">
        <f aca="false">COUNTIFS('All Worker Fields'!E:E,A80,'All Worker Fields'!D:D,"Single instance")</f>
        <v>1</v>
      </c>
      <c r="D80" s="32" t="n">
        <f aca="false">COUNTIFS('All Worker Fields'!E:E,A80,'All Worker Fields'!D:D,"Multi-instance")</f>
        <v>3</v>
      </c>
      <c r="E80" s="34" t="s">
        <v>900</v>
      </c>
    </row>
    <row r="81" customFormat="false" ht="15" hidden="false" customHeight="false" outlineLevel="0" collapsed="false">
      <c r="A81" s="33" t="s">
        <v>901</v>
      </c>
      <c r="B81" s="32" t="n">
        <v>4</v>
      </c>
      <c r="C81" s="32" t="n">
        <f aca="false">COUNTIFS('All Worker Fields'!E:E,A81,'All Worker Fields'!D:D,"Single instance")</f>
        <v>0</v>
      </c>
      <c r="D81" s="32" t="n">
        <f aca="false">COUNTIFS('All Worker Fields'!E:E,A81,'All Worker Fields'!D:D,"Multi-instance")</f>
        <v>2</v>
      </c>
      <c r="E81" s="34" t="s">
        <v>902</v>
      </c>
    </row>
    <row r="82" customFormat="false" ht="15" hidden="false" customHeight="false" outlineLevel="0" collapsed="false">
      <c r="A82" s="33" t="s">
        <v>903</v>
      </c>
      <c r="B82" s="32" t="n">
        <v>4</v>
      </c>
      <c r="C82" s="32" t="n">
        <f aca="false">COUNTIFS('All Worker Fields'!E:E,A82,'All Worker Fields'!D:D,"Single instance")</f>
        <v>1</v>
      </c>
      <c r="D82" s="32" t="n">
        <f aca="false">COUNTIFS('All Worker Fields'!E:E,A82,'All Worker Fields'!D:D,"Multi-instance")</f>
        <v>3</v>
      </c>
      <c r="E82" s="34" t="s">
        <v>904</v>
      </c>
    </row>
    <row r="83" customFormat="false" ht="15" hidden="false" customHeight="false" outlineLevel="0" collapsed="false">
      <c r="A83" s="33" t="s">
        <v>905</v>
      </c>
      <c r="B83" s="32" t="n">
        <v>4</v>
      </c>
      <c r="C83" s="32" t="n">
        <f aca="false">COUNTIFS('All Worker Fields'!E:E,A83,'All Worker Fields'!D:D,"Single instance")</f>
        <v>0</v>
      </c>
      <c r="D83" s="32" t="n">
        <f aca="false">COUNTIFS('All Worker Fields'!E:E,A83,'All Worker Fields'!D:D,"Multi-instance")</f>
        <v>4</v>
      </c>
      <c r="E83" s="34" t="s">
        <v>906</v>
      </c>
    </row>
    <row r="84" customFormat="false" ht="15" hidden="false" customHeight="false" outlineLevel="0" collapsed="false">
      <c r="A84" s="33" t="s">
        <v>907</v>
      </c>
      <c r="B84" s="32" t="n">
        <v>4</v>
      </c>
      <c r="C84" s="32" t="n">
        <f aca="false">COUNTIFS('All Worker Fields'!E:E,A84,'All Worker Fields'!D:D,"Single instance")</f>
        <v>0</v>
      </c>
      <c r="D84" s="32" t="n">
        <f aca="false">COUNTIFS('All Worker Fields'!E:E,A84,'All Worker Fields'!D:D,"Multi-instance")</f>
        <v>4</v>
      </c>
      <c r="E84" s="34" t="s">
        <v>908</v>
      </c>
    </row>
    <row r="85" customFormat="false" ht="15" hidden="false" customHeight="false" outlineLevel="0" collapsed="false">
      <c r="A85" s="33" t="s">
        <v>909</v>
      </c>
      <c r="B85" s="32" t="n">
        <v>4</v>
      </c>
      <c r="C85" s="32" t="n">
        <f aca="false">COUNTIFS('All Worker Fields'!E:E,A85,'All Worker Fields'!D:D,"Single instance")</f>
        <v>0</v>
      </c>
      <c r="D85" s="32" t="n">
        <f aca="false">COUNTIFS('All Worker Fields'!E:E,A85,'All Worker Fields'!D:D,"Multi-instance")</f>
        <v>0</v>
      </c>
      <c r="E85" s="34"/>
    </row>
    <row r="86" customFormat="false" ht="15" hidden="false" customHeight="false" outlineLevel="0" collapsed="false">
      <c r="A86" s="33" t="s">
        <v>436</v>
      </c>
      <c r="B86" s="32" t="n">
        <v>4</v>
      </c>
      <c r="C86" s="32" t="n">
        <f aca="false">COUNTIFS('All Worker Fields'!E:E,A86,'All Worker Fields'!D:D,"Single instance")</f>
        <v>2</v>
      </c>
      <c r="D86" s="32" t="n">
        <f aca="false">COUNTIFS('All Worker Fields'!E:E,A86,'All Worker Fields'!D:D,"Multi-instance")</f>
        <v>1</v>
      </c>
      <c r="E86" s="34" t="s">
        <v>910</v>
      </c>
    </row>
    <row r="87" customFormat="false" ht="15" hidden="false" customHeight="false" outlineLevel="0" collapsed="false">
      <c r="A87" s="33" t="s">
        <v>413</v>
      </c>
      <c r="B87" s="32" t="n">
        <v>4</v>
      </c>
      <c r="C87" s="32" t="n">
        <f aca="false">COUNTIFS('All Worker Fields'!E:E,A87,'All Worker Fields'!D:D,"Single instance")</f>
        <v>1</v>
      </c>
      <c r="D87" s="32" t="n">
        <f aca="false">COUNTIFS('All Worker Fields'!E:E,A87,'All Worker Fields'!D:D,"Multi-instance")</f>
        <v>3</v>
      </c>
      <c r="E87" s="34" t="s">
        <v>911</v>
      </c>
    </row>
    <row r="88" customFormat="false" ht="15" hidden="false" customHeight="false" outlineLevel="0" collapsed="false">
      <c r="A88" s="33" t="s">
        <v>912</v>
      </c>
      <c r="B88" s="32" t="n">
        <v>4</v>
      </c>
      <c r="C88" s="32" t="n">
        <f aca="false">COUNTIFS('All Worker Fields'!E:E,A88,'All Worker Fields'!D:D,"Single instance")</f>
        <v>0</v>
      </c>
      <c r="D88" s="32" t="n">
        <f aca="false">COUNTIFS('All Worker Fields'!E:E,A88,'All Worker Fields'!D:D,"Multi-instance")</f>
        <v>4</v>
      </c>
      <c r="E88" s="34" t="s">
        <v>913</v>
      </c>
    </row>
    <row r="89" customFormat="false" ht="15" hidden="false" customHeight="false" outlineLevel="0" collapsed="false">
      <c r="A89" s="33" t="s">
        <v>914</v>
      </c>
      <c r="B89" s="32" t="n">
        <v>4</v>
      </c>
      <c r="C89" s="32" t="n">
        <f aca="false">COUNTIFS('All Worker Fields'!E:E,A89,'All Worker Fields'!D:D,"Single instance")</f>
        <v>3</v>
      </c>
      <c r="D89" s="32" t="n">
        <f aca="false">COUNTIFS('All Worker Fields'!E:E,A89,'All Worker Fields'!D:D,"Multi-instance")</f>
        <v>1</v>
      </c>
      <c r="E89" s="34" t="s">
        <v>915</v>
      </c>
    </row>
    <row r="90" customFormat="false" ht="15" hidden="false" customHeight="false" outlineLevel="0" collapsed="false">
      <c r="A90" s="33" t="s">
        <v>916</v>
      </c>
      <c r="B90" s="32" t="n">
        <v>4</v>
      </c>
      <c r="C90" s="32" t="n">
        <f aca="false">COUNTIFS('All Worker Fields'!E:E,A90,'All Worker Fields'!D:D,"Single instance")</f>
        <v>0</v>
      </c>
      <c r="D90" s="32" t="n">
        <f aca="false">COUNTIFS('All Worker Fields'!E:E,A90,'All Worker Fields'!D:D,"Multi-instance")</f>
        <v>4</v>
      </c>
      <c r="E90" s="34" t="s">
        <v>917</v>
      </c>
    </row>
    <row r="91" customFormat="false" ht="15" hidden="false" customHeight="false" outlineLevel="0" collapsed="false">
      <c r="A91" s="33" t="s">
        <v>918</v>
      </c>
      <c r="B91" s="32" t="n">
        <v>4</v>
      </c>
      <c r="C91" s="32" t="n">
        <f aca="false">COUNTIFS('All Worker Fields'!E:E,A91,'All Worker Fields'!D:D,"Single instance")</f>
        <v>0</v>
      </c>
      <c r="D91" s="32" t="n">
        <f aca="false">COUNTIFS('All Worker Fields'!E:E,A91,'All Worker Fields'!D:D,"Multi-instance")</f>
        <v>3</v>
      </c>
      <c r="E91" s="34" t="s">
        <v>919</v>
      </c>
    </row>
    <row r="92" customFormat="false" ht="15" hidden="false" customHeight="false" outlineLevel="0" collapsed="false">
      <c r="A92" s="33" t="s">
        <v>920</v>
      </c>
      <c r="B92" s="32" t="n">
        <v>4</v>
      </c>
      <c r="C92" s="32" t="n">
        <f aca="false">COUNTIFS('All Worker Fields'!E:E,A92,'All Worker Fields'!D:D,"Single instance")</f>
        <v>0</v>
      </c>
      <c r="D92" s="32" t="n">
        <f aca="false">COUNTIFS('All Worker Fields'!E:E,A92,'All Worker Fields'!D:D,"Multi-instance")</f>
        <v>4</v>
      </c>
      <c r="E92" s="34" t="s">
        <v>921</v>
      </c>
    </row>
    <row r="93" customFormat="false" ht="15" hidden="false" customHeight="false" outlineLevel="0" collapsed="false">
      <c r="A93" s="33" t="s">
        <v>756</v>
      </c>
      <c r="B93" s="32" t="n">
        <v>4</v>
      </c>
      <c r="C93" s="32" t="n">
        <f aca="false">COUNTIFS('All Worker Fields'!E:E,A93,'All Worker Fields'!D:D,"Single instance")</f>
        <v>3</v>
      </c>
      <c r="D93" s="32" t="n">
        <f aca="false">COUNTIFS('All Worker Fields'!E:E,A93,'All Worker Fields'!D:D,"Multi-instance")</f>
        <v>0</v>
      </c>
      <c r="E93" s="34" t="s">
        <v>922</v>
      </c>
    </row>
    <row r="94" customFormat="false" ht="15" hidden="false" customHeight="false" outlineLevel="0" collapsed="false">
      <c r="A94" s="33" t="s">
        <v>923</v>
      </c>
      <c r="B94" s="32" t="n">
        <v>4</v>
      </c>
      <c r="C94" s="32" t="n">
        <f aca="false">COUNTIFS('All Worker Fields'!E:E,A94,'All Worker Fields'!D:D,"Single instance")</f>
        <v>4</v>
      </c>
      <c r="D94" s="32" t="n">
        <f aca="false">COUNTIFS('All Worker Fields'!E:E,A94,'All Worker Fields'!D:D,"Multi-instance")</f>
        <v>0</v>
      </c>
      <c r="E94" s="34" t="s">
        <v>924</v>
      </c>
    </row>
    <row r="95" customFormat="false" ht="15" hidden="false" customHeight="false" outlineLevel="0" collapsed="false">
      <c r="A95" s="33" t="s">
        <v>925</v>
      </c>
      <c r="B95" s="32" t="n">
        <v>4</v>
      </c>
      <c r="C95" s="32" t="n">
        <f aca="false">COUNTIFS('All Worker Fields'!E:E,A95,'All Worker Fields'!D:D,"Single instance")</f>
        <v>0</v>
      </c>
      <c r="D95" s="32" t="n">
        <f aca="false">COUNTIFS('All Worker Fields'!E:E,A95,'All Worker Fields'!D:D,"Multi-instance")</f>
        <v>4</v>
      </c>
      <c r="E95" s="34" t="s">
        <v>926</v>
      </c>
    </row>
    <row r="96" customFormat="false" ht="15" hidden="false" customHeight="false" outlineLevel="0" collapsed="false">
      <c r="A96" s="33" t="s">
        <v>530</v>
      </c>
      <c r="B96" s="32" t="n">
        <v>4</v>
      </c>
      <c r="C96" s="32" t="n">
        <f aca="false">COUNTIFS('All Worker Fields'!E:E,A96,'All Worker Fields'!D:D,"Single instance")</f>
        <v>0</v>
      </c>
      <c r="D96" s="32" t="n">
        <f aca="false">COUNTIFS('All Worker Fields'!E:E,A96,'All Worker Fields'!D:D,"Multi-instance")</f>
        <v>4</v>
      </c>
      <c r="E96" s="34" t="s">
        <v>927</v>
      </c>
    </row>
    <row r="97" customFormat="false" ht="15" hidden="false" customHeight="false" outlineLevel="0" collapsed="false">
      <c r="A97" s="33" t="s">
        <v>323</v>
      </c>
      <c r="B97" s="32" t="n">
        <v>4</v>
      </c>
      <c r="C97" s="32" t="n">
        <f aca="false">COUNTIFS('All Worker Fields'!E:E,A97,'All Worker Fields'!D:D,"Single instance")</f>
        <v>0</v>
      </c>
      <c r="D97" s="32" t="n">
        <f aca="false">COUNTIFS('All Worker Fields'!E:E,A97,'All Worker Fields'!D:D,"Multi-instance")</f>
        <v>3</v>
      </c>
      <c r="E97" s="34" t="s">
        <v>928</v>
      </c>
    </row>
    <row r="98" customFormat="false" ht="15" hidden="false" customHeight="false" outlineLevel="0" collapsed="false">
      <c r="A98" s="33" t="s">
        <v>306</v>
      </c>
      <c r="B98" s="32" t="n">
        <v>4</v>
      </c>
      <c r="C98" s="32" t="n">
        <f aca="false">COUNTIFS('All Worker Fields'!E:E,A98,'All Worker Fields'!D:D,"Single instance")</f>
        <v>0</v>
      </c>
      <c r="D98" s="32" t="n">
        <f aca="false">COUNTIFS('All Worker Fields'!E:E,A98,'All Worker Fields'!D:D,"Multi-instance")</f>
        <v>4</v>
      </c>
      <c r="E98" s="34" t="s">
        <v>929</v>
      </c>
    </row>
    <row r="99" customFormat="false" ht="15" hidden="false" customHeight="false" outlineLevel="0" collapsed="false">
      <c r="A99" s="33" t="s">
        <v>930</v>
      </c>
      <c r="B99" s="32" t="n">
        <v>4</v>
      </c>
      <c r="C99" s="32" t="n">
        <f aca="false">COUNTIFS('All Worker Fields'!E:E,A99,'All Worker Fields'!D:D,"Single instance")</f>
        <v>2</v>
      </c>
      <c r="D99" s="32" t="n">
        <f aca="false">COUNTIFS('All Worker Fields'!E:E,A99,'All Worker Fields'!D:D,"Multi-instance")</f>
        <v>2</v>
      </c>
      <c r="E99" s="34" t="s">
        <v>931</v>
      </c>
    </row>
    <row r="100" customFormat="false" ht="15" hidden="false" customHeight="false" outlineLevel="0" collapsed="false">
      <c r="A100" s="33" t="s">
        <v>932</v>
      </c>
      <c r="B100" s="32" t="n">
        <v>4</v>
      </c>
      <c r="C100" s="32" t="n">
        <f aca="false">COUNTIFS('All Worker Fields'!E:E,A100,'All Worker Fields'!D:D,"Single instance")</f>
        <v>3</v>
      </c>
      <c r="D100" s="32" t="n">
        <f aca="false">COUNTIFS('All Worker Fields'!E:E,A100,'All Worker Fields'!D:D,"Multi-instance")</f>
        <v>1</v>
      </c>
      <c r="E100" s="34" t="s">
        <v>933</v>
      </c>
    </row>
    <row r="101" customFormat="false" ht="15" hidden="false" customHeight="false" outlineLevel="0" collapsed="false">
      <c r="A101" s="33" t="s">
        <v>934</v>
      </c>
      <c r="B101" s="32" t="n">
        <v>4</v>
      </c>
      <c r="C101" s="32" t="n">
        <f aca="false">COUNTIFS('All Worker Fields'!E:E,A101,'All Worker Fields'!D:D,"Single instance")</f>
        <v>1</v>
      </c>
      <c r="D101" s="32" t="n">
        <f aca="false">COUNTIFS('All Worker Fields'!E:E,A101,'All Worker Fields'!D:D,"Multi-instance")</f>
        <v>3</v>
      </c>
      <c r="E101" s="34" t="s">
        <v>935</v>
      </c>
    </row>
    <row r="102" customFormat="false" ht="15" hidden="false" customHeight="false" outlineLevel="0" collapsed="false">
      <c r="A102" s="33" t="s">
        <v>936</v>
      </c>
      <c r="B102" s="32" t="n">
        <v>4</v>
      </c>
      <c r="C102" s="32" t="n">
        <f aca="false">COUNTIFS('All Worker Fields'!E:E,A102,'All Worker Fields'!D:D,"Single instance")</f>
        <v>1</v>
      </c>
      <c r="D102" s="32" t="n">
        <f aca="false">COUNTIFS('All Worker Fields'!E:E,A102,'All Worker Fields'!D:D,"Multi-instance")</f>
        <v>3</v>
      </c>
      <c r="E102" s="34" t="s">
        <v>937</v>
      </c>
    </row>
    <row r="103" customFormat="false" ht="15" hidden="false" customHeight="false" outlineLevel="0" collapsed="false">
      <c r="A103" s="33" t="s">
        <v>938</v>
      </c>
      <c r="B103" s="32" t="n">
        <v>4</v>
      </c>
      <c r="C103" s="32" t="n">
        <f aca="false">COUNTIFS('All Worker Fields'!E:E,A103,'All Worker Fields'!D:D,"Single instance")</f>
        <v>2</v>
      </c>
      <c r="D103" s="32" t="n">
        <f aca="false">COUNTIFS('All Worker Fields'!E:E,A103,'All Worker Fields'!D:D,"Multi-instance")</f>
        <v>1</v>
      </c>
      <c r="E103" s="34" t="s">
        <v>939</v>
      </c>
    </row>
    <row r="104" customFormat="false" ht="15" hidden="false" customHeight="false" outlineLevel="0" collapsed="false">
      <c r="A104" s="33" t="s">
        <v>940</v>
      </c>
      <c r="B104" s="32" t="n">
        <v>4</v>
      </c>
      <c r="C104" s="32" t="n">
        <f aca="false">COUNTIFS('All Worker Fields'!E:E,A104,'All Worker Fields'!D:D,"Single instance")</f>
        <v>1</v>
      </c>
      <c r="D104" s="32" t="n">
        <f aca="false">COUNTIFS('All Worker Fields'!E:E,A104,'All Worker Fields'!D:D,"Multi-instance")</f>
        <v>2</v>
      </c>
      <c r="E104" s="34" t="s">
        <v>941</v>
      </c>
    </row>
    <row r="105" customFormat="false" ht="15" hidden="false" customHeight="false" outlineLevel="0" collapsed="false">
      <c r="A105" s="33" t="s">
        <v>942</v>
      </c>
      <c r="B105" s="32" t="n">
        <v>4</v>
      </c>
      <c r="C105" s="32" t="n">
        <f aca="false">COUNTIFS('All Worker Fields'!E:E,A105,'All Worker Fields'!D:D,"Single instance")</f>
        <v>0</v>
      </c>
      <c r="D105" s="32" t="n">
        <f aca="false">COUNTIFS('All Worker Fields'!E:E,A105,'All Worker Fields'!D:D,"Multi-instance")</f>
        <v>4</v>
      </c>
      <c r="E105" s="34" t="s">
        <v>943</v>
      </c>
    </row>
    <row r="106" customFormat="false" ht="15" hidden="false" customHeight="false" outlineLevel="0" collapsed="false">
      <c r="A106" s="33" t="s">
        <v>944</v>
      </c>
      <c r="B106" s="32" t="n">
        <v>4</v>
      </c>
      <c r="C106" s="32" t="n">
        <f aca="false">COUNTIFS('All Worker Fields'!E:E,A106,'All Worker Fields'!D:D,"Single instance")</f>
        <v>0</v>
      </c>
      <c r="D106" s="32" t="n">
        <f aca="false">COUNTIFS('All Worker Fields'!E:E,A106,'All Worker Fields'!D:D,"Multi-instance")</f>
        <v>4</v>
      </c>
      <c r="E106" s="34" t="s">
        <v>945</v>
      </c>
    </row>
    <row r="107" customFormat="false" ht="15" hidden="false" customHeight="false" outlineLevel="0" collapsed="false">
      <c r="A107" s="33" t="s">
        <v>946</v>
      </c>
      <c r="B107" s="32" t="n">
        <v>4</v>
      </c>
      <c r="C107" s="32" t="n">
        <f aca="false">COUNTIFS('All Worker Fields'!E:E,A107,'All Worker Fields'!D:D,"Single instance")</f>
        <v>4</v>
      </c>
      <c r="D107" s="32" t="n">
        <f aca="false">COUNTIFS('All Worker Fields'!E:E,A107,'All Worker Fields'!D:D,"Multi-instance")</f>
        <v>0</v>
      </c>
      <c r="E107" s="34" t="s">
        <v>947</v>
      </c>
    </row>
    <row r="108" customFormat="false" ht="15" hidden="false" customHeight="false" outlineLevel="0" collapsed="false">
      <c r="A108" s="33" t="s">
        <v>948</v>
      </c>
      <c r="B108" s="32" t="n">
        <v>4</v>
      </c>
      <c r="C108" s="32" t="n">
        <f aca="false">COUNTIFS('All Worker Fields'!E:E,A108,'All Worker Fields'!D:D,"Single instance")</f>
        <v>4</v>
      </c>
      <c r="D108" s="32" t="n">
        <f aca="false">COUNTIFS('All Worker Fields'!E:E,A108,'All Worker Fields'!D:D,"Multi-instance")</f>
        <v>0</v>
      </c>
      <c r="E108" s="34" t="s">
        <v>949</v>
      </c>
    </row>
    <row r="109" customFormat="false" ht="15" hidden="false" customHeight="false" outlineLevel="0" collapsed="false">
      <c r="A109" s="33" t="s">
        <v>136</v>
      </c>
      <c r="B109" s="32" t="n">
        <v>4</v>
      </c>
      <c r="C109" s="32" t="n">
        <f aca="false">COUNTIFS('All Worker Fields'!E:E,A109,'All Worker Fields'!D:D,"Single instance")</f>
        <v>1</v>
      </c>
      <c r="D109" s="32" t="n">
        <f aca="false">COUNTIFS('All Worker Fields'!E:E,A109,'All Worker Fields'!D:D,"Multi-instance")</f>
        <v>2</v>
      </c>
      <c r="E109" s="34" t="s">
        <v>950</v>
      </c>
    </row>
    <row r="110" customFormat="false" ht="15" hidden="false" customHeight="false" outlineLevel="0" collapsed="false">
      <c r="A110" s="33" t="s">
        <v>951</v>
      </c>
      <c r="B110" s="32" t="n">
        <v>4</v>
      </c>
      <c r="C110" s="32" t="n">
        <f aca="false">COUNTIFS('All Worker Fields'!E:E,A110,'All Worker Fields'!D:D,"Single instance")</f>
        <v>2</v>
      </c>
      <c r="D110" s="32" t="n">
        <f aca="false">COUNTIFS('All Worker Fields'!E:E,A110,'All Worker Fields'!D:D,"Multi-instance")</f>
        <v>1</v>
      </c>
      <c r="E110" s="34" t="s">
        <v>952</v>
      </c>
    </row>
    <row r="111" customFormat="false" ht="15" hidden="false" customHeight="false" outlineLevel="0" collapsed="false">
      <c r="A111" s="33" t="s">
        <v>953</v>
      </c>
      <c r="B111" s="32" t="n">
        <v>4</v>
      </c>
      <c r="C111" s="32" t="n">
        <f aca="false">COUNTIFS('All Worker Fields'!E:E,A111,'All Worker Fields'!D:D,"Single instance")</f>
        <v>2</v>
      </c>
      <c r="D111" s="32" t="n">
        <f aca="false">COUNTIFS('All Worker Fields'!E:E,A111,'All Worker Fields'!D:D,"Multi-instance")</f>
        <v>1</v>
      </c>
      <c r="E111" s="34" t="s">
        <v>954</v>
      </c>
    </row>
    <row r="112" customFormat="false" ht="15" hidden="false" customHeight="false" outlineLevel="0" collapsed="false">
      <c r="A112" s="33" t="s">
        <v>83</v>
      </c>
      <c r="B112" s="32" t="n">
        <v>4</v>
      </c>
      <c r="C112" s="32" t="n">
        <f aca="false">COUNTIFS('All Worker Fields'!E:E,A112,'All Worker Fields'!D:D,"Single instance")</f>
        <v>2</v>
      </c>
      <c r="D112" s="32" t="n">
        <f aca="false">COUNTIFS('All Worker Fields'!E:E,A112,'All Worker Fields'!D:D,"Multi-instance")</f>
        <v>2</v>
      </c>
      <c r="E112" s="34" t="s">
        <v>955</v>
      </c>
    </row>
    <row r="113" customFormat="false" ht="15" hidden="false" customHeight="false" outlineLevel="0" collapsed="false">
      <c r="A113" s="33" t="s">
        <v>956</v>
      </c>
      <c r="B113" s="32" t="n">
        <v>3</v>
      </c>
      <c r="C113" s="32" t="n">
        <f aca="false">COUNTIFS('All Worker Fields'!E:E,A113,'All Worker Fields'!D:D,"Single instance")</f>
        <v>0</v>
      </c>
      <c r="D113" s="32" t="n">
        <f aca="false">COUNTIFS('All Worker Fields'!E:E,A113,'All Worker Fields'!D:D,"Multi-instance")</f>
        <v>3</v>
      </c>
      <c r="E113" s="34" t="s">
        <v>957</v>
      </c>
    </row>
    <row r="114" customFormat="false" ht="15" hidden="false" customHeight="false" outlineLevel="0" collapsed="false">
      <c r="A114" s="33" t="s">
        <v>958</v>
      </c>
      <c r="B114" s="32" t="n">
        <v>3</v>
      </c>
      <c r="C114" s="32" t="n">
        <f aca="false">COUNTIFS('All Worker Fields'!E:E,A114,'All Worker Fields'!D:D,"Single instance")</f>
        <v>0</v>
      </c>
      <c r="D114" s="32" t="n">
        <f aca="false">COUNTIFS('All Worker Fields'!E:E,A114,'All Worker Fields'!D:D,"Multi-instance")</f>
        <v>3</v>
      </c>
      <c r="E114" s="34" t="s">
        <v>959</v>
      </c>
    </row>
    <row r="115" customFormat="false" ht="15" hidden="false" customHeight="false" outlineLevel="0" collapsed="false">
      <c r="A115" s="33" t="s">
        <v>729</v>
      </c>
      <c r="B115" s="32" t="n">
        <v>3</v>
      </c>
      <c r="C115" s="32" t="n">
        <f aca="false">COUNTIFS('All Worker Fields'!E:E,A115,'All Worker Fields'!D:D,"Single instance")</f>
        <v>0</v>
      </c>
      <c r="D115" s="32" t="n">
        <f aca="false">COUNTIFS('All Worker Fields'!E:E,A115,'All Worker Fields'!D:D,"Multi-instance")</f>
        <v>3</v>
      </c>
      <c r="E115" s="34" t="s">
        <v>960</v>
      </c>
    </row>
    <row r="116" customFormat="false" ht="15" hidden="false" customHeight="false" outlineLevel="0" collapsed="false">
      <c r="A116" s="33" t="s">
        <v>961</v>
      </c>
      <c r="B116" s="32" t="n">
        <v>3</v>
      </c>
      <c r="C116" s="32" t="n">
        <f aca="false">COUNTIFS('All Worker Fields'!E:E,A116,'All Worker Fields'!D:D,"Single instance")</f>
        <v>0</v>
      </c>
      <c r="D116" s="32" t="n">
        <f aca="false">COUNTIFS('All Worker Fields'!E:E,A116,'All Worker Fields'!D:D,"Multi-instance")</f>
        <v>3</v>
      </c>
      <c r="E116" s="34" t="s">
        <v>962</v>
      </c>
    </row>
    <row r="117" customFormat="false" ht="15" hidden="false" customHeight="false" outlineLevel="0" collapsed="false">
      <c r="A117" s="33" t="s">
        <v>696</v>
      </c>
      <c r="B117" s="32" t="n">
        <v>3</v>
      </c>
      <c r="C117" s="32" t="n">
        <f aca="false">COUNTIFS('All Worker Fields'!E:E,A117,'All Worker Fields'!D:D,"Single instance")</f>
        <v>1</v>
      </c>
      <c r="D117" s="32" t="n">
        <f aca="false">COUNTIFS('All Worker Fields'!E:E,A117,'All Worker Fields'!D:D,"Multi-instance")</f>
        <v>1</v>
      </c>
      <c r="E117" s="34" t="s">
        <v>963</v>
      </c>
    </row>
    <row r="118" customFormat="false" ht="15" hidden="false" customHeight="false" outlineLevel="0" collapsed="false">
      <c r="A118" s="33" t="s">
        <v>439</v>
      </c>
      <c r="B118" s="32" t="n">
        <v>3</v>
      </c>
      <c r="C118" s="32" t="n">
        <f aca="false">COUNTIFS('All Worker Fields'!E:E,A118,'All Worker Fields'!D:D,"Single instance")</f>
        <v>2</v>
      </c>
      <c r="D118" s="32" t="n">
        <f aca="false">COUNTIFS('All Worker Fields'!E:E,A118,'All Worker Fields'!D:D,"Multi-instance")</f>
        <v>1</v>
      </c>
      <c r="E118" s="34" t="s">
        <v>964</v>
      </c>
    </row>
    <row r="119" customFormat="false" ht="15" hidden="false" customHeight="false" outlineLevel="0" collapsed="false">
      <c r="A119" s="33" t="s">
        <v>965</v>
      </c>
      <c r="B119" s="32" t="n">
        <v>3</v>
      </c>
      <c r="C119" s="32" t="n">
        <f aca="false">COUNTIFS('All Worker Fields'!E:E,A119,'All Worker Fields'!D:D,"Single instance")</f>
        <v>3</v>
      </c>
      <c r="D119" s="32" t="n">
        <f aca="false">COUNTIFS('All Worker Fields'!E:E,A119,'All Worker Fields'!D:D,"Multi-instance")</f>
        <v>0</v>
      </c>
      <c r="E119" s="34" t="s">
        <v>966</v>
      </c>
    </row>
    <row r="120" customFormat="false" ht="15" hidden="false" customHeight="false" outlineLevel="0" collapsed="false">
      <c r="A120" s="33" t="s">
        <v>967</v>
      </c>
      <c r="B120" s="32" t="n">
        <v>3</v>
      </c>
      <c r="C120" s="32" t="n">
        <f aca="false">COUNTIFS('All Worker Fields'!E:E,A120,'All Worker Fields'!D:D,"Single instance")</f>
        <v>1</v>
      </c>
      <c r="D120" s="32" t="n">
        <f aca="false">COUNTIFS('All Worker Fields'!E:E,A120,'All Worker Fields'!D:D,"Multi-instance")</f>
        <v>4</v>
      </c>
      <c r="E120" s="34" t="s">
        <v>968</v>
      </c>
    </row>
    <row r="121" customFormat="false" ht="15" hidden="false" customHeight="false" outlineLevel="0" collapsed="false">
      <c r="A121" s="33" t="s">
        <v>969</v>
      </c>
      <c r="B121" s="32" t="n">
        <v>3</v>
      </c>
      <c r="C121" s="32" t="n">
        <f aca="false">COUNTIFS('All Worker Fields'!E:E,A121,'All Worker Fields'!D:D,"Single instance")</f>
        <v>0</v>
      </c>
      <c r="D121" s="32" t="n">
        <f aca="false">COUNTIFS('All Worker Fields'!E:E,A121,'All Worker Fields'!D:D,"Multi-instance")</f>
        <v>3</v>
      </c>
      <c r="E121" s="34" t="s">
        <v>970</v>
      </c>
    </row>
    <row r="122" customFormat="false" ht="15" hidden="false" customHeight="false" outlineLevel="0" collapsed="false">
      <c r="A122" s="33" t="s">
        <v>971</v>
      </c>
      <c r="B122" s="32" t="n">
        <v>3</v>
      </c>
      <c r="C122" s="32" t="n">
        <f aca="false">COUNTIFS('All Worker Fields'!E:E,A122,'All Worker Fields'!D:D,"Single instance")</f>
        <v>1</v>
      </c>
      <c r="D122" s="32" t="n">
        <f aca="false">COUNTIFS('All Worker Fields'!E:E,A122,'All Worker Fields'!D:D,"Multi-instance")</f>
        <v>1</v>
      </c>
      <c r="E122" s="34" t="s">
        <v>972</v>
      </c>
    </row>
    <row r="123" customFormat="false" ht="15" hidden="false" customHeight="false" outlineLevel="0" collapsed="false">
      <c r="A123" s="33" t="s">
        <v>973</v>
      </c>
      <c r="B123" s="32" t="n">
        <v>3</v>
      </c>
      <c r="C123" s="32" t="n">
        <f aca="false">COUNTIFS('All Worker Fields'!E:E,A123,'All Worker Fields'!D:D,"Single instance")</f>
        <v>1</v>
      </c>
      <c r="D123" s="32" t="n">
        <f aca="false">COUNTIFS('All Worker Fields'!E:E,A123,'All Worker Fields'!D:D,"Multi-instance")</f>
        <v>2</v>
      </c>
      <c r="E123" s="34" t="s">
        <v>974</v>
      </c>
    </row>
    <row r="124" customFormat="false" ht="15" hidden="false" customHeight="false" outlineLevel="0" collapsed="false">
      <c r="A124" s="33" t="s">
        <v>719</v>
      </c>
      <c r="B124" s="32" t="n">
        <v>3</v>
      </c>
      <c r="C124" s="32" t="n">
        <f aca="false">COUNTIFS('All Worker Fields'!E:E,A124,'All Worker Fields'!D:D,"Single instance")</f>
        <v>1</v>
      </c>
      <c r="D124" s="32" t="n">
        <f aca="false">COUNTIFS('All Worker Fields'!E:E,A124,'All Worker Fields'!D:D,"Multi-instance")</f>
        <v>2</v>
      </c>
      <c r="E124" s="34" t="s">
        <v>975</v>
      </c>
    </row>
    <row r="125" customFormat="false" ht="15" hidden="false" customHeight="false" outlineLevel="0" collapsed="false">
      <c r="A125" s="33" t="s">
        <v>976</v>
      </c>
      <c r="B125" s="32" t="n">
        <v>3</v>
      </c>
      <c r="C125" s="32" t="n">
        <f aca="false">COUNTIFS('All Worker Fields'!E:E,A125,'All Worker Fields'!D:D,"Single instance")</f>
        <v>0</v>
      </c>
      <c r="D125" s="32" t="n">
        <f aca="false">COUNTIFS('All Worker Fields'!E:E,A125,'All Worker Fields'!D:D,"Multi-instance")</f>
        <v>3</v>
      </c>
      <c r="E125" s="34" t="s">
        <v>977</v>
      </c>
    </row>
    <row r="126" customFormat="false" ht="15" hidden="false" customHeight="false" outlineLevel="0" collapsed="false">
      <c r="A126" s="33" t="s">
        <v>978</v>
      </c>
      <c r="B126" s="32" t="n">
        <v>3</v>
      </c>
      <c r="C126" s="32" t="n">
        <f aca="false">COUNTIFS('All Worker Fields'!E:E,A126,'All Worker Fields'!D:D,"Single instance")</f>
        <v>2</v>
      </c>
      <c r="D126" s="32" t="n">
        <f aca="false">COUNTIFS('All Worker Fields'!E:E,A126,'All Worker Fields'!D:D,"Multi-instance")</f>
        <v>1</v>
      </c>
      <c r="E126" s="34" t="s">
        <v>979</v>
      </c>
    </row>
    <row r="127" customFormat="false" ht="15" hidden="false" customHeight="false" outlineLevel="0" collapsed="false">
      <c r="A127" s="33" t="s">
        <v>980</v>
      </c>
      <c r="B127" s="32" t="n">
        <v>3</v>
      </c>
      <c r="C127" s="32" t="n">
        <f aca="false">COUNTIFS('All Worker Fields'!E:E,A127,'All Worker Fields'!D:D,"Single instance")</f>
        <v>2</v>
      </c>
      <c r="D127" s="32" t="n">
        <f aca="false">COUNTIFS('All Worker Fields'!E:E,A127,'All Worker Fields'!D:D,"Multi-instance")</f>
        <v>1</v>
      </c>
      <c r="E127" s="34" t="s">
        <v>981</v>
      </c>
    </row>
    <row r="128" customFormat="false" ht="15" hidden="false" customHeight="false" outlineLevel="0" collapsed="false">
      <c r="A128" s="33" t="s">
        <v>393</v>
      </c>
      <c r="B128" s="32" t="n">
        <v>3</v>
      </c>
      <c r="C128" s="32" t="n">
        <f aca="false">COUNTIFS('All Worker Fields'!E:E,A128,'All Worker Fields'!D:D,"Single instance")</f>
        <v>1</v>
      </c>
      <c r="D128" s="32" t="n">
        <f aca="false">COUNTIFS('All Worker Fields'!E:E,A128,'All Worker Fields'!D:D,"Multi-instance")</f>
        <v>1</v>
      </c>
      <c r="E128" s="34" t="s">
        <v>982</v>
      </c>
    </row>
    <row r="129" customFormat="false" ht="15" hidden="false" customHeight="false" outlineLevel="0" collapsed="false">
      <c r="A129" s="33" t="s">
        <v>983</v>
      </c>
      <c r="B129" s="32" t="n">
        <v>3</v>
      </c>
      <c r="C129" s="32" t="n">
        <f aca="false">COUNTIFS('All Worker Fields'!E:E,A129,'All Worker Fields'!D:D,"Single instance")</f>
        <v>0</v>
      </c>
      <c r="D129" s="32" t="n">
        <f aca="false">COUNTIFS('All Worker Fields'!E:E,A129,'All Worker Fields'!D:D,"Multi-instance")</f>
        <v>1</v>
      </c>
      <c r="E129" s="34" t="s">
        <v>984</v>
      </c>
    </row>
    <row r="130" customFormat="false" ht="15" hidden="false" customHeight="false" outlineLevel="0" collapsed="false">
      <c r="A130" s="33" t="s">
        <v>985</v>
      </c>
      <c r="B130" s="32" t="n">
        <v>3</v>
      </c>
      <c r="C130" s="32" t="n">
        <f aca="false">COUNTIFS('All Worker Fields'!E:E,A130,'All Worker Fields'!D:D,"Single instance")</f>
        <v>2</v>
      </c>
      <c r="D130" s="32" t="n">
        <f aca="false">COUNTIFS('All Worker Fields'!E:E,A130,'All Worker Fields'!D:D,"Multi-instance")</f>
        <v>1</v>
      </c>
      <c r="E130" s="34" t="s">
        <v>986</v>
      </c>
    </row>
    <row r="131" customFormat="false" ht="15" hidden="false" customHeight="false" outlineLevel="0" collapsed="false">
      <c r="A131" s="33" t="s">
        <v>987</v>
      </c>
      <c r="B131" s="32" t="n">
        <v>3</v>
      </c>
      <c r="C131" s="32" t="n">
        <f aca="false">COUNTIFS('All Worker Fields'!E:E,A131,'All Worker Fields'!D:D,"Single instance")</f>
        <v>0</v>
      </c>
      <c r="D131" s="32" t="n">
        <f aca="false">COUNTIFS('All Worker Fields'!E:E,A131,'All Worker Fields'!D:D,"Multi-instance")</f>
        <v>3</v>
      </c>
      <c r="E131" s="34" t="s">
        <v>988</v>
      </c>
    </row>
    <row r="132" customFormat="false" ht="15" hidden="false" customHeight="false" outlineLevel="0" collapsed="false">
      <c r="A132" s="33" t="s">
        <v>989</v>
      </c>
      <c r="B132" s="32" t="n">
        <v>3</v>
      </c>
      <c r="C132" s="32" t="n">
        <f aca="false">COUNTIFS('All Worker Fields'!E:E,A132,'All Worker Fields'!D:D,"Single instance")</f>
        <v>0</v>
      </c>
      <c r="D132" s="32" t="n">
        <f aca="false">COUNTIFS('All Worker Fields'!E:E,A132,'All Worker Fields'!D:D,"Multi-instance")</f>
        <v>3</v>
      </c>
      <c r="E132" s="34" t="s">
        <v>990</v>
      </c>
    </row>
    <row r="133" customFormat="false" ht="15" hidden="false" customHeight="false" outlineLevel="0" collapsed="false">
      <c r="A133" s="33" t="s">
        <v>991</v>
      </c>
      <c r="B133" s="32" t="n">
        <v>3</v>
      </c>
      <c r="C133" s="32" t="n">
        <f aca="false">COUNTIFS('All Worker Fields'!E:E,A133,'All Worker Fields'!D:D,"Single instance")</f>
        <v>3</v>
      </c>
      <c r="D133" s="32" t="n">
        <f aca="false">COUNTIFS('All Worker Fields'!E:E,A133,'All Worker Fields'!D:D,"Multi-instance")</f>
        <v>0</v>
      </c>
      <c r="E133" s="34" t="s">
        <v>992</v>
      </c>
    </row>
    <row r="134" customFormat="false" ht="15" hidden="false" customHeight="false" outlineLevel="0" collapsed="false">
      <c r="A134" s="33" t="s">
        <v>993</v>
      </c>
      <c r="B134" s="32" t="n">
        <v>3</v>
      </c>
      <c r="C134" s="32" t="n">
        <f aca="false">COUNTIFS('All Worker Fields'!E:E,A134,'All Worker Fields'!D:D,"Single instance")</f>
        <v>0</v>
      </c>
      <c r="D134" s="32" t="n">
        <f aca="false">COUNTIFS('All Worker Fields'!E:E,A134,'All Worker Fields'!D:D,"Multi-instance")</f>
        <v>3</v>
      </c>
      <c r="E134" s="34" t="s">
        <v>994</v>
      </c>
    </row>
    <row r="135" customFormat="false" ht="15" hidden="false" customHeight="false" outlineLevel="0" collapsed="false">
      <c r="A135" s="33" t="s">
        <v>623</v>
      </c>
      <c r="B135" s="32" t="n">
        <v>3</v>
      </c>
      <c r="C135" s="32" t="n">
        <f aca="false">COUNTIFS('All Worker Fields'!E:E,A135,'All Worker Fields'!D:D,"Single instance")</f>
        <v>0</v>
      </c>
      <c r="D135" s="32" t="n">
        <f aca="false">COUNTIFS('All Worker Fields'!E:E,A135,'All Worker Fields'!D:D,"Multi-instance")</f>
        <v>3</v>
      </c>
      <c r="E135" s="34" t="s">
        <v>995</v>
      </c>
    </row>
    <row r="136" customFormat="false" ht="15" hidden="false" customHeight="false" outlineLevel="0" collapsed="false">
      <c r="A136" s="33" t="s">
        <v>606</v>
      </c>
      <c r="B136" s="32" t="n">
        <v>3</v>
      </c>
      <c r="C136" s="32" t="n">
        <f aca="false">COUNTIFS('All Worker Fields'!E:E,A136,'All Worker Fields'!D:D,"Single instance")</f>
        <v>0</v>
      </c>
      <c r="D136" s="32" t="n">
        <f aca="false">COUNTIFS('All Worker Fields'!E:E,A136,'All Worker Fields'!D:D,"Multi-instance")</f>
        <v>3</v>
      </c>
      <c r="E136" s="34" t="s">
        <v>996</v>
      </c>
    </row>
    <row r="137" customFormat="false" ht="15" hidden="false" customHeight="false" outlineLevel="0" collapsed="false">
      <c r="A137" s="33" t="s">
        <v>997</v>
      </c>
      <c r="B137" s="32" t="n">
        <v>3</v>
      </c>
      <c r="C137" s="32" t="n">
        <f aca="false">COUNTIFS('All Worker Fields'!E:E,A137,'All Worker Fields'!D:D,"Single instance")</f>
        <v>0</v>
      </c>
      <c r="D137" s="32" t="n">
        <f aca="false">COUNTIFS('All Worker Fields'!E:E,A137,'All Worker Fields'!D:D,"Multi-instance")</f>
        <v>3</v>
      </c>
      <c r="E137" s="34" t="s">
        <v>998</v>
      </c>
    </row>
    <row r="138" customFormat="false" ht="15" hidden="false" customHeight="false" outlineLevel="0" collapsed="false">
      <c r="A138" s="33" t="s">
        <v>999</v>
      </c>
      <c r="B138" s="32" t="n">
        <v>3</v>
      </c>
      <c r="C138" s="32" t="n">
        <f aca="false">COUNTIFS('All Worker Fields'!E:E,A138,'All Worker Fields'!D:D,"Single instance")</f>
        <v>2</v>
      </c>
      <c r="D138" s="32" t="n">
        <f aca="false">COUNTIFS('All Worker Fields'!E:E,A138,'All Worker Fields'!D:D,"Multi-instance")</f>
        <v>1</v>
      </c>
      <c r="E138" s="34" t="s">
        <v>1000</v>
      </c>
    </row>
    <row r="139" customFormat="false" ht="15" hidden="false" customHeight="false" outlineLevel="0" collapsed="false">
      <c r="A139" s="33" t="s">
        <v>139</v>
      </c>
      <c r="B139" s="32" t="n">
        <v>3</v>
      </c>
      <c r="C139" s="32" t="n">
        <f aca="false">COUNTIFS('All Worker Fields'!E:E,A139,'All Worker Fields'!D:D,"Single instance")</f>
        <v>1</v>
      </c>
      <c r="D139" s="32" t="n">
        <f aca="false">COUNTIFS('All Worker Fields'!E:E,A139,'All Worker Fields'!D:D,"Multi-instance")</f>
        <v>1</v>
      </c>
      <c r="E139" s="34" t="s">
        <v>1001</v>
      </c>
    </row>
    <row r="140" customFormat="false" ht="15" hidden="false" customHeight="false" outlineLevel="0" collapsed="false">
      <c r="A140" s="33" t="s">
        <v>1002</v>
      </c>
      <c r="B140" s="32" t="n">
        <v>3</v>
      </c>
      <c r="C140" s="32" t="n">
        <f aca="false">COUNTIFS('All Worker Fields'!E:E,A140,'All Worker Fields'!D:D,"Single instance")</f>
        <v>3</v>
      </c>
      <c r="D140" s="32" t="n">
        <f aca="false">COUNTIFS('All Worker Fields'!E:E,A140,'All Worker Fields'!D:D,"Multi-instance")</f>
        <v>0</v>
      </c>
      <c r="E140" s="34" t="s">
        <v>1003</v>
      </c>
    </row>
    <row r="141" customFormat="false" ht="15" hidden="false" customHeight="false" outlineLevel="0" collapsed="false">
      <c r="A141" s="33" t="s">
        <v>1004</v>
      </c>
      <c r="B141" s="32" t="n">
        <v>3</v>
      </c>
      <c r="C141" s="32" t="n">
        <f aca="false">COUNTIFS('All Worker Fields'!E:E,A141,'All Worker Fields'!D:D,"Single instance")</f>
        <v>2</v>
      </c>
      <c r="D141" s="32" t="n">
        <f aca="false">COUNTIFS('All Worker Fields'!E:E,A141,'All Worker Fields'!D:D,"Multi-instance")</f>
        <v>1</v>
      </c>
      <c r="E141" s="34" t="s">
        <v>1005</v>
      </c>
    </row>
    <row r="142" customFormat="false" ht="15" hidden="false" customHeight="false" outlineLevel="0" collapsed="false">
      <c r="A142" s="33" t="s">
        <v>1006</v>
      </c>
      <c r="B142" s="32" t="n">
        <v>3</v>
      </c>
      <c r="C142" s="32" t="n">
        <f aca="false">COUNTIFS('All Worker Fields'!E:E,A142,'All Worker Fields'!D:D,"Single instance")</f>
        <v>2</v>
      </c>
      <c r="D142" s="32" t="n">
        <f aca="false">COUNTIFS('All Worker Fields'!E:E,A142,'All Worker Fields'!D:D,"Multi-instance")</f>
        <v>1</v>
      </c>
      <c r="E142" s="34" t="s">
        <v>1007</v>
      </c>
    </row>
    <row r="143" customFormat="false" ht="15" hidden="false" customHeight="false" outlineLevel="0" collapsed="false">
      <c r="A143" s="33" t="s">
        <v>1008</v>
      </c>
      <c r="B143" s="32" t="n">
        <v>3</v>
      </c>
      <c r="C143" s="32" t="n">
        <f aca="false">COUNTIFS('All Worker Fields'!E:E,A143,'All Worker Fields'!D:D,"Single instance")</f>
        <v>2</v>
      </c>
      <c r="D143" s="32" t="n">
        <f aca="false">COUNTIFS('All Worker Fields'!E:E,A143,'All Worker Fields'!D:D,"Multi-instance")</f>
        <v>1</v>
      </c>
      <c r="E143" s="34" t="s">
        <v>1009</v>
      </c>
    </row>
    <row r="144" customFormat="false" ht="15" hidden="false" customHeight="false" outlineLevel="0" collapsed="false">
      <c r="A144" s="33" t="s">
        <v>1010</v>
      </c>
      <c r="B144" s="32" t="n">
        <v>3</v>
      </c>
      <c r="C144" s="32" t="n">
        <f aca="false">COUNTIFS('All Worker Fields'!E:E,A144,'All Worker Fields'!D:D,"Single instance")</f>
        <v>2</v>
      </c>
      <c r="D144" s="32" t="n">
        <f aca="false">COUNTIFS('All Worker Fields'!E:E,A144,'All Worker Fields'!D:D,"Multi-instance")</f>
        <v>1</v>
      </c>
      <c r="E144" s="34" t="s">
        <v>1011</v>
      </c>
    </row>
    <row r="145" customFormat="false" ht="15" hidden="false" customHeight="false" outlineLevel="0" collapsed="false">
      <c r="A145" s="33" t="s">
        <v>1012</v>
      </c>
      <c r="B145" s="32" t="n">
        <v>3</v>
      </c>
      <c r="C145" s="32" t="n">
        <f aca="false">COUNTIFS('All Worker Fields'!E:E,A145,'All Worker Fields'!D:D,"Single instance")</f>
        <v>0</v>
      </c>
      <c r="D145" s="32" t="n">
        <f aca="false">COUNTIFS('All Worker Fields'!E:E,A145,'All Worker Fields'!D:D,"Multi-instance")</f>
        <v>0</v>
      </c>
      <c r="E145" s="34"/>
    </row>
    <row r="146" customFormat="false" ht="15" hidden="false" customHeight="false" outlineLevel="0" collapsed="false">
      <c r="A146" s="33" t="s">
        <v>689</v>
      </c>
      <c r="B146" s="32" t="n">
        <v>3</v>
      </c>
      <c r="C146" s="32" t="n">
        <f aca="false">COUNTIFS('All Worker Fields'!E:E,A146,'All Worker Fields'!D:D,"Single instance")</f>
        <v>0</v>
      </c>
      <c r="D146" s="32" t="n">
        <f aca="false">COUNTIFS('All Worker Fields'!E:E,A146,'All Worker Fields'!D:D,"Multi-instance")</f>
        <v>2</v>
      </c>
      <c r="E146" s="34" t="s">
        <v>1013</v>
      </c>
    </row>
    <row r="147" customFormat="false" ht="15" hidden="false" customHeight="false" outlineLevel="0" collapsed="false">
      <c r="A147" s="33" t="s">
        <v>1014</v>
      </c>
      <c r="B147" s="32" t="n">
        <v>3</v>
      </c>
      <c r="C147" s="32" t="n">
        <f aca="false">COUNTIFS('All Worker Fields'!E:E,A147,'All Worker Fields'!D:D,"Single instance")</f>
        <v>0</v>
      </c>
      <c r="D147" s="32" t="n">
        <f aca="false">COUNTIFS('All Worker Fields'!E:E,A147,'All Worker Fields'!D:D,"Multi-instance")</f>
        <v>3</v>
      </c>
      <c r="E147" s="34" t="s">
        <v>1015</v>
      </c>
    </row>
    <row r="148" customFormat="false" ht="15" hidden="false" customHeight="false" outlineLevel="0" collapsed="false">
      <c r="A148" s="33" t="s">
        <v>1016</v>
      </c>
      <c r="B148" s="32" t="n">
        <v>3</v>
      </c>
      <c r="C148" s="32" t="n">
        <f aca="false">COUNTIFS('All Worker Fields'!E:E,A148,'All Worker Fields'!D:D,"Single instance")</f>
        <v>0</v>
      </c>
      <c r="D148" s="32" t="n">
        <f aca="false">COUNTIFS('All Worker Fields'!E:E,A148,'All Worker Fields'!D:D,"Multi-instance")</f>
        <v>2</v>
      </c>
      <c r="E148" s="34" t="s">
        <v>1017</v>
      </c>
    </row>
    <row r="149" customFormat="false" ht="15" hidden="false" customHeight="false" outlineLevel="0" collapsed="false">
      <c r="A149" s="33" t="s">
        <v>397</v>
      </c>
      <c r="B149" s="32" t="n">
        <v>3</v>
      </c>
      <c r="C149" s="32" t="n">
        <f aca="false">COUNTIFS('All Worker Fields'!E:E,A149,'All Worker Fields'!D:D,"Single instance")</f>
        <v>1</v>
      </c>
      <c r="D149" s="32" t="n">
        <f aca="false">COUNTIFS('All Worker Fields'!E:E,A149,'All Worker Fields'!D:D,"Multi-instance")</f>
        <v>1</v>
      </c>
      <c r="E149" s="34" t="s">
        <v>1018</v>
      </c>
    </row>
    <row r="150" customFormat="false" ht="15" hidden="false" customHeight="false" outlineLevel="0" collapsed="false">
      <c r="A150" s="33" t="s">
        <v>1019</v>
      </c>
      <c r="B150" s="32" t="n">
        <v>3</v>
      </c>
      <c r="C150" s="32" t="n">
        <f aca="false">COUNTIFS('All Worker Fields'!E:E,A150,'All Worker Fields'!D:D,"Single instance")</f>
        <v>1</v>
      </c>
      <c r="D150" s="32" t="n">
        <f aca="false">COUNTIFS('All Worker Fields'!E:E,A150,'All Worker Fields'!D:D,"Multi-instance")</f>
        <v>2</v>
      </c>
      <c r="E150" s="34" t="s">
        <v>1020</v>
      </c>
    </row>
    <row r="151" customFormat="false" ht="15" hidden="false" customHeight="false" outlineLevel="0" collapsed="false">
      <c r="A151" s="33" t="s">
        <v>1021</v>
      </c>
      <c r="B151" s="32" t="n">
        <v>3</v>
      </c>
      <c r="C151" s="32" t="n">
        <f aca="false">COUNTIFS('All Worker Fields'!E:E,A151,'All Worker Fields'!D:D,"Single instance")</f>
        <v>2</v>
      </c>
      <c r="D151" s="32" t="n">
        <f aca="false">COUNTIFS('All Worker Fields'!E:E,A151,'All Worker Fields'!D:D,"Multi-instance")</f>
        <v>1</v>
      </c>
      <c r="E151" s="34" t="s">
        <v>1022</v>
      </c>
    </row>
    <row r="152" customFormat="false" ht="15" hidden="false" customHeight="false" outlineLevel="0" collapsed="false">
      <c r="A152" s="33" t="s">
        <v>1023</v>
      </c>
      <c r="B152" s="32" t="n">
        <v>3</v>
      </c>
      <c r="C152" s="32" t="n">
        <f aca="false">COUNTIFS('All Worker Fields'!E:E,A152,'All Worker Fields'!D:D,"Single instance")</f>
        <v>1</v>
      </c>
      <c r="D152" s="32" t="n">
        <f aca="false">COUNTIFS('All Worker Fields'!E:E,A152,'All Worker Fields'!D:D,"Multi-instance")</f>
        <v>1</v>
      </c>
      <c r="E152" s="34" t="s">
        <v>1024</v>
      </c>
    </row>
    <row r="153" customFormat="false" ht="15" hidden="false" customHeight="false" outlineLevel="0" collapsed="false">
      <c r="A153" s="33" t="s">
        <v>1025</v>
      </c>
      <c r="B153" s="32" t="n">
        <v>3</v>
      </c>
      <c r="C153" s="32" t="n">
        <f aca="false">COUNTIFS('All Worker Fields'!E:E,A153,'All Worker Fields'!D:D,"Single instance")</f>
        <v>0</v>
      </c>
      <c r="D153" s="32" t="n">
        <f aca="false">COUNTIFS('All Worker Fields'!E:E,A153,'All Worker Fields'!D:D,"Multi-instance")</f>
        <v>3</v>
      </c>
      <c r="E153" s="34" t="s">
        <v>1026</v>
      </c>
    </row>
    <row r="154" customFormat="false" ht="15" hidden="false" customHeight="false" outlineLevel="0" collapsed="false">
      <c r="A154" s="33" t="s">
        <v>1027</v>
      </c>
      <c r="B154" s="32" t="n">
        <v>3</v>
      </c>
      <c r="C154" s="32" t="n">
        <f aca="false">COUNTIFS('All Worker Fields'!E:E,A154,'All Worker Fields'!D:D,"Single instance")</f>
        <v>0</v>
      </c>
      <c r="D154" s="32" t="n">
        <f aca="false">COUNTIFS('All Worker Fields'!E:E,A154,'All Worker Fields'!D:D,"Multi-instance")</f>
        <v>3</v>
      </c>
      <c r="E154" s="34" t="s">
        <v>1028</v>
      </c>
    </row>
    <row r="155" customFormat="false" ht="15" hidden="false" customHeight="false" outlineLevel="0" collapsed="false">
      <c r="A155" s="33" t="s">
        <v>1029</v>
      </c>
      <c r="B155" s="32" t="n">
        <v>3</v>
      </c>
      <c r="C155" s="32" t="n">
        <f aca="false">COUNTIFS('All Worker Fields'!E:E,A155,'All Worker Fields'!D:D,"Single instance")</f>
        <v>0</v>
      </c>
      <c r="D155" s="32" t="n">
        <f aca="false">COUNTIFS('All Worker Fields'!E:E,A155,'All Worker Fields'!D:D,"Multi-instance")</f>
        <v>2</v>
      </c>
      <c r="E155" s="34" t="s">
        <v>1030</v>
      </c>
    </row>
    <row r="156" customFormat="false" ht="15" hidden="false" customHeight="false" outlineLevel="0" collapsed="false">
      <c r="A156" s="33" t="s">
        <v>1031</v>
      </c>
      <c r="B156" s="32" t="n">
        <v>3</v>
      </c>
      <c r="C156" s="32" t="n">
        <f aca="false">COUNTIFS('All Worker Fields'!E:E,A156,'All Worker Fields'!D:D,"Single instance")</f>
        <v>0</v>
      </c>
      <c r="D156" s="32" t="n">
        <f aca="false">COUNTIFS('All Worker Fields'!E:E,A156,'All Worker Fields'!D:D,"Multi-instance")</f>
        <v>3</v>
      </c>
      <c r="E156" s="34" t="s">
        <v>1032</v>
      </c>
    </row>
    <row r="157" customFormat="false" ht="15" hidden="false" customHeight="false" outlineLevel="0" collapsed="false">
      <c r="A157" s="33" t="s">
        <v>1033</v>
      </c>
      <c r="B157" s="32" t="n">
        <v>3</v>
      </c>
      <c r="C157" s="32" t="n">
        <f aca="false">COUNTIFS('All Worker Fields'!E:E,A157,'All Worker Fields'!D:D,"Single instance")</f>
        <v>0</v>
      </c>
      <c r="D157" s="32" t="n">
        <f aca="false">COUNTIFS('All Worker Fields'!E:E,A157,'All Worker Fields'!D:D,"Multi-instance")</f>
        <v>3</v>
      </c>
      <c r="E157" s="34" t="s">
        <v>1034</v>
      </c>
    </row>
    <row r="158" customFormat="false" ht="15" hidden="false" customHeight="false" outlineLevel="0" collapsed="false">
      <c r="A158" s="33" t="s">
        <v>1035</v>
      </c>
      <c r="B158" s="32" t="n">
        <v>3</v>
      </c>
      <c r="C158" s="32" t="n">
        <f aca="false">COUNTIFS('All Worker Fields'!E:E,A158,'All Worker Fields'!D:D,"Single instance")</f>
        <v>2</v>
      </c>
      <c r="D158" s="32" t="n">
        <f aca="false">COUNTIFS('All Worker Fields'!E:E,A158,'All Worker Fields'!D:D,"Multi-instance")</f>
        <v>0</v>
      </c>
      <c r="E158" s="34" t="s">
        <v>1036</v>
      </c>
    </row>
    <row r="159" customFormat="false" ht="15" hidden="false" customHeight="false" outlineLevel="0" collapsed="false">
      <c r="A159" s="33" t="s">
        <v>1037</v>
      </c>
      <c r="B159" s="32" t="n">
        <v>3</v>
      </c>
      <c r="C159" s="32" t="n">
        <f aca="false">COUNTIFS('All Worker Fields'!E:E,A159,'All Worker Fields'!D:D,"Single instance")</f>
        <v>0</v>
      </c>
      <c r="D159" s="32" t="n">
        <f aca="false">COUNTIFS('All Worker Fields'!E:E,A159,'All Worker Fields'!D:D,"Multi-instance")</f>
        <v>3</v>
      </c>
      <c r="E159" s="34" t="s">
        <v>1038</v>
      </c>
    </row>
    <row r="160" customFormat="false" ht="15" hidden="false" customHeight="false" outlineLevel="0" collapsed="false">
      <c r="A160" s="33" t="s">
        <v>1039</v>
      </c>
      <c r="B160" s="32" t="n">
        <v>3</v>
      </c>
      <c r="C160" s="32" t="n">
        <f aca="false">COUNTIFS('All Worker Fields'!E:E,A160,'All Worker Fields'!D:D,"Single instance")</f>
        <v>0</v>
      </c>
      <c r="D160" s="32" t="n">
        <f aca="false">COUNTIFS('All Worker Fields'!E:E,A160,'All Worker Fields'!D:D,"Multi-instance")</f>
        <v>3</v>
      </c>
      <c r="E160" s="34" t="s">
        <v>1040</v>
      </c>
    </row>
    <row r="161" customFormat="false" ht="15" hidden="false" customHeight="false" outlineLevel="0" collapsed="false">
      <c r="A161" s="33" t="s">
        <v>1041</v>
      </c>
      <c r="B161" s="32" t="n">
        <v>3</v>
      </c>
      <c r="C161" s="32" t="n">
        <f aca="false">COUNTIFS('All Worker Fields'!E:E,A161,'All Worker Fields'!D:D,"Single instance")</f>
        <v>0</v>
      </c>
      <c r="D161" s="32" t="n">
        <f aca="false">COUNTIFS('All Worker Fields'!E:E,A161,'All Worker Fields'!D:D,"Multi-instance")</f>
        <v>3</v>
      </c>
      <c r="E161" s="34" t="s">
        <v>1042</v>
      </c>
    </row>
    <row r="162" customFormat="false" ht="15" hidden="false" customHeight="false" outlineLevel="0" collapsed="false">
      <c r="A162" s="33" t="s">
        <v>1043</v>
      </c>
      <c r="B162" s="32" t="n">
        <v>3</v>
      </c>
      <c r="C162" s="32" t="n">
        <f aca="false">COUNTIFS('All Worker Fields'!E:E,A162,'All Worker Fields'!D:D,"Single instance")</f>
        <v>0</v>
      </c>
      <c r="D162" s="32" t="n">
        <f aca="false">COUNTIFS('All Worker Fields'!E:E,A162,'All Worker Fields'!D:D,"Multi-instance")</f>
        <v>3</v>
      </c>
      <c r="E162" s="34" t="s">
        <v>1044</v>
      </c>
    </row>
    <row r="163" customFormat="false" ht="15" hidden="false" customHeight="false" outlineLevel="0" collapsed="false">
      <c r="A163" s="33" t="s">
        <v>1045</v>
      </c>
      <c r="B163" s="32" t="n">
        <v>3</v>
      </c>
      <c r="C163" s="32" t="n">
        <f aca="false">COUNTIFS('All Worker Fields'!E:E,A163,'All Worker Fields'!D:D,"Single instance")</f>
        <v>3</v>
      </c>
      <c r="D163" s="32" t="n">
        <f aca="false">COUNTIFS('All Worker Fields'!E:E,A163,'All Worker Fields'!D:D,"Multi-instance")</f>
        <v>0</v>
      </c>
      <c r="E163" s="34" t="s">
        <v>1046</v>
      </c>
    </row>
    <row r="164" customFormat="false" ht="15" hidden="false" customHeight="false" outlineLevel="0" collapsed="false">
      <c r="A164" s="33" t="s">
        <v>506</v>
      </c>
      <c r="B164" s="32" t="n">
        <v>3</v>
      </c>
      <c r="C164" s="32" t="n">
        <f aca="false">COUNTIFS('All Worker Fields'!E:E,A164,'All Worker Fields'!D:D,"Single instance")</f>
        <v>2</v>
      </c>
      <c r="D164" s="32" t="n">
        <f aca="false">COUNTIFS('All Worker Fields'!E:E,A164,'All Worker Fields'!D:D,"Multi-instance")</f>
        <v>1</v>
      </c>
      <c r="E164" s="34" t="s">
        <v>1047</v>
      </c>
    </row>
    <row r="165" customFormat="false" ht="15" hidden="false" customHeight="false" outlineLevel="0" collapsed="false">
      <c r="A165" s="33" t="s">
        <v>1048</v>
      </c>
      <c r="B165" s="32" t="n">
        <v>3</v>
      </c>
      <c r="C165" s="32" t="n">
        <f aca="false">COUNTIFS('All Worker Fields'!E:E,A165,'All Worker Fields'!D:D,"Single instance")</f>
        <v>0</v>
      </c>
      <c r="D165" s="32" t="n">
        <f aca="false">COUNTIFS('All Worker Fields'!E:E,A165,'All Worker Fields'!D:D,"Multi-instance")</f>
        <v>3</v>
      </c>
      <c r="E165" s="34" t="s">
        <v>1049</v>
      </c>
    </row>
    <row r="166" customFormat="false" ht="15" hidden="false" customHeight="false" outlineLevel="0" collapsed="false">
      <c r="A166" s="33" t="s">
        <v>1050</v>
      </c>
      <c r="B166" s="32" t="n">
        <v>3</v>
      </c>
      <c r="C166" s="32" t="n">
        <f aca="false">COUNTIFS('All Worker Fields'!E:E,A166,'All Worker Fields'!D:D,"Single instance")</f>
        <v>2</v>
      </c>
      <c r="D166" s="32" t="n">
        <f aca="false">COUNTIFS('All Worker Fields'!E:E,A166,'All Worker Fields'!D:D,"Multi-instance")</f>
        <v>1</v>
      </c>
      <c r="E166" s="34" t="s">
        <v>1051</v>
      </c>
    </row>
    <row r="167" customFormat="false" ht="15" hidden="false" customHeight="false" outlineLevel="0" collapsed="false">
      <c r="A167" s="33" t="s">
        <v>1052</v>
      </c>
      <c r="B167" s="32" t="n">
        <v>3</v>
      </c>
      <c r="C167" s="32" t="n">
        <f aca="false">COUNTIFS('All Worker Fields'!E:E,A167,'All Worker Fields'!D:D,"Single instance")</f>
        <v>1</v>
      </c>
      <c r="D167" s="32" t="n">
        <f aca="false">COUNTIFS('All Worker Fields'!E:E,A167,'All Worker Fields'!D:D,"Multi-instance")</f>
        <v>2</v>
      </c>
      <c r="E167" s="34" t="s">
        <v>1053</v>
      </c>
    </row>
    <row r="168" customFormat="false" ht="15" hidden="false" customHeight="false" outlineLevel="0" collapsed="false">
      <c r="A168" s="33" t="s">
        <v>1054</v>
      </c>
      <c r="B168" s="32" t="n">
        <v>3</v>
      </c>
      <c r="C168" s="32" t="n">
        <f aca="false">COUNTIFS('All Worker Fields'!E:E,A168,'All Worker Fields'!D:D,"Single instance")</f>
        <v>0</v>
      </c>
      <c r="D168" s="32" t="n">
        <f aca="false">COUNTIFS('All Worker Fields'!E:E,A168,'All Worker Fields'!D:D,"Multi-instance")</f>
        <v>3</v>
      </c>
      <c r="E168" s="34" t="s">
        <v>1055</v>
      </c>
    </row>
    <row r="169" customFormat="false" ht="15" hidden="false" customHeight="false" outlineLevel="0" collapsed="false">
      <c r="A169" s="33" t="s">
        <v>1056</v>
      </c>
      <c r="B169" s="32" t="n">
        <v>3</v>
      </c>
      <c r="C169" s="32" t="n">
        <f aca="false">COUNTIFS('All Worker Fields'!E:E,A169,'All Worker Fields'!D:D,"Single instance")</f>
        <v>2</v>
      </c>
      <c r="D169" s="32" t="n">
        <f aca="false">COUNTIFS('All Worker Fields'!E:E,A169,'All Worker Fields'!D:D,"Multi-instance")</f>
        <v>1</v>
      </c>
      <c r="E169" s="34" t="s">
        <v>1057</v>
      </c>
    </row>
    <row r="170" customFormat="false" ht="15" hidden="false" customHeight="false" outlineLevel="0" collapsed="false">
      <c r="A170" s="33" t="s">
        <v>1058</v>
      </c>
      <c r="B170" s="32" t="n">
        <v>3</v>
      </c>
      <c r="C170" s="32" t="n">
        <f aca="false">COUNTIFS('All Worker Fields'!E:E,A170,'All Worker Fields'!D:D,"Single instance")</f>
        <v>0</v>
      </c>
      <c r="D170" s="32" t="n">
        <f aca="false">COUNTIFS('All Worker Fields'!E:E,A170,'All Worker Fields'!D:D,"Multi-instance")</f>
        <v>3</v>
      </c>
      <c r="E170" s="34" t="s">
        <v>1059</v>
      </c>
    </row>
    <row r="171" customFormat="false" ht="15" hidden="false" customHeight="false" outlineLevel="0" collapsed="false">
      <c r="A171" s="33" t="s">
        <v>1060</v>
      </c>
      <c r="B171" s="32" t="n">
        <v>2</v>
      </c>
      <c r="C171" s="32" t="n">
        <f aca="false">COUNTIFS('All Worker Fields'!E:E,A171,'All Worker Fields'!D:D,"Single instance")</f>
        <v>0</v>
      </c>
      <c r="D171" s="32" t="n">
        <f aca="false">COUNTIFS('All Worker Fields'!E:E,A171,'All Worker Fields'!D:D,"Multi-instance")</f>
        <v>2</v>
      </c>
      <c r="E171" s="34" t="s">
        <v>1061</v>
      </c>
    </row>
    <row r="172" customFormat="false" ht="15" hidden="false" customHeight="false" outlineLevel="0" collapsed="false">
      <c r="A172" s="33" t="s">
        <v>1062</v>
      </c>
      <c r="B172" s="32" t="n">
        <v>2</v>
      </c>
      <c r="C172" s="32" t="n">
        <f aca="false">COUNTIFS('All Worker Fields'!E:E,A172,'All Worker Fields'!D:D,"Single instance")</f>
        <v>1</v>
      </c>
      <c r="D172" s="32" t="n">
        <f aca="false">COUNTIFS('All Worker Fields'!E:E,A172,'All Worker Fields'!D:D,"Multi-instance")</f>
        <v>1</v>
      </c>
      <c r="E172" s="34" t="s">
        <v>1063</v>
      </c>
    </row>
    <row r="173" customFormat="false" ht="15" hidden="false" customHeight="false" outlineLevel="0" collapsed="false">
      <c r="A173" s="33" t="s">
        <v>1064</v>
      </c>
      <c r="B173" s="32" t="n">
        <v>2</v>
      </c>
      <c r="C173" s="32" t="n">
        <f aca="false">COUNTIFS('All Worker Fields'!E:E,A173,'All Worker Fields'!D:D,"Single instance")</f>
        <v>0</v>
      </c>
      <c r="D173" s="32" t="n">
        <f aca="false">COUNTIFS('All Worker Fields'!E:E,A173,'All Worker Fields'!D:D,"Multi-instance")</f>
        <v>2</v>
      </c>
      <c r="E173" s="34" t="s">
        <v>1065</v>
      </c>
    </row>
    <row r="174" customFormat="false" ht="15" hidden="false" customHeight="false" outlineLevel="0" collapsed="false">
      <c r="A174" s="33" t="s">
        <v>1066</v>
      </c>
      <c r="B174" s="32" t="n">
        <v>2</v>
      </c>
      <c r="C174" s="32" t="n">
        <f aca="false">COUNTIFS('All Worker Fields'!E:E,A174,'All Worker Fields'!D:D,"Single instance")</f>
        <v>0</v>
      </c>
      <c r="D174" s="32" t="n">
        <f aca="false">COUNTIFS('All Worker Fields'!E:E,A174,'All Worker Fields'!D:D,"Multi-instance")</f>
        <v>2</v>
      </c>
      <c r="E174" s="34" t="s">
        <v>1067</v>
      </c>
    </row>
    <row r="175" customFormat="false" ht="15" hidden="false" customHeight="false" outlineLevel="0" collapsed="false">
      <c r="A175" s="33" t="s">
        <v>1068</v>
      </c>
      <c r="B175" s="32" t="n">
        <v>2</v>
      </c>
      <c r="C175" s="32" t="n">
        <f aca="false">COUNTIFS('All Worker Fields'!E:E,A175,'All Worker Fields'!D:D,"Single instance")</f>
        <v>2</v>
      </c>
      <c r="D175" s="32" t="n">
        <f aca="false">COUNTIFS('All Worker Fields'!E:E,A175,'All Worker Fields'!D:D,"Multi-instance")</f>
        <v>0</v>
      </c>
      <c r="E175" s="34" t="s">
        <v>1069</v>
      </c>
    </row>
    <row r="176" customFormat="false" ht="15" hidden="false" customHeight="false" outlineLevel="0" collapsed="false">
      <c r="A176" s="33" t="s">
        <v>383</v>
      </c>
      <c r="B176" s="32" t="n">
        <v>2</v>
      </c>
      <c r="C176" s="32" t="n">
        <f aca="false">COUNTIFS('All Worker Fields'!E:E,A176,'All Worker Fields'!D:D,"Single instance")</f>
        <v>2</v>
      </c>
      <c r="D176" s="32" t="n">
        <f aca="false">COUNTIFS('All Worker Fields'!E:E,A176,'All Worker Fields'!D:D,"Multi-instance")</f>
        <v>0</v>
      </c>
      <c r="E176" s="34" t="s">
        <v>1070</v>
      </c>
    </row>
    <row r="177" customFormat="false" ht="15" hidden="false" customHeight="false" outlineLevel="0" collapsed="false">
      <c r="A177" s="33" t="s">
        <v>1071</v>
      </c>
      <c r="B177" s="32" t="n">
        <v>2</v>
      </c>
      <c r="C177" s="32" t="n">
        <f aca="false">COUNTIFS('All Worker Fields'!E:E,A177,'All Worker Fields'!D:D,"Single instance")</f>
        <v>0</v>
      </c>
      <c r="D177" s="32" t="n">
        <f aca="false">COUNTIFS('All Worker Fields'!E:E,A177,'All Worker Fields'!D:D,"Multi-instance")</f>
        <v>2</v>
      </c>
      <c r="E177" s="34" t="s">
        <v>1072</v>
      </c>
    </row>
    <row r="178" customFormat="false" ht="15" hidden="false" customHeight="false" outlineLevel="0" collapsed="false">
      <c r="A178" s="33" t="s">
        <v>1073</v>
      </c>
      <c r="B178" s="32" t="n">
        <v>2</v>
      </c>
      <c r="C178" s="32" t="n">
        <f aca="false">COUNTIFS('All Worker Fields'!E:E,A178,'All Worker Fields'!D:D,"Single instance")</f>
        <v>0</v>
      </c>
      <c r="D178" s="32" t="n">
        <f aca="false">COUNTIFS('All Worker Fields'!E:E,A178,'All Worker Fields'!D:D,"Multi-instance")</f>
        <v>2</v>
      </c>
      <c r="E178" s="34" t="s">
        <v>1074</v>
      </c>
    </row>
    <row r="179" customFormat="false" ht="15" hidden="false" customHeight="false" outlineLevel="0" collapsed="false">
      <c r="A179" s="33" t="s">
        <v>1075</v>
      </c>
      <c r="B179" s="32" t="n">
        <v>2</v>
      </c>
      <c r="C179" s="32" t="n">
        <f aca="false">COUNTIFS('All Worker Fields'!E:E,A179,'All Worker Fields'!D:D,"Single instance")</f>
        <v>1</v>
      </c>
      <c r="D179" s="32" t="n">
        <f aca="false">COUNTIFS('All Worker Fields'!E:E,A179,'All Worker Fields'!D:D,"Multi-instance")</f>
        <v>1</v>
      </c>
      <c r="E179" s="34" t="s">
        <v>1076</v>
      </c>
    </row>
    <row r="180" customFormat="false" ht="15" hidden="false" customHeight="false" outlineLevel="0" collapsed="false">
      <c r="A180" s="33" t="s">
        <v>1077</v>
      </c>
      <c r="B180" s="32" t="n">
        <v>2</v>
      </c>
      <c r="C180" s="32" t="n">
        <f aca="false">COUNTIFS('All Worker Fields'!E:E,A180,'All Worker Fields'!D:D,"Single instance")</f>
        <v>1</v>
      </c>
      <c r="D180" s="32" t="n">
        <f aca="false">COUNTIFS('All Worker Fields'!E:E,A180,'All Worker Fields'!D:D,"Multi-instance")</f>
        <v>1</v>
      </c>
      <c r="E180" s="34" t="s">
        <v>1078</v>
      </c>
    </row>
    <row r="181" customFormat="false" ht="15" hidden="false" customHeight="false" outlineLevel="0" collapsed="false">
      <c r="A181" s="33" t="s">
        <v>1079</v>
      </c>
      <c r="B181" s="32" t="n">
        <v>2</v>
      </c>
      <c r="C181" s="32" t="n">
        <f aca="false">COUNTIFS('All Worker Fields'!E:E,A181,'All Worker Fields'!D:D,"Single instance")</f>
        <v>1</v>
      </c>
      <c r="D181" s="32" t="n">
        <f aca="false">COUNTIFS('All Worker Fields'!E:E,A181,'All Worker Fields'!D:D,"Multi-instance")</f>
        <v>1</v>
      </c>
      <c r="E181" s="34" t="s">
        <v>1080</v>
      </c>
    </row>
    <row r="182" customFormat="false" ht="15" hidden="false" customHeight="false" outlineLevel="0" collapsed="false">
      <c r="A182" s="33" t="s">
        <v>739</v>
      </c>
      <c r="B182" s="32" t="n">
        <v>2</v>
      </c>
      <c r="C182" s="32" t="n">
        <f aca="false">COUNTIFS('All Worker Fields'!E:E,A182,'All Worker Fields'!D:D,"Single instance")</f>
        <v>0</v>
      </c>
      <c r="D182" s="32" t="n">
        <f aca="false">COUNTIFS('All Worker Fields'!E:E,A182,'All Worker Fields'!D:D,"Multi-instance")</f>
        <v>2</v>
      </c>
      <c r="E182" s="34" t="s">
        <v>1081</v>
      </c>
    </row>
    <row r="183" customFormat="false" ht="15" hidden="false" customHeight="false" outlineLevel="0" collapsed="false">
      <c r="A183" s="33" t="s">
        <v>310</v>
      </c>
      <c r="B183" s="32" t="n">
        <v>2</v>
      </c>
      <c r="C183" s="32" t="n">
        <f aca="false">COUNTIFS('All Worker Fields'!E:E,A183,'All Worker Fields'!D:D,"Single instance")</f>
        <v>0</v>
      </c>
      <c r="D183" s="32" t="n">
        <f aca="false">COUNTIFS('All Worker Fields'!E:E,A183,'All Worker Fields'!D:D,"Multi-instance")</f>
        <v>1</v>
      </c>
      <c r="E183" s="34" t="s">
        <v>1082</v>
      </c>
    </row>
    <row r="184" customFormat="false" ht="15" hidden="false" customHeight="false" outlineLevel="0" collapsed="false">
      <c r="A184" s="33" t="s">
        <v>1083</v>
      </c>
      <c r="B184" s="32" t="n">
        <v>2</v>
      </c>
      <c r="C184" s="32" t="n">
        <f aca="false">COUNTIFS('All Worker Fields'!E:E,A184,'All Worker Fields'!D:D,"Single instance")</f>
        <v>0</v>
      </c>
      <c r="D184" s="32" t="n">
        <f aca="false">COUNTIFS('All Worker Fields'!E:E,A184,'All Worker Fields'!D:D,"Multi-instance")</f>
        <v>2</v>
      </c>
      <c r="E184" s="34" t="s">
        <v>1084</v>
      </c>
    </row>
    <row r="185" customFormat="false" ht="15" hidden="false" customHeight="false" outlineLevel="0" collapsed="false">
      <c r="A185" s="33" t="s">
        <v>1085</v>
      </c>
      <c r="B185" s="32" t="n">
        <v>2</v>
      </c>
      <c r="C185" s="32" t="n">
        <f aca="false">COUNTIFS('All Worker Fields'!E:E,A185,'All Worker Fields'!D:D,"Single instance")</f>
        <v>0</v>
      </c>
      <c r="D185" s="32" t="n">
        <f aca="false">COUNTIFS('All Worker Fields'!E:E,A185,'All Worker Fields'!D:D,"Multi-instance")</f>
        <v>1</v>
      </c>
      <c r="E185" s="34" t="s">
        <v>1086</v>
      </c>
    </row>
    <row r="186" customFormat="false" ht="15" hidden="false" customHeight="false" outlineLevel="0" collapsed="false">
      <c r="A186" s="33" t="s">
        <v>1087</v>
      </c>
      <c r="B186" s="32" t="n">
        <v>2</v>
      </c>
      <c r="C186" s="32" t="n">
        <f aca="false">COUNTIFS('All Worker Fields'!E:E,A186,'All Worker Fields'!D:D,"Single instance")</f>
        <v>0</v>
      </c>
      <c r="D186" s="32" t="n">
        <f aca="false">COUNTIFS('All Worker Fields'!E:E,A186,'All Worker Fields'!D:D,"Multi-instance")</f>
        <v>1</v>
      </c>
      <c r="E186" s="34" t="s">
        <v>1088</v>
      </c>
    </row>
    <row r="187" customFormat="false" ht="15" hidden="false" customHeight="false" outlineLevel="0" collapsed="false">
      <c r="A187" s="33" t="s">
        <v>1089</v>
      </c>
      <c r="B187" s="32" t="n">
        <v>2</v>
      </c>
      <c r="C187" s="32" t="n">
        <f aca="false">COUNTIFS('All Worker Fields'!E:E,A187,'All Worker Fields'!D:D,"Single instance")</f>
        <v>0</v>
      </c>
      <c r="D187" s="32" t="n">
        <f aca="false">COUNTIFS('All Worker Fields'!E:E,A187,'All Worker Fields'!D:D,"Multi-instance")</f>
        <v>1</v>
      </c>
      <c r="E187" s="34" t="s">
        <v>1090</v>
      </c>
    </row>
    <row r="188" customFormat="false" ht="15" hidden="false" customHeight="false" outlineLevel="0" collapsed="false">
      <c r="A188" s="33" t="s">
        <v>1091</v>
      </c>
      <c r="B188" s="32" t="n">
        <v>2</v>
      </c>
      <c r="C188" s="32" t="n">
        <f aca="false">COUNTIFS('All Worker Fields'!E:E,A188,'All Worker Fields'!D:D,"Single instance")</f>
        <v>2</v>
      </c>
      <c r="D188" s="32" t="n">
        <f aca="false">COUNTIFS('All Worker Fields'!E:E,A188,'All Worker Fields'!D:D,"Multi-instance")</f>
        <v>0</v>
      </c>
      <c r="E188" s="34" t="s">
        <v>1092</v>
      </c>
    </row>
    <row r="189" customFormat="false" ht="15" hidden="false" customHeight="false" outlineLevel="0" collapsed="false">
      <c r="A189" s="33" t="s">
        <v>1093</v>
      </c>
      <c r="B189" s="32" t="n">
        <v>2</v>
      </c>
      <c r="C189" s="32" t="n">
        <f aca="false">COUNTIFS('All Worker Fields'!E:E,A189,'All Worker Fields'!D:D,"Single instance")</f>
        <v>2</v>
      </c>
      <c r="D189" s="32" t="n">
        <f aca="false">COUNTIFS('All Worker Fields'!E:E,A189,'All Worker Fields'!D:D,"Multi-instance")</f>
        <v>0</v>
      </c>
      <c r="E189" s="34" t="s">
        <v>1094</v>
      </c>
    </row>
    <row r="190" customFormat="false" ht="15" hidden="false" customHeight="false" outlineLevel="0" collapsed="false">
      <c r="A190" s="33" t="s">
        <v>693</v>
      </c>
      <c r="B190" s="32" t="n">
        <v>2</v>
      </c>
      <c r="C190" s="32" t="n">
        <f aca="false">COUNTIFS('All Worker Fields'!E:E,A190,'All Worker Fields'!D:D,"Single instance")</f>
        <v>1</v>
      </c>
      <c r="D190" s="32" t="n">
        <f aca="false">COUNTIFS('All Worker Fields'!E:E,A190,'All Worker Fields'!D:D,"Multi-instance")</f>
        <v>1</v>
      </c>
      <c r="E190" s="34" t="s">
        <v>1095</v>
      </c>
    </row>
    <row r="191" customFormat="false" ht="15" hidden="false" customHeight="false" outlineLevel="0" collapsed="false">
      <c r="A191" s="33" t="s">
        <v>1096</v>
      </c>
      <c r="B191" s="32" t="n">
        <v>2</v>
      </c>
      <c r="C191" s="32" t="n">
        <f aca="false">COUNTIFS('All Worker Fields'!E:E,A191,'All Worker Fields'!D:D,"Single instance")</f>
        <v>2</v>
      </c>
      <c r="D191" s="32" t="n">
        <f aca="false">COUNTIFS('All Worker Fields'!E:E,A191,'All Worker Fields'!D:D,"Multi-instance")</f>
        <v>0</v>
      </c>
      <c r="E191" s="34" t="s">
        <v>1097</v>
      </c>
    </row>
    <row r="192" customFormat="false" ht="15" hidden="false" customHeight="false" outlineLevel="0" collapsed="false">
      <c r="A192" s="33" t="s">
        <v>1098</v>
      </c>
      <c r="B192" s="32" t="n">
        <v>2</v>
      </c>
      <c r="C192" s="32" t="n">
        <f aca="false">COUNTIFS('All Worker Fields'!E:E,A192,'All Worker Fields'!D:D,"Single instance")</f>
        <v>0</v>
      </c>
      <c r="D192" s="32" t="n">
        <f aca="false">COUNTIFS('All Worker Fields'!E:E,A192,'All Worker Fields'!D:D,"Multi-instance")</f>
        <v>2</v>
      </c>
      <c r="E192" s="34" t="s">
        <v>1099</v>
      </c>
    </row>
    <row r="193" customFormat="false" ht="15" hidden="false" customHeight="false" outlineLevel="0" collapsed="false">
      <c r="A193" s="33" t="s">
        <v>519</v>
      </c>
      <c r="B193" s="32" t="n">
        <v>2</v>
      </c>
      <c r="C193" s="32" t="n">
        <f aca="false">COUNTIFS('All Worker Fields'!E:E,A193,'All Worker Fields'!D:D,"Single instance")</f>
        <v>2</v>
      </c>
      <c r="D193" s="32" t="n">
        <f aca="false">COUNTIFS('All Worker Fields'!E:E,A193,'All Worker Fields'!D:D,"Multi-instance")</f>
        <v>0</v>
      </c>
      <c r="E193" s="34" t="s">
        <v>1100</v>
      </c>
    </row>
    <row r="194" customFormat="false" ht="15" hidden="false" customHeight="false" outlineLevel="0" collapsed="false">
      <c r="A194" s="33" t="s">
        <v>1101</v>
      </c>
      <c r="B194" s="32" t="n">
        <v>2</v>
      </c>
      <c r="C194" s="32" t="n">
        <f aca="false">COUNTIFS('All Worker Fields'!E:E,A194,'All Worker Fields'!D:D,"Single instance")</f>
        <v>0</v>
      </c>
      <c r="D194" s="32" t="n">
        <f aca="false">COUNTIFS('All Worker Fields'!E:E,A194,'All Worker Fields'!D:D,"Multi-instance")</f>
        <v>1</v>
      </c>
      <c r="E194" s="34" t="s">
        <v>1102</v>
      </c>
    </row>
    <row r="195" customFormat="false" ht="15" hidden="false" customHeight="false" outlineLevel="0" collapsed="false">
      <c r="A195" s="33" t="s">
        <v>442</v>
      </c>
      <c r="B195" s="32" t="n">
        <v>2</v>
      </c>
      <c r="C195" s="32" t="n">
        <f aca="false">COUNTIFS('All Worker Fields'!E:E,A195,'All Worker Fields'!D:D,"Single instance")</f>
        <v>2</v>
      </c>
      <c r="D195" s="32" t="n">
        <f aca="false">COUNTIFS('All Worker Fields'!E:E,A195,'All Worker Fields'!D:D,"Multi-instance")</f>
        <v>0</v>
      </c>
      <c r="E195" s="34" t="s">
        <v>1103</v>
      </c>
    </row>
    <row r="196" customFormat="false" ht="15" hidden="false" customHeight="false" outlineLevel="0" collapsed="false">
      <c r="A196" s="33" t="s">
        <v>477</v>
      </c>
      <c r="B196" s="32" t="n">
        <v>2</v>
      </c>
      <c r="C196" s="32" t="n">
        <f aca="false">COUNTIFS('All Worker Fields'!E:E,A196,'All Worker Fields'!D:D,"Single instance")</f>
        <v>2</v>
      </c>
      <c r="D196" s="32" t="n">
        <f aca="false">COUNTIFS('All Worker Fields'!E:E,A196,'All Worker Fields'!D:D,"Multi-instance")</f>
        <v>0</v>
      </c>
      <c r="E196" s="34" t="s">
        <v>1104</v>
      </c>
    </row>
    <row r="197" customFormat="false" ht="15" hidden="false" customHeight="false" outlineLevel="0" collapsed="false">
      <c r="A197" s="33" t="s">
        <v>967</v>
      </c>
      <c r="B197" s="32" t="n">
        <v>2</v>
      </c>
      <c r="C197" s="32" t="n">
        <f aca="false">COUNTIFS('All Worker Fields'!E:E,A197,'All Worker Fields'!D:D,"Single instance")</f>
        <v>1</v>
      </c>
      <c r="D197" s="32" t="n">
        <f aca="false">COUNTIFS('All Worker Fields'!E:E,A197,'All Worker Fields'!D:D,"Multi-instance")</f>
        <v>4</v>
      </c>
      <c r="E197" s="34" t="s">
        <v>968</v>
      </c>
    </row>
    <row r="198" customFormat="false" ht="15" hidden="false" customHeight="false" outlineLevel="0" collapsed="false">
      <c r="A198" s="33" t="s">
        <v>1105</v>
      </c>
      <c r="B198" s="32" t="n">
        <v>2</v>
      </c>
      <c r="C198" s="32" t="n">
        <f aca="false">COUNTIFS('All Worker Fields'!E:E,A198,'All Worker Fields'!D:D,"Single instance")</f>
        <v>1</v>
      </c>
      <c r="D198" s="32" t="n">
        <f aca="false">COUNTIFS('All Worker Fields'!E:E,A198,'All Worker Fields'!D:D,"Multi-instance")</f>
        <v>0</v>
      </c>
      <c r="E198" s="34" t="s">
        <v>1106</v>
      </c>
    </row>
    <row r="199" customFormat="false" ht="15" hidden="false" customHeight="false" outlineLevel="0" collapsed="false">
      <c r="A199" s="33" t="s">
        <v>1107</v>
      </c>
      <c r="B199" s="32" t="n">
        <v>2</v>
      </c>
      <c r="C199" s="32" t="n">
        <f aca="false">COUNTIFS('All Worker Fields'!E:E,A199,'All Worker Fields'!D:D,"Single instance")</f>
        <v>2</v>
      </c>
      <c r="D199" s="32" t="n">
        <f aca="false">COUNTIFS('All Worker Fields'!E:E,A199,'All Worker Fields'!D:D,"Multi-instance")</f>
        <v>0</v>
      </c>
      <c r="E199" s="34" t="s">
        <v>1108</v>
      </c>
    </row>
    <row r="200" customFormat="false" ht="15" hidden="false" customHeight="false" outlineLevel="0" collapsed="false">
      <c r="A200" s="33" t="s">
        <v>1109</v>
      </c>
      <c r="B200" s="32" t="n">
        <v>2</v>
      </c>
      <c r="C200" s="32" t="n">
        <f aca="false">COUNTIFS('All Worker Fields'!E:E,A200,'All Worker Fields'!D:D,"Single instance")</f>
        <v>0</v>
      </c>
      <c r="D200" s="32" t="n">
        <f aca="false">COUNTIFS('All Worker Fields'!E:E,A200,'All Worker Fields'!D:D,"Multi-instance")</f>
        <v>2</v>
      </c>
      <c r="E200" s="34" t="s">
        <v>1110</v>
      </c>
    </row>
    <row r="201" customFormat="false" ht="15" hidden="false" customHeight="false" outlineLevel="0" collapsed="false">
      <c r="A201" s="33" t="s">
        <v>1111</v>
      </c>
      <c r="B201" s="32" t="n">
        <v>2</v>
      </c>
      <c r="C201" s="32" t="n">
        <f aca="false">COUNTIFS('All Worker Fields'!E:E,A201,'All Worker Fields'!D:D,"Single instance")</f>
        <v>0</v>
      </c>
      <c r="D201" s="32" t="n">
        <f aca="false">COUNTIFS('All Worker Fields'!E:E,A201,'All Worker Fields'!D:D,"Multi-instance")</f>
        <v>1</v>
      </c>
      <c r="E201" s="34" t="s">
        <v>1112</v>
      </c>
    </row>
    <row r="202" customFormat="false" ht="15" hidden="false" customHeight="false" outlineLevel="0" collapsed="false">
      <c r="A202" s="33" t="s">
        <v>1113</v>
      </c>
      <c r="B202" s="32" t="n">
        <v>2</v>
      </c>
      <c r="C202" s="32" t="n">
        <f aca="false">COUNTIFS('All Worker Fields'!E:E,A202,'All Worker Fields'!D:D,"Single instance")</f>
        <v>0</v>
      </c>
      <c r="D202" s="32" t="n">
        <f aca="false">COUNTIFS('All Worker Fields'!E:E,A202,'All Worker Fields'!D:D,"Multi-instance")</f>
        <v>2</v>
      </c>
      <c r="E202" s="34" t="s">
        <v>1114</v>
      </c>
    </row>
    <row r="203" customFormat="false" ht="15" hidden="false" customHeight="false" outlineLevel="0" collapsed="false">
      <c r="A203" s="33" t="s">
        <v>1115</v>
      </c>
      <c r="B203" s="32" t="n">
        <v>2</v>
      </c>
      <c r="C203" s="32" t="n">
        <f aca="false">COUNTIFS('All Worker Fields'!E:E,A203,'All Worker Fields'!D:D,"Single instance")</f>
        <v>0</v>
      </c>
      <c r="D203" s="32" t="n">
        <f aca="false">COUNTIFS('All Worker Fields'!E:E,A203,'All Worker Fields'!D:D,"Multi-instance")</f>
        <v>2</v>
      </c>
      <c r="E203" s="34" t="s">
        <v>1116</v>
      </c>
    </row>
    <row r="204" customFormat="false" ht="15" hidden="false" customHeight="false" outlineLevel="0" collapsed="false">
      <c r="A204" s="33" t="s">
        <v>1117</v>
      </c>
      <c r="B204" s="32" t="n">
        <v>2</v>
      </c>
      <c r="C204" s="32" t="n">
        <f aca="false">COUNTIFS('All Worker Fields'!E:E,A204,'All Worker Fields'!D:D,"Single instance")</f>
        <v>0</v>
      </c>
      <c r="D204" s="32" t="n">
        <f aca="false">COUNTIFS('All Worker Fields'!E:E,A204,'All Worker Fields'!D:D,"Multi-instance")</f>
        <v>0</v>
      </c>
      <c r="E204" s="34"/>
    </row>
    <row r="205" customFormat="false" ht="15" hidden="false" customHeight="false" outlineLevel="0" collapsed="false">
      <c r="A205" s="33" t="s">
        <v>424</v>
      </c>
      <c r="B205" s="32" t="n">
        <v>2</v>
      </c>
      <c r="C205" s="32" t="n">
        <f aca="false">COUNTIFS('All Worker Fields'!E:E,A205,'All Worker Fields'!D:D,"Single instance")</f>
        <v>0</v>
      </c>
      <c r="D205" s="32" t="n">
        <f aca="false">COUNTIFS('All Worker Fields'!E:E,A205,'All Worker Fields'!D:D,"Multi-instance")</f>
        <v>2</v>
      </c>
      <c r="E205" s="34" t="s">
        <v>1118</v>
      </c>
    </row>
    <row r="206" customFormat="false" ht="15" hidden="false" customHeight="false" outlineLevel="0" collapsed="false">
      <c r="A206" s="33" t="s">
        <v>1119</v>
      </c>
      <c r="B206" s="32" t="n">
        <v>2</v>
      </c>
      <c r="C206" s="32" t="n">
        <f aca="false">COUNTIFS('All Worker Fields'!E:E,A206,'All Worker Fields'!D:D,"Single instance")</f>
        <v>0</v>
      </c>
      <c r="D206" s="32" t="n">
        <f aca="false">COUNTIFS('All Worker Fields'!E:E,A206,'All Worker Fields'!D:D,"Multi-instance")</f>
        <v>0</v>
      </c>
      <c r="E206" s="34"/>
    </row>
    <row r="207" customFormat="false" ht="15" hidden="false" customHeight="false" outlineLevel="0" collapsed="false">
      <c r="A207" s="33" t="s">
        <v>372</v>
      </c>
      <c r="B207" s="32" t="n">
        <v>2</v>
      </c>
      <c r="C207" s="32" t="n">
        <f aca="false">COUNTIFS('All Worker Fields'!E:E,A207,'All Worker Fields'!D:D,"Single instance")</f>
        <v>0</v>
      </c>
      <c r="D207" s="32" t="n">
        <f aca="false">COUNTIFS('All Worker Fields'!E:E,A207,'All Worker Fields'!D:D,"Multi-instance")</f>
        <v>2</v>
      </c>
      <c r="E207" s="34" t="s">
        <v>1120</v>
      </c>
    </row>
    <row r="208" customFormat="false" ht="15" hidden="false" customHeight="false" outlineLevel="0" collapsed="false">
      <c r="A208" s="33" t="s">
        <v>1121</v>
      </c>
      <c r="B208" s="32" t="n">
        <v>2</v>
      </c>
      <c r="C208" s="32" t="n">
        <f aca="false">COUNTIFS('All Worker Fields'!E:E,A208,'All Worker Fields'!D:D,"Single instance")</f>
        <v>1</v>
      </c>
      <c r="D208" s="32" t="n">
        <f aca="false">COUNTIFS('All Worker Fields'!E:E,A208,'All Worker Fields'!D:D,"Multi-instance")</f>
        <v>1</v>
      </c>
      <c r="E208" s="34" t="s">
        <v>1122</v>
      </c>
    </row>
    <row r="209" customFormat="false" ht="15" hidden="false" customHeight="false" outlineLevel="0" collapsed="false">
      <c r="A209" s="33" t="s">
        <v>1123</v>
      </c>
      <c r="B209" s="32" t="n">
        <v>2</v>
      </c>
      <c r="C209" s="32" t="n">
        <f aca="false">COUNTIFS('All Worker Fields'!E:E,A209,'All Worker Fields'!D:D,"Single instance")</f>
        <v>2</v>
      </c>
      <c r="D209" s="32" t="n">
        <f aca="false">COUNTIFS('All Worker Fields'!E:E,A209,'All Worker Fields'!D:D,"Multi-instance")</f>
        <v>0</v>
      </c>
      <c r="E209" s="34" t="s">
        <v>1124</v>
      </c>
    </row>
    <row r="210" customFormat="false" ht="15" hidden="false" customHeight="false" outlineLevel="0" collapsed="false">
      <c r="A210" s="33" t="s">
        <v>1125</v>
      </c>
      <c r="B210" s="32" t="n">
        <v>2</v>
      </c>
      <c r="C210" s="32" t="n">
        <f aca="false">COUNTIFS('All Worker Fields'!E:E,A210,'All Worker Fields'!D:D,"Single instance")</f>
        <v>1</v>
      </c>
      <c r="D210" s="32" t="n">
        <f aca="false">COUNTIFS('All Worker Fields'!E:E,A210,'All Worker Fields'!D:D,"Multi-instance")</f>
        <v>1</v>
      </c>
      <c r="E210" s="34" t="s">
        <v>1126</v>
      </c>
    </row>
    <row r="211" customFormat="false" ht="15" hidden="false" customHeight="false" outlineLevel="0" collapsed="false">
      <c r="A211" s="33" t="s">
        <v>1127</v>
      </c>
      <c r="B211" s="32" t="n">
        <v>2</v>
      </c>
      <c r="C211" s="32" t="n">
        <f aca="false">COUNTIFS('All Worker Fields'!E:E,A211,'All Worker Fields'!D:D,"Single instance")</f>
        <v>2</v>
      </c>
      <c r="D211" s="32" t="n">
        <f aca="false">COUNTIFS('All Worker Fields'!E:E,A211,'All Worker Fields'!D:D,"Multi-instance")</f>
        <v>0</v>
      </c>
      <c r="E211" s="34" t="s">
        <v>1128</v>
      </c>
    </row>
    <row r="212" customFormat="false" ht="15" hidden="false" customHeight="false" outlineLevel="0" collapsed="false">
      <c r="A212" s="33" t="s">
        <v>1129</v>
      </c>
      <c r="B212" s="32" t="n">
        <v>2</v>
      </c>
      <c r="C212" s="32" t="n">
        <f aca="false">COUNTIFS('All Worker Fields'!E:E,A212,'All Worker Fields'!D:D,"Single instance")</f>
        <v>0</v>
      </c>
      <c r="D212" s="32" t="n">
        <f aca="false">COUNTIFS('All Worker Fields'!E:E,A212,'All Worker Fields'!D:D,"Multi-instance")</f>
        <v>2</v>
      </c>
      <c r="E212" s="34" t="s">
        <v>1130</v>
      </c>
    </row>
    <row r="213" customFormat="false" ht="15" hidden="false" customHeight="false" outlineLevel="0" collapsed="false">
      <c r="A213" s="33" t="s">
        <v>1131</v>
      </c>
      <c r="B213" s="32" t="n">
        <v>2</v>
      </c>
      <c r="C213" s="32" t="n">
        <f aca="false">COUNTIFS('All Worker Fields'!E:E,A213,'All Worker Fields'!D:D,"Single instance")</f>
        <v>0</v>
      </c>
      <c r="D213" s="32" t="n">
        <f aca="false">COUNTIFS('All Worker Fields'!E:E,A213,'All Worker Fields'!D:D,"Multi-instance")</f>
        <v>2</v>
      </c>
      <c r="E213" s="34" t="s">
        <v>1132</v>
      </c>
    </row>
    <row r="214" customFormat="false" ht="15" hidden="false" customHeight="false" outlineLevel="0" collapsed="false">
      <c r="A214" s="33" t="s">
        <v>1133</v>
      </c>
      <c r="B214" s="32" t="n">
        <v>2</v>
      </c>
      <c r="C214" s="32" t="n">
        <f aca="false">COUNTIFS('All Worker Fields'!E:E,A214,'All Worker Fields'!D:D,"Single instance")</f>
        <v>1</v>
      </c>
      <c r="D214" s="32" t="n">
        <f aca="false">COUNTIFS('All Worker Fields'!E:E,A214,'All Worker Fields'!D:D,"Multi-instance")</f>
        <v>1</v>
      </c>
      <c r="E214" s="34" t="s">
        <v>1134</v>
      </c>
    </row>
    <row r="215" customFormat="false" ht="15" hidden="false" customHeight="false" outlineLevel="0" collapsed="false">
      <c r="A215" s="33" t="s">
        <v>1135</v>
      </c>
      <c r="B215" s="32" t="n">
        <v>2</v>
      </c>
      <c r="C215" s="32" t="n">
        <f aca="false">COUNTIFS('All Worker Fields'!E:E,A215,'All Worker Fields'!D:D,"Single instance")</f>
        <v>0</v>
      </c>
      <c r="D215" s="32" t="n">
        <f aca="false">COUNTIFS('All Worker Fields'!E:E,A215,'All Worker Fields'!D:D,"Multi-instance")</f>
        <v>0</v>
      </c>
      <c r="E215" s="34" t="s">
        <v>1136</v>
      </c>
    </row>
    <row r="216" customFormat="false" ht="15" hidden="false" customHeight="false" outlineLevel="0" collapsed="false">
      <c r="A216" s="33" t="s">
        <v>1137</v>
      </c>
      <c r="B216" s="32" t="n">
        <v>2</v>
      </c>
      <c r="C216" s="32" t="n">
        <f aca="false">COUNTIFS('All Worker Fields'!E:E,A216,'All Worker Fields'!D:D,"Single instance")</f>
        <v>1</v>
      </c>
      <c r="D216" s="32" t="n">
        <f aca="false">COUNTIFS('All Worker Fields'!E:E,A216,'All Worker Fields'!D:D,"Multi-instance")</f>
        <v>1</v>
      </c>
      <c r="E216" s="34" t="s">
        <v>1138</v>
      </c>
    </row>
    <row r="217" customFormat="false" ht="15" hidden="false" customHeight="false" outlineLevel="0" collapsed="false">
      <c r="A217" s="33" t="s">
        <v>1139</v>
      </c>
      <c r="B217" s="32" t="n">
        <v>2</v>
      </c>
      <c r="C217" s="32" t="n">
        <f aca="false">COUNTIFS('All Worker Fields'!E:E,A217,'All Worker Fields'!D:D,"Single instance")</f>
        <v>1</v>
      </c>
      <c r="D217" s="32" t="n">
        <f aca="false">COUNTIFS('All Worker Fields'!E:E,A217,'All Worker Fields'!D:D,"Multi-instance")</f>
        <v>1</v>
      </c>
      <c r="E217" s="34" t="s">
        <v>1140</v>
      </c>
    </row>
    <row r="218" customFormat="false" ht="15" hidden="false" customHeight="false" outlineLevel="0" collapsed="false">
      <c r="A218" s="33" t="s">
        <v>1141</v>
      </c>
      <c r="B218" s="32" t="n">
        <v>2</v>
      </c>
      <c r="C218" s="32" t="n">
        <f aca="false">COUNTIFS('All Worker Fields'!E:E,A218,'All Worker Fields'!D:D,"Single instance")</f>
        <v>2</v>
      </c>
      <c r="D218" s="32" t="n">
        <f aca="false">COUNTIFS('All Worker Fields'!E:E,A218,'All Worker Fields'!D:D,"Multi-instance")</f>
        <v>0</v>
      </c>
      <c r="E218" s="34" t="s">
        <v>1142</v>
      </c>
    </row>
    <row r="219" customFormat="false" ht="15" hidden="false" customHeight="false" outlineLevel="0" collapsed="false">
      <c r="A219" s="33" t="s">
        <v>1143</v>
      </c>
      <c r="B219" s="32" t="n">
        <v>2</v>
      </c>
      <c r="C219" s="32" t="n">
        <f aca="false">COUNTIFS('All Worker Fields'!E:E,A219,'All Worker Fields'!D:D,"Single instance")</f>
        <v>0</v>
      </c>
      <c r="D219" s="32" t="n">
        <f aca="false">COUNTIFS('All Worker Fields'!E:E,A219,'All Worker Fields'!D:D,"Multi-instance")</f>
        <v>1</v>
      </c>
      <c r="E219" s="34" t="s">
        <v>1144</v>
      </c>
    </row>
    <row r="220" customFormat="false" ht="15" hidden="false" customHeight="false" outlineLevel="0" collapsed="false">
      <c r="A220" s="33" t="s">
        <v>1145</v>
      </c>
      <c r="B220" s="32" t="n">
        <v>2</v>
      </c>
      <c r="C220" s="32" t="n">
        <f aca="false">COUNTIFS('All Worker Fields'!E:E,A220,'All Worker Fields'!D:D,"Single instance")</f>
        <v>0</v>
      </c>
      <c r="D220" s="32" t="n">
        <f aca="false">COUNTIFS('All Worker Fields'!E:E,A220,'All Worker Fields'!D:D,"Multi-instance")</f>
        <v>1</v>
      </c>
      <c r="E220" s="34" t="s">
        <v>1146</v>
      </c>
    </row>
    <row r="221" customFormat="false" ht="15" hidden="false" customHeight="false" outlineLevel="0" collapsed="false">
      <c r="A221" s="33" t="s">
        <v>565</v>
      </c>
      <c r="B221" s="32" t="n">
        <v>2</v>
      </c>
      <c r="C221" s="32" t="n">
        <f aca="false">COUNTIFS('All Worker Fields'!E:E,A221,'All Worker Fields'!D:D,"Single instance")</f>
        <v>0</v>
      </c>
      <c r="D221" s="32" t="n">
        <f aca="false">COUNTIFS('All Worker Fields'!E:E,A221,'All Worker Fields'!D:D,"Multi-instance")</f>
        <v>2</v>
      </c>
      <c r="E221" s="34" t="s">
        <v>1147</v>
      </c>
    </row>
    <row r="222" customFormat="false" ht="15" hidden="false" customHeight="false" outlineLevel="0" collapsed="false">
      <c r="A222" s="33" t="s">
        <v>1148</v>
      </c>
      <c r="B222" s="32" t="n">
        <v>2</v>
      </c>
      <c r="C222" s="32" t="n">
        <f aca="false">COUNTIFS('All Worker Fields'!E:E,A222,'All Worker Fields'!D:D,"Single instance")</f>
        <v>0</v>
      </c>
      <c r="D222" s="32" t="n">
        <f aca="false">COUNTIFS('All Worker Fields'!E:E,A222,'All Worker Fields'!D:D,"Multi-instance")</f>
        <v>1</v>
      </c>
      <c r="E222" s="34" t="s">
        <v>1149</v>
      </c>
    </row>
    <row r="223" customFormat="false" ht="15" hidden="false" customHeight="false" outlineLevel="0" collapsed="false">
      <c r="A223" s="33" t="s">
        <v>620</v>
      </c>
      <c r="B223" s="32" t="n">
        <v>2</v>
      </c>
      <c r="C223" s="32" t="n">
        <f aca="false">COUNTIFS('All Worker Fields'!E:E,A223,'All Worker Fields'!D:D,"Single instance")</f>
        <v>0</v>
      </c>
      <c r="D223" s="32" t="n">
        <f aca="false">COUNTIFS('All Worker Fields'!E:E,A223,'All Worker Fields'!D:D,"Multi-instance")</f>
        <v>1</v>
      </c>
      <c r="E223" s="34" t="s">
        <v>619</v>
      </c>
    </row>
    <row r="224" customFormat="false" ht="15" hidden="false" customHeight="false" outlineLevel="0" collapsed="false">
      <c r="A224" s="33" t="s">
        <v>1150</v>
      </c>
      <c r="B224" s="32" t="n">
        <v>2</v>
      </c>
      <c r="C224" s="32" t="n">
        <f aca="false">COUNTIFS('All Worker Fields'!E:E,A224,'All Worker Fields'!D:D,"Single instance")</f>
        <v>0</v>
      </c>
      <c r="D224" s="32" t="n">
        <f aca="false">COUNTIFS('All Worker Fields'!E:E,A224,'All Worker Fields'!D:D,"Multi-instance")</f>
        <v>0</v>
      </c>
      <c r="E224" s="34"/>
    </row>
    <row r="225" customFormat="false" ht="15" hidden="false" customHeight="false" outlineLevel="0" collapsed="false">
      <c r="A225" s="33" t="s">
        <v>1151</v>
      </c>
      <c r="B225" s="32" t="n">
        <v>2</v>
      </c>
      <c r="C225" s="32" t="n">
        <f aca="false">COUNTIFS('All Worker Fields'!E:E,A225,'All Worker Fields'!D:D,"Single instance")</f>
        <v>0</v>
      </c>
      <c r="D225" s="32" t="n">
        <f aca="false">COUNTIFS('All Worker Fields'!E:E,A225,'All Worker Fields'!D:D,"Multi-instance")</f>
        <v>2</v>
      </c>
      <c r="E225" s="34" t="s">
        <v>1152</v>
      </c>
    </row>
    <row r="226" customFormat="false" ht="15" hidden="false" customHeight="false" outlineLevel="0" collapsed="false">
      <c r="A226" s="33" t="s">
        <v>1153</v>
      </c>
      <c r="B226" s="32" t="n">
        <v>2</v>
      </c>
      <c r="C226" s="32" t="n">
        <f aca="false">COUNTIFS('All Worker Fields'!E:E,A226,'All Worker Fields'!D:D,"Single instance")</f>
        <v>2</v>
      </c>
      <c r="D226" s="32" t="n">
        <f aca="false">COUNTIFS('All Worker Fields'!E:E,A226,'All Worker Fields'!D:D,"Multi-instance")</f>
        <v>0</v>
      </c>
      <c r="E226" s="34" t="s">
        <v>1154</v>
      </c>
    </row>
    <row r="227" customFormat="false" ht="15" hidden="false" customHeight="false" outlineLevel="0" collapsed="false">
      <c r="A227" s="33" t="s">
        <v>232</v>
      </c>
      <c r="B227" s="32" t="n">
        <v>2</v>
      </c>
      <c r="C227" s="32" t="n">
        <f aca="false">COUNTIFS('All Worker Fields'!E:E,A227,'All Worker Fields'!D:D,"Single instance")</f>
        <v>1</v>
      </c>
      <c r="D227" s="32" t="n">
        <f aca="false">COUNTIFS('All Worker Fields'!E:E,A227,'All Worker Fields'!D:D,"Multi-instance")</f>
        <v>0</v>
      </c>
      <c r="E227" s="34" t="s">
        <v>1155</v>
      </c>
    </row>
    <row r="228" customFormat="false" ht="15" hidden="false" customHeight="false" outlineLevel="0" collapsed="false">
      <c r="A228" s="33" t="s">
        <v>611</v>
      </c>
      <c r="B228" s="32" t="n">
        <v>2</v>
      </c>
      <c r="C228" s="32" t="n">
        <f aca="false">COUNTIFS('All Worker Fields'!E:E,A228,'All Worker Fields'!D:D,"Single instance")</f>
        <v>0</v>
      </c>
      <c r="D228" s="32" t="n">
        <f aca="false">COUNTIFS('All Worker Fields'!E:E,A228,'All Worker Fields'!D:D,"Multi-instance")</f>
        <v>2</v>
      </c>
      <c r="E228" s="34" t="s">
        <v>1156</v>
      </c>
    </row>
    <row r="229" customFormat="false" ht="15" hidden="false" customHeight="false" outlineLevel="0" collapsed="false">
      <c r="A229" s="33" t="s">
        <v>236</v>
      </c>
      <c r="B229" s="32" t="n">
        <v>2</v>
      </c>
      <c r="C229" s="32" t="n">
        <f aca="false">COUNTIFS('All Worker Fields'!E:E,A229,'All Worker Fields'!D:D,"Single instance")</f>
        <v>1</v>
      </c>
      <c r="D229" s="32" t="n">
        <f aca="false">COUNTIFS('All Worker Fields'!E:E,A229,'All Worker Fields'!D:D,"Multi-instance")</f>
        <v>0</v>
      </c>
      <c r="E229" s="34" t="s">
        <v>1157</v>
      </c>
    </row>
    <row r="230" customFormat="false" ht="15" hidden="false" customHeight="false" outlineLevel="0" collapsed="false">
      <c r="A230" s="33" t="s">
        <v>1158</v>
      </c>
      <c r="B230" s="32" t="n">
        <v>2</v>
      </c>
      <c r="C230" s="32" t="n">
        <f aca="false">COUNTIFS('All Worker Fields'!E:E,A230,'All Worker Fields'!D:D,"Single instance")</f>
        <v>0</v>
      </c>
      <c r="D230" s="32" t="n">
        <f aca="false">COUNTIFS('All Worker Fields'!E:E,A230,'All Worker Fields'!D:D,"Multi-instance")</f>
        <v>2</v>
      </c>
      <c r="E230" s="34" t="s">
        <v>1159</v>
      </c>
    </row>
    <row r="231" customFormat="false" ht="15" hidden="false" customHeight="false" outlineLevel="0" collapsed="false">
      <c r="A231" s="33" t="s">
        <v>539</v>
      </c>
      <c r="B231" s="32" t="n">
        <v>2</v>
      </c>
      <c r="C231" s="32" t="n">
        <f aca="false">COUNTIFS('All Worker Fields'!E:E,A231,'All Worker Fields'!D:D,"Single instance")</f>
        <v>1</v>
      </c>
      <c r="D231" s="32" t="n">
        <f aca="false">COUNTIFS('All Worker Fields'!E:E,A231,'All Worker Fields'!D:D,"Multi-instance")</f>
        <v>1</v>
      </c>
      <c r="E231" s="34" t="s">
        <v>1160</v>
      </c>
    </row>
    <row r="232" customFormat="false" ht="15" hidden="false" customHeight="false" outlineLevel="0" collapsed="false">
      <c r="A232" s="33" t="s">
        <v>1161</v>
      </c>
      <c r="B232" s="32" t="n">
        <v>2</v>
      </c>
      <c r="C232" s="32" t="n">
        <f aca="false">COUNTIFS('All Worker Fields'!E:E,A232,'All Worker Fields'!D:D,"Single instance")</f>
        <v>0</v>
      </c>
      <c r="D232" s="32" t="n">
        <f aca="false">COUNTIFS('All Worker Fields'!E:E,A232,'All Worker Fields'!D:D,"Multi-instance")</f>
        <v>2</v>
      </c>
      <c r="E232" s="34" t="s">
        <v>1162</v>
      </c>
    </row>
    <row r="233" customFormat="false" ht="15" hidden="false" customHeight="false" outlineLevel="0" collapsed="false">
      <c r="A233" s="33" t="s">
        <v>1163</v>
      </c>
      <c r="B233" s="32" t="n">
        <v>2</v>
      </c>
      <c r="C233" s="32" t="n">
        <f aca="false">COUNTIFS('All Worker Fields'!E:E,A233,'All Worker Fields'!D:D,"Single instance")</f>
        <v>1</v>
      </c>
      <c r="D233" s="32" t="n">
        <f aca="false">COUNTIFS('All Worker Fields'!E:E,A233,'All Worker Fields'!D:D,"Multi-instance")</f>
        <v>1</v>
      </c>
      <c r="E233" s="34" t="s">
        <v>1164</v>
      </c>
    </row>
    <row r="234" customFormat="false" ht="15" hidden="false" customHeight="false" outlineLevel="0" collapsed="false">
      <c r="A234" s="33" t="s">
        <v>580</v>
      </c>
      <c r="B234" s="32" t="n">
        <v>2</v>
      </c>
      <c r="C234" s="32" t="n">
        <f aca="false">COUNTIFS('All Worker Fields'!E:E,A234,'All Worker Fields'!D:D,"Single instance")</f>
        <v>2</v>
      </c>
      <c r="D234" s="32" t="n">
        <f aca="false">COUNTIFS('All Worker Fields'!E:E,A234,'All Worker Fields'!D:D,"Multi-instance")</f>
        <v>0</v>
      </c>
      <c r="E234" s="34" t="s">
        <v>1165</v>
      </c>
    </row>
    <row r="235" customFormat="false" ht="15" hidden="false" customHeight="false" outlineLevel="0" collapsed="false">
      <c r="A235" s="33" t="s">
        <v>1166</v>
      </c>
      <c r="B235" s="32" t="n">
        <v>2</v>
      </c>
      <c r="C235" s="32" t="n">
        <f aca="false">COUNTIFS('All Worker Fields'!E:E,A235,'All Worker Fields'!D:D,"Single instance")</f>
        <v>0</v>
      </c>
      <c r="D235" s="32" t="n">
        <f aca="false">COUNTIFS('All Worker Fields'!E:E,A235,'All Worker Fields'!D:D,"Multi-instance")</f>
        <v>2</v>
      </c>
      <c r="E235" s="34" t="s">
        <v>1167</v>
      </c>
    </row>
    <row r="236" customFormat="false" ht="15" hidden="false" customHeight="false" outlineLevel="0" collapsed="false">
      <c r="A236" s="33" t="s">
        <v>400</v>
      </c>
      <c r="B236" s="32" t="n">
        <v>2</v>
      </c>
      <c r="C236" s="32" t="n">
        <f aca="false">COUNTIFS('All Worker Fields'!E:E,A236,'All Worker Fields'!D:D,"Single instance")</f>
        <v>2</v>
      </c>
      <c r="D236" s="32" t="n">
        <f aca="false">COUNTIFS('All Worker Fields'!E:E,A236,'All Worker Fields'!D:D,"Multi-instance")</f>
        <v>0</v>
      </c>
      <c r="E236" s="34" t="s">
        <v>1168</v>
      </c>
    </row>
    <row r="237" customFormat="false" ht="15" hidden="false" customHeight="false" outlineLevel="0" collapsed="false">
      <c r="A237" s="33" t="s">
        <v>1169</v>
      </c>
      <c r="B237" s="32" t="n">
        <v>2</v>
      </c>
      <c r="C237" s="32" t="n">
        <f aca="false">COUNTIFS('All Worker Fields'!E:E,A237,'All Worker Fields'!D:D,"Single instance")</f>
        <v>0</v>
      </c>
      <c r="D237" s="32" t="n">
        <f aca="false">COUNTIFS('All Worker Fields'!E:E,A237,'All Worker Fields'!D:D,"Multi-instance")</f>
        <v>2</v>
      </c>
      <c r="E237" s="34" t="s">
        <v>1170</v>
      </c>
    </row>
    <row r="238" customFormat="false" ht="15" hidden="false" customHeight="false" outlineLevel="0" collapsed="false">
      <c r="A238" s="33" t="s">
        <v>428</v>
      </c>
      <c r="B238" s="32" t="n">
        <v>2</v>
      </c>
      <c r="C238" s="32" t="n">
        <f aca="false">COUNTIFS('All Worker Fields'!E:E,A238,'All Worker Fields'!D:D,"Single instance")</f>
        <v>0</v>
      </c>
      <c r="D238" s="32" t="n">
        <f aca="false">COUNTIFS('All Worker Fields'!E:E,A238,'All Worker Fields'!D:D,"Multi-instance")</f>
        <v>2</v>
      </c>
      <c r="E238" s="34" t="s">
        <v>1171</v>
      </c>
    </row>
    <row r="239" customFormat="false" ht="15" hidden="false" customHeight="false" outlineLevel="0" collapsed="false">
      <c r="A239" s="33" t="s">
        <v>1172</v>
      </c>
      <c r="B239" s="32" t="n">
        <v>2</v>
      </c>
      <c r="C239" s="32" t="n">
        <f aca="false">COUNTIFS('All Worker Fields'!E:E,A239,'All Worker Fields'!D:D,"Single instance")</f>
        <v>2</v>
      </c>
      <c r="D239" s="32" t="n">
        <f aca="false">COUNTIFS('All Worker Fields'!E:E,A239,'All Worker Fields'!D:D,"Multi-instance")</f>
        <v>0</v>
      </c>
      <c r="E239" s="34" t="s">
        <v>1173</v>
      </c>
    </row>
    <row r="240" customFormat="false" ht="15" hidden="false" customHeight="false" outlineLevel="0" collapsed="false">
      <c r="A240" s="33" t="s">
        <v>1174</v>
      </c>
      <c r="B240" s="32" t="n">
        <v>2</v>
      </c>
      <c r="C240" s="32" t="n">
        <f aca="false">COUNTIFS('All Worker Fields'!E:E,A240,'All Worker Fields'!D:D,"Single instance")</f>
        <v>1</v>
      </c>
      <c r="D240" s="32" t="n">
        <f aca="false">COUNTIFS('All Worker Fields'!E:E,A240,'All Worker Fields'!D:D,"Multi-instance")</f>
        <v>1</v>
      </c>
      <c r="E240" s="34" t="s">
        <v>1175</v>
      </c>
    </row>
    <row r="241" customFormat="false" ht="15" hidden="false" customHeight="false" outlineLevel="0" collapsed="false">
      <c r="A241" s="33" t="s">
        <v>1176</v>
      </c>
      <c r="B241" s="32" t="n">
        <v>2</v>
      </c>
      <c r="C241" s="32" t="n">
        <f aca="false">COUNTIFS('All Worker Fields'!E:E,A241,'All Worker Fields'!D:D,"Single instance")</f>
        <v>0</v>
      </c>
      <c r="D241" s="32" t="n">
        <f aca="false">COUNTIFS('All Worker Fields'!E:E,A241,'All Worker Fields'!D:D,"Multi-instance")</f>
        <v>2</v>
      </c>
      <c r="E241" s="34" t="s">
        <v>1177</v>
      </c>
    </row>
    <row r="242" customFormat="false" ht="15" hidden="false" customHeight="false" outlineLevel="0" collapsed="false">
      <c r="A242" s="33" t="s">
        <v>1178</v>
      </c>
      <c r="B242" s="32" t="n">
        <v>2</v>
      </c>
      <c r="C242" s="32" t="n">
        <f aca="false">COUNTIFS('All Worker Fields'!E:E,A242,'All Worker Fields'!D:D,"Single instance")</f>
        <v>0</v>
      </c>
      <c r="D242" s="32" t="n">
        <f aca="false">COUNTIFS('All Worker Fields'!E:E,A242,'All Worker Fields'!D:D,"Multi-instance")</f>
        <v>2</v>
      </c>
      <c r="E242" s="34" t="s">
        <v>1179</v>
      </c>
    </row>
    <row r="243" customFormat="false" ht="15" hidden="false" customHeight="false" outlineLevel="0" collapsed="false">
      <c r="A243" s="33" t="s">
        <v>1180</v>
      </c>
      <c r="B243" s="32" t="n">
        <v>2</v>
      </c>
      <c r="C243" s="32" t="n">
        <f aca="false">COUNTIFS('All Worker Fields'!E:E,A243,'All Worker Fields'!D:D,"Single instance")</f>
        <v>0</v>
      </c>
      <c r="D243" s="32" t="n">
        <f aca="false">COUNTIFS('All Worker Fields'!E:E,A243,'All Worker Fields'!D:D,"Multi-instance")</f>
        <v>2</v>
      </c>
      <c r="E243" s="34" t="s">
        <v>1181</v>
      </c>
    </row>
    <row r="244" customFormat="false" ht="15" hidden="false" customHeight="false" outlineLevel="0" collapsed="false">
      <c r="A244" s="33" t="s">
        <v>1182</v>
      </c>
      <c r="B244" s="32" t="n">
        <v>2</v>
      </c>
      <c r="C244" s="32" t="n">
        <f aca="false">COUNTIFS('All Worker Fields'!E:E,A244,'All Worker Fields'!D:D,"Single instance")</f>
        <v>1</v>
      </c>
      <c r="D244" s="32" t="n">
        <f aca="false">COUNTIFS('All Worker Fields'!E:E,A244,'All Worker Fields'!D:D,"Multi-instance")</f>
        <v>1</v>
      </c>
      <c r="E244" s="34" t="s">
        <v>1183</v>
      </c>
    </row>
    <row r="245" customFormat="false" ht="15" hidden="false" customHeight="false" outlineLevel="0" collapsed="false">
      <c r="A245" s="33" t="s">
        <v>1184</v>
      </c>
      <c r="B245" s="32" t="n">
        <v>2</v>
      </c>
      <c r="C245" s="32" t="n">
        <f aca="false">COUNTIFS('All Worker Fields'!E:E,A245,'All Worker Fields'!D:D,"Single instance")</f>
        <v>0</v>
      </c>
      <c r="D245" s="32" t="n">
        <f aca="false">COUNTIFS('All Worker Fields'!E:E,A245,'All Worker Fields'!D:D,"Multi-instance")</f>
        <v>2</v>
      </c>
      <c r="E245" s="34" t="s">
        <v>1185</v>
      </c>
    </row>
    <row r="246" customFormat="false" ht="15" hidden="false" customHeight="false" outlineLevel="0" collapsed="false">
      <c r="A246" s="33" t="s">
        <v>1186</v>
      </c>
      <c r="B246" s="32" t="n">
        <v>2</v>
      </c>
      <c r="C246" s="32" t="n">
        <f aca="false">COUNTIFS('All Worker Fields'!E:E,A246,'All Worker Fields'!D:D,"Single instance")</f>
        <v>0</v>
      </c>
      <c r="D246" s="32" t="n">
        <f aca="false">COUNTIFS('All Worker Fields'!E:E,A246,'All Worker Fields'!D:D,"Multi-instance")</f>
        <v>2</v>
      </c>
      <c r="E246" s="34" t="s">
        <v>1187</v>
      </c>
    </row>
    <row r="247" customFormat="false" ht="15" hidden="false" customHeight="false" outlineLevel="0" collapsed="false">
      <c r="A247" s="33" t="s">
        <v>1188</v>
      </c>
      <c r="B247" s="32" t="n">
        <v>2</v>
      </c>
      <c r="C247" s="32" t="n">
        <f aca="false">COUNTIFS('All Worker Fields'!E:E,A247,'All Worker Fields'!D:D,"Single instance")</f>
        <v>0</v>
      </c>
      <c r="D247" s="32" t="n">
        <f aca="false">COUNTIFS('All Worker Fields'!E:E,A247,'All Worker Fields'!D:D,"Multi-instance")</f>
        <v>2</v>
      </c>
      <c r="E247" s="34" t="s">
        <v>1189</v>
      </c>
    </row>
    <row r="248" customFormat="false" ht="15" hidden="false" customHeight="false" outlineLevel="0" collapsed="false">
      <c r="A248" s="33" t="s">
        <v>1190</v>
      </c>
      <c r="B248" s="32" t="n">
        <v>2</v>
      </c>
      <c r="C248" s="32" t="n">
        <f aca="false">COUNTIFS('All Worker Fields'!E:E,A248,'All Worker Fields'!D:D,"Single instance")</f>
        <v>0</v>
      </c>
      <c r="D248" s="32" t="n">
        <f aca="false">COUNTIFS('All Worker Fields'!E:E,A248,'All Worker Fields'!D:D,"Multi-instance")</f>
        <v>1</v>
      </c>
      <c r="E248" s="34" t="s">
        <v>1191</v>
      </c>
    </row>
    <row r="249" customFormat="false" ht="15" hidden="false" customHeight="false" outlineLevel="0" collapsed="false">
      <c r="A249" s="33" t="s">
        <v>1192</v>
      </c>
      <c r="B249" s="32" t="n">
        <v>2</v>
      </c>
      <c r="C249" s="32" t="n">
        <f aca="false">COUNTIFS('All Worker Fields'!E:E,A249,'All Worker Fields'!D:D,"Single instance")</f>
        <v>0</v>
      </c>
      <c r="D249" s="32" t="n">
        <f aca="false">COUNTIFS('All Worker Fields'!E:E,A249,'All Worker Fields'!D:D,"Multi-instance")</f>
        <v>2</v>
      </c>
      <c r="E249" s="34" t="s">
        <v>1193</v>
      </c>
    </row>
    <row r="250" customFormat="false" ht="15" hidden="false" customHeight="false" outlineLevel="0" collapsed="false">
      <c r="A250" s="33" t="s">
        <v>626</v>
      </c>
      <c r="B250" s="32" t="n">
        <v>2</v>
      </c>
      <c r="C250" s="32" t="n">
        <f aca="false">COUNTIFS('All Worker Fields'!E:E,A250,'All Worker Fields'!D:D,"Single instance")</f>
        <v>0</v>
      </c>
      <c r="D250" s="32" t="n">
        <f aca="false">COUNTIFS('All Worker Fields'!E:E,A250,'All Worker Fields'!D:D,"Multi-instance")</f>
        <v>2</v>
      </c>
      <c r="E250" s="34" t="s">
        <v>1194</v>
      </c>
    </row>
    <row r="251" customFormat="false" ht="15" hidden="false" customHeight="false" outlineLevel="0" collapsed="false">
      <c r="A251" s="33" t="s">
        <v>1195</v>
      </c>
      <c r="B251" s="32" t="n">
        <v>2</v>
      </c>
      <c r="C251" s="32" t="n">
        <f aca="false">COUNTIFS('All Worker Fields'!E:E,A251,'All Worker Fields'!D:D,"Single instance")</f>
        <v>0</v>
      </c>
      <c r="D251" s="32" t="n">
        <f aca="false">COUNTIFS('All Worker Fields'!E:E,A251,'All Worker Fields'!D:D,"Multi-instance")</f>
        <v>0</v>
      </c>
      <c r="E251" s="34" t="s">
        <v>1196</v>
      </c>
    </row>
    <row r="252" customFormat="false" ht="15" hidden="false" customHeight="false" outlineLevel="0" collapsed="false">
      <c r="A252" s="33" t="s">
        <v>1197</v>
      </c>
      <c r="B252" s="32" t="n">
        <v>2</v>
      </c>
      <c r="C252" s="32" t="n">
        <f aca="false">COUNTIFS('All Worker Fields'!E:E,A252,'All Worker Fields'!D:D,"Single instance")</f>
        <v>0</v>
      </c>
      <c r="D252" s="32" t="n">
        <f aca="false">COUNTIFS('All Worker Fields'!E:E,A252,'All Worker Fields'!D:D,"Multi-instance")</f>
        <v>2</v>
      </c>
      <c r="E252" s="34" t="s">
        <v>1198</v>
      </c>
    </row>
    <row r="253" customFormat="false" ht="15" hidden="false" customHeight="false" outlineLevel="0" collapsed="false">
      <c r="A253" s="33" t="s">
        <v>724</v>
      </c>
      <c r="B253" s="32" t="n">
        <v>2</v>
      </c>
      <c r="C253" s="32" t="n">
        <f aca="false">COUNTIFS('All Worker Fields'!E:E,A253,'All Worker Fields'!D:D,"Single instance")</f>
        <v>2</v>
      </c>
      <c r="D253" s="32" t="n">
        <f aca="false">COUNTIFS('All Worker Fields'!E:E,A253,'All Worker Fields'!D:D,"Multi-instance")</f>
        <v>0</v>
      </c>
      <c r="E253" s="34" t="s">
        <v>1199</v>
      </c>
    </row>
    <row r="254" customFormat="false" ht="15" hidden="false" customHeight="false" outlineLevel="0" collapsed="false">
      <c r="A254" s="33" t="s">
        <v>1200</v>
      </c>
      <c r="B254" s="32" t="n">
        <v>2</v>
      </c>
      <c r="C254" s="32" t="n">
        <f aca="false">COUNTIFS('All Worker Fields'!E:E,A254,'All Worker Fields'!D:D,"Single instance")</f>
        <v>0</v>
      </c>
      <c r="D254" s="32" t="n">
        <f aca="false">COUNTIFS('All Worker Fields'!E:E,A254,'All Worker Fields'!D:D,"Multi-instance")</f>
        <v>2</v>
      </c>
      <c r="E254" s="34" t="s">
        <v>1201</v>
      </c>
    </row>
    <row r="255" customFormat="false" ht="15" hidden="false" customHeight="false" outlineLevel="0" collapsed="false">
      <c r="A255" s="33" t="s">
        <v>1202</v>
      </c>
      <c r="B255" s="32" t="n">
        <v>2</v>
      </c>
      <c r="C255" s="32" t="n">
        <f aca="false">COUNTIFS('All Worker Fields'!E:E,A255,'All Worker Fields'!D:D,"Single instance")</f>
        <v>0</v>
      </c>
      <c r="D255" s="32" t="n">
        <f aca="false">COUNTIFS('All Worker Fields'!E:E,A255,'All Worker Fields'!D:D,"Multi-instance")</f>
        <v>1</v>
      </c>
      <c r="E255" s="34" t="s">
        <v>1203</v>
      </c>
    </row>
    <row r="256" customFormat="false" ht="15" hidden="false" customHeight="false" outlineLevel="0" collapsed="false">
      <c r="A256" s="33" t="s">
        <v>1204</v>
      </c>
      <c r="B256" s="32" t="n">
        <v>2</v>
      </c>
      <c r="C256" s="32" t="n">
        <f aca="false">COUNTIFS('All Worker Fields'!E:E,A256,'All Worker Fields'!D:D,"Single instance")</f>
        <v>1</v>
      </c>
      <c r="D256" s="32" t="n">
        <f aca="false">COUNTIFS('All Worker Fields'!E:E,A256,'All Worker Fields'!D:D,"Multi-instance")</f>
        <v>0</v>
      </c>
      <c r="E256" s="34" t="s">
        <v>1205</v>
      </c>
    </row>
    <row r="257" customFormat="false" ht="15" hidden="false" customHeight="false" outlineLevel="0" collapsed="false">
      <c r="A257" s="33" t="s">
        <v>1206</v>
      </c>
      <c r="B257" s="32" t="n">
        <v>2</v>
      </c>
      <c r="C257" s="32" t="n">
        <f aca="false">COUNTIFS('All Worker Fields'!E:E,A257,'All Worker Fields'!D:D,"Single instance")</f>
        <v>0</v>
      </c>
      <c r="D257" s="32" t="n">
        <f aca="false">COUNTIFS('All Worker Fields'!E:E,A257,'All Worker Fields'!D:D,"Multi-instance")</f>
        <v>2</v>
      </c>
      <c r="E257" s="34" t="s">
        <v>1207</v>
      </c>
    </row>
    <row r="258" customFormat="false" ht="15" hidden="false" customHeight="false" outlineLevel="0" collapsed="false">
      <c r="A258" s="33" t="s">
        <v>725</v>
      </c>
      <c r="B258" s="32" t="n">
        <v>2</v>
      </c>
      <c r="C258" s="32" t="n">
        <f aca="false">COUNTIFS('All Worker Fields'!E:E,A258,'All Worker Fields'!D:D,"Single instance")</f>
        <v>1</v>
      </c>
      <c r="D258" s="32" t="n">
        <f aca="false">COUNTIFS('All Worker Fields'!E:E,A258,'All Worker Fields'!D:D,"Multi-instance")</f>
        <v>0</v>
      </c>
      <c r="E258" s="34" t="s">
        <v>1208</v>
      </c>
    </row>
    <row r="259" customFormat="false" ht="15" hidden="false" customHeight="false" outlineLevel="0" collapsed="false">
      <c r="A259" s="33" t="s">
        <v>1209</v>
      </c>
      <c r="B259" s="32" t="n">
        <v>2</v>
      </c>
      <c r="C259" s="32" t="n">
        <f aca="false">COUNTIFS('All Worker Fields'!E:E,A259,'All Worker Fields'!D:D,"Single instance")</f>
        <v>0</v>
      </c>
      <c r="D259" s="32" t="n">
        <f aca="false">COUNTIFS('All Worker Fields'!E:E,A259,'All Worker Fields'!D:D,"Multi-instance")</f>
        <v>2</v>
      </c>
      <c r="E259" s="34" t="s">
        <v>1210</v>
      </c>
    </row>
    <row r="260" customFormat="false" ht="15" hidden="false" customHeight="false" outlineLevel="0" collapsed="false">
      <c r="A260" s="33" t="s">
        <v>1211</v>
      </c>
      <c r="B260" s="32" t="n">
        <v>2</v>
      </c>
      <c r="C260" s="32" t="n">
        <f aca="false">COUNTIFS('All Worker Fields'!E:E,A260,'All Worker Fields'!D:D,"Single instance")</f>
        <v>2</v>
      </c>
      <c r="D260" s="32" t="n">
        <f aca="false">COUNTIFS('All Worker Fields'!E:E,A260,'All Worker Fields'!D:D,"Multi-instance")</f>
        <v>0</v>
      </c>
      <c r="E260" s="34" t="s">
        <v>1212</v>
      </c>
    </row>
    <row r="261" customFormat="false" ht="15" hidden="false" customHeight="false" outlineLevel="0" collapsed="false">
      <c r="A261" s="33" t="s">
        <v>1213</v>
      </c>
      <c r="B261" s="32" t="n">
        <v>2</v>
      </c>
      <c r="C261" s="32" t="n">
        <f aca="false">COUNTIFS('All Worker Fields'!E:E,A261,'All Worker Fields'!D:D,"Single instance")</f>
        <v>1</v>
      </c>
      <c r="D261" s="32" t="n">
        <f aca="false">COUNTIFS('All Worker Fields'!E:E,A261,'All Worker Fields'!D:D,"Multi-instance")</f>
        <v>1</v>
      </c>
      <c r="E261" s="34" t="s">
        <v>1214</v>
      </c>
    </row>
    <row r="262" customFormat="false" ht="15" hidden="false" customHeight="false" outlineLevel="0" collapsed="false">
      <c r="A262" s="33" t="s">
        <v>1215</v>
      </c>
      <c r="B262" s="32" t="n">
        <v>2</v>
      </c>
      <c r="C262" s="32" t="n">
        <f aca="false">COUNTIFS('All Worker Fields'!E:E,A262,'All Worker Fields'!D:D,"Single instance")</f>
        <v>0</v>
      </c>
      <c r="D262" s="32" t="n">
        <f aca="false">COUNTIFS('All Worker Fields'!E:E,A262,'All Worker Fields'!D:D,"Multi-instance")</f>
        <v>1</v>
      </c>
      <c r="E262" s="34" t="s">
        <v>1216</v>
      </c>
    </row>
    <row r="263" customFormat="false" ht="15" hidden="false" customHeight="false" outlineLevel="0" collapsed="false">
      <c r="A263" s="33" t="s">
        <v>575</v>
      </c>
      <c r="B263" s="32" t="n">
        <v>2</v>
      </c>
      <c r="C263" s="32" t="n">
        <f aca="false">COUNTIFS('All Worker Fields'!E:E,A263,'All Worker Fields'!D:D,"Single instance")</f>
        <v>2</v>
      </c>
      <c r="D263" s="32" t="n">
        <f aca="false">COUNTIFS('All Worker Fields'!E:E,A263,'All Worker Fields'!D:D,"Multi-instance")</f>
        <v>0</v>
      </c>
      <c r="E263" s="34" t="s">
        <v>1217</v>
      </c>
    </row>
    <row r="264" customFormat="false" ht="15" hidden="false" customHeight="false" outlineLevel="0" collapsed="false">
      <c r="A264" s="33" t="s">
        <v>1218</v>
      </c>
      <c r="B264" s="32" t="n">
        <v>2</v>
      </c>
      <c r="C264" s="32" t="n">
        <f aca="false">COUNTIFS('All Worker Fields'!E:E,A264,'All Worker Fields'!D:D,"Single instance")</f>
        <v>0</v>
      </c>
      <c r="D264" s="32" t="n">
        <f aca="false">COUNTIFS('All Worker Fields'!E:E,A264,'All Worker Fields'!D:D,"Multi-instance")</f>
        <v>2</v>
      </c>
      <c r="E264" s="34" t="s">
        <v>1219</v>
      </c>
    </row>
    <row r="265" customFormat="false" ht="15" hidden="false" customHeight="false" outlineLevel="0" collapsed="false">
      <c r="A265" s="33" t="s">
        <v>747</v>
      </c>
      <c r="B265" s="32" t="n">
        <v>2</v>
      </c>
      <c r="C265" s="32" t="n">
        <f aca="false">COUNTIFS('All Worker Fields'!E:E,A265,'All Worker Fields'!D:D,"Single instance")</f>
        <v>0</v>
      </c>
      <c r="D265" s="32" t="n">
        <f aca="false">COUNTIFS('All Worker Fields'!E:E,A265,'All Worker Fields'!D:D,"Multi-instance")</f>
        <v>2</v>
      </c>
      <c r="E265" s="34" t="s">
        <v>1220</v>
      </c>
    </row>
    <row r="266" customFormat="false" ht="15" hidden="false" customHeight="false" outlineLevel="0" collapsed="false">
      <c r="A266" s="33" t="s">
        <v>1221</v>
      </c>
      <c r="B266" s="32" t="n">
        <v>2</v>
      </c>
      <c r="C266" s="32" t="n">
        <f aca="false">COUNTIFS('All Worker Fields'!E:E,A266,'All Worker Fields'!D:D,"Single instance")</f>
        <v>0</v>
      </c>
      <c r="D266" s="32" t="n">
        <f aca="false">COUNTIFS('All Worker Fields'!E:E,A266,'All Worker Fields'!D:D,"Multi-instance")</f>
        <v>1</v>
      </c>
      <c r="E266" s="34" t="s">
        <v>1222</v>
      </c>
    </row>
    <row r="267" customFormat="false" ht="15" hidden="false" customHeight="false" outlineLevel="0" collapsed="false">
      <c r="A267" s="33" t="s">
        <v>1223</v>
      </c>
      <c r="B267" s="32" t="n">
        <v>2</v>
      </c>
      <c r="C267" s="32" t="n">
        <f aca="false">COUNTIFS('All Worker Fields'!E:E,A267,'All Worker Fields'!D:D,"Single instance")</f>
        <v>0</v>
      </c>
      <c r="D267" s="32" t="n">
        <f aca="false">COUNTIFS('All Worker Fields'!E:E,A267,'All Worker Fields'!D:D,"Multi-instance")</f>
        <v>2</v>
      </c>
      <c r="E267" s="34" t="s">
        <v>1224</v>
      </c>
    </row>
    <row r="268" customFormat="false" ht="15" hidden="false" customHeight="false" outlineLevel="0" collapsed="false">
      <c r="A268" s="33" t="s">
        <v>1225</v>
      </c>
      <c r="B268" s="32" t="n">
        <v>2</v>
      </c>
      <c r="C268" s="32" t="n">
        <f aca="false">COUNTIFS('All Worker Fields'!E:E,A268,'All Worker Fields'!D:D,"Single instance")</f>
        <v>0</v>
      </c>
      <c r="D268" s="32" t="n">
        <f aca="false">COUNTIFS('All Worker Fields'!E:E,A268,'All Worker Fields'!D:D,"Multi-instance")</f>
        <v>1</v>
      </c>
      <c r="E268" s="34" t="s">
        <v>1226</v>
      </c>
    </row>
    <row r="269" customFormat="false" ht="15" hidden="false" customHeight="false" outlineLevel="0" collapsed="false">
      <c r="A269" s="33" t="s">
        <v>1227</v>
      </c>
      <c r="B269" s="32" t="n">
        <v>2</v>
      </c>
      <c r="C269" s="32" t="n">
        <f aca="false">COUNTIFS('All Worker Fields'!E:E,A269,'All Worker Fields'!D:D,"Single instance")</f>
        <v>1</v>
      </c>
      <c r="D269" s="32" t="n">
        <f aca="false">COUNTIFS('All Worker Fields'!E:E,A269,'All Worker Fields'!D:D,"Multi-instance")</f>
        <v>0</v>
      </c>
      <c r="E269" s="34" t="s">
        <v>1228</v>
      </c>
    </row>
    <row r="270" customFormat="false" ht="15" hidden="false" customHeight="false" outlineLevel="0" collapsed="false">
      <c r="A270" s="33" t="s">
        <v>1229</v>
      </c>
      <c r="B270" s="32" t="n">
        <v>2</v>
      </c>
      <c r="C270" s="32" t="n">
        <f aca="false">COUNTIFS('All Worker Fields'!E:E,A270,'All Worker Fields'!D:D,"Single instance")</f>
        <v>1</v>
      </c>
      <c r="D270" s="32" t="n">
        <f aca="false">COUNTIFS('All Worker Fields'!E:E,A270,'All Worker Fields'!D:D,"Multi-instance")</f>
        <v>0</v>
      </c>
      <c r="E270" s="34" t="s">
        <v>1230</v>
      </c>
    </row>
    <row r="271" customFormat="false" ht="15" hidden="false" customHeight="false" outlineLevel="0" collapsed="false">
      <c r="A271" s="33" t="s">
        <v>267</v>
      </c>
      <c r="B271" s="32" t="n">
        <v>2</v>
      </c>
      <c r="C271" s="32" t="n">
        <f aca="false">COUNTIFS('All Worker Fields'!E:E,A271,'All Worker Fields'!D:D,"Single instance")</f>
        <v>0</v>
      </c>
      <c r="D271" s="32" t="n">
        <f aca="false">COUNTIFS('All Worker Fields'!E:E,A271,'All Worker Fields'!D:D,"Multi-instance")</f>
        <v>0</v>
      </c>
      <c r="E271" s="34"/>
    </row>
    <row r="272" customFormat="false" ht="15" hidden="false" customHeight="false" outlineLevel="0" collapsed="false">
      <c r="A272" s="33" t="s">
        <v>1231</v>
      </c>
      <c r="B272" s="32" t="n">
        <v>2</v>
      </c>
      <c r="C272" s="32" t="n">
        <f aca="false">COUNTIFS('All Worker Fields'!E:E,A272,'All Worker Fields'!D:D,"Single instance")</f>
        <v>2</v>
      </c>
      <c r="D272" s="32" t="n">
        <f aca="false">COUNTIFS('All Worker Fields'!E:E,A272,'All Worker Fields'!D:D,"Multi-instance")</f>
        <v>0</v>
      </c>
      <c r="E272" s="34" t="s">
        <v>1232</v>
      </c>
    </row>
    <row r="273" customFormat="false" ht="15" hidden="false" customHeight="false" outlineLevel="0" collapsed="false">
      <c r="A273" s="33" t="s">
        <v>1233</v>
      </c>
      <c r="B273" s="32" t="n">
        <v>2</v>
      </c>
      <c r="C273" s="32" t="n">
        <f aca="false">COUNTIFS('All Worker Fields'!E:E,A273,'All Worker Fields'!D:D,"Single instance")</f>
        <v>0</v>
      </c>
      <c r="D273" s="32" t="n">
        <f aca="false">COUNTIFS('All Worker Fields'!E:E,A273,'All Worker Fields'!D:D,"Multi-instance")</f>
        <v>2</v>
      </c>
      <c r="E273" s="34" t="s">
        <v>1234</v>
      </c>
    </row>
    <row r="274" customFormat="false" ht="15" hidden="false" customHeight="false" outlineLevel="0" collapsed="false">
      <c r="A274" s="33" t="s">
        <v>1235</v>
      </c>
      <c r="B274" s="32" t="n">
        <v>2</v>
      </c>
      <c r="C274" s="32" t="n">
        <f aca="false">COUNTIFS('All Worker Fields'!E:E,A274,'All Worker Fields'!D:D,"Single instance")</f>
        <v>0</v>
      </c>
      <c r="D274" s="32" t="n">
        <f aca="false">COUNTIFS('All Worker Fields'!E:E,A274,'All Worker Fields'!D:D,"Multi-instance")</f>
        <v>2</v>
      </c>
      <c r="E274" s="34" t="s">
        <v>1236</v>
      </c>
    </row>
    <row r="275" customFormat="false" ht="15" hidden="false" customHeight="false" outlineLevel="0" collapsed="false">
      <c r="A275" s="33" t="s">
        <v>1237</v>
      </c>
      <c r="B275" s="32" t="n">
        <v>2</v>
      </c>
      <c r="C275" s="32" t="n">
        <f aca="false">COUNTIFS('All Worker Fields'!E:E,A275,'All Worker Fields'!D:D,"Single instance")</f>
        <v>0</v>
      </c>
      <c r="D275" s="32" t="n">
        <f aca="false">COUNTIFS('All Worker Fields'!E:E,A275,'All Worker Fields'!D:D,"Multi-instance")</f>
        <v>2</v>
      </c>
      <c r="E275" s="34" t="s">
        <v>1238</v>
      </c>
    </row>
    <row r="276" customFormat="false" ht="15" hidden="false" customHeight="false" outlineLevel="0" collapsed="false">
      <c r="A276" s="33" t="s">
        <v>1239</v>
      </c>
      <c r="B276" s="32" t="n">
        <v>2</v>
      </c>
      <c r="C276" s="32" t="n">
        <f aca="false">COUNTIFS('All Worker Fields'!E:E,A276,'All Worker Fields'!D:D,"Single instance")</f>
        <v>1</v>
      </c>
      <c r="D276" s="32" t="n">
        <f aca="false">COUNTIFS('All Worker Fields'!E:E,A276,'All Worker Fields'!D:D,"Multi-instance")</f>
        <v>0</v>
      </c>
      <c r="E276" s="34" t="s">
        <v>1240</v>
      </c>
    </row>
    <row r="277" customFormat="false" ht="15" hidden="false" customHeight="false" outlineLevel="0" collapsed="false">
      <c r="A277" s="33" t="s">
        <v>1241</v>
      </c>
      <c r="B277" s="32" t="n">
        <v>2</v>
      </c>
      <c r="C277" s="32" t="n">
        <f aca="false">COUNTIFS('All Worker Fields'!E:E,A277,'All Worker Fields'!D:D,"Single instance")</f>
        <v>0</v>
      </c>
      <c r="D277" s="32" t="n">
        <f aca="false">COUNTIFS('All Worker Fields'!E:E,A277,'All Worker Fields'!D:D,"Multi-instance")</f>
        <v>2</v>
      </c>
      <c r="E277" s="34" t="s">
        <v>1242</v>
      </c>
    </row>
    <row r="278" customFormat="false" ht="15" hidden="false" customHeight="false" outlineLevel="0" collapsed="false">
      <c r="A278" s="33" t="s">
        <v>527</v>
      </c>
      <c r="B278" s="32" t="n">
        <v>2</v>
      </c>
      <c r="C278" s="32" t="n">
        <f aca="false">COUNTIFS('All Worker Fields'!E:E,A278,'All Worker Fields'!D:D,"Single instance")</f>
        <v>1</v>
      </c>
      <c r="D278" s="32" t="n">
        <f aca="false">COUNTIFS('All Worker Fields'!E:E,A278,'All Worker Fields'!D:D,"Multi-instance")</f>
        <v>1</v>
      </c>
      <c r="E278" s="34" t="s">
        <v>1243</v>
      </c>
    </row>
    <row r="279" customFormat="false" ht="15" hidden="false" customHeight="false" outlineLevel="0" collapsed="false">
      <c r="A279" s="33" t="s">
        <v>1244</v>
      </c>
      <c r="B279" s="32" t="n">
        <v>2</v>
      </c>
      <c r="C279" s="32" t="n">
        <f aca="false">COUNTIFS('All Worker Fields'!E:E,A279,'All Worker Fields'!D:D,"Single instance")</f>
        <v>0</v>
      </c>
      <c r="D279" s="32" t="n">
        <f aca="false">COUNTIFS('All Worker Fields'!E:E,A279,'All Worker Fields'!D:D,"Multi-instance")</f>
        <v>2</v>
      </c>
      <c r="E279" s="34" t="s">
        <v>1245</v>
      </c>
    </row>
    <row r="280" customFormat="false" ht="15" hidden="false" customHeight="false" outlineLevel="0" collapsed="false">
      <c r="A280" s="33" t="s">
        <v>1246</v>
      </c>
      <c r="B280" s="32" t="n">
        <v>2</v>
      </c>
      <c r="C280" s="32" t="n">
        <f aca="false">COUNTIFS('All Worker Fields'!E:E,A280,'All Worker Fields'!D:D,"Single instance")</f>
        <v>0</v>
      </c>
      <c r="D280" s="32" t="n">
        <f aca="false">COUNTIFS('All Worker Fields'!E:E,A280,'All Worker Fields'!D:D,"Multi-instance")</f>
        <v>2</v>
      </c>
      <c r="E280" s="34" t="s">
        <v>1247</v>
      </c>
    </row>
    <row r="281" customFormat="false" ht="15" hidden="false" customHeight="false" outlineLevel="0" collapsed="false">
      <c r="A281" s="33" t="s">
        <v>1248</v>
      </c>
      <c r="B281" s="32" t="n">
        <v>2</v>
      </c>
      <c r="C281" s="32" t="n">
        <f aca="false">COUNTIFS('All Worker Fields'!E:E,A281,'All Worker Fields'!D:D,"Single instance")</f>
        <v>0</v>
      </c>
      <c r="D281" s="32" t="n">
        <f aca="false">COUNTIFS('All Worker Fields'!E:E,A281,'All Worker Fields'!D:D,"Multi-instance")</f>
        <v>0</v>
      </c>
      <c r="E281" s="34"/>
    </row>
    <row r="282" customFormat="false" ht="15" hidden="false" customHeight="false" outlineLevel="0" collapsed="false">
      <c r="A282" s="33" t="s">
        <v>1249</v>
      </c>
      <c r="B282" s="32" t="n">
        <v>2</v>
      </c>
      <c r="C282" s="32" t="n">
        <f aca="false">COUNTIFS('All Worker Fields'!E:E,A282,'All Worker Fields'!D:D,"Single instance")</f>
        <v>0</v>
      </c>
      <c r="D282" s="32" t="n">
        <f aca="false">COUNTIFS('All Worker Fields'!E:E,A282,'All Worker Fields'!D:D,"Multi-instance")</f>
        <v>1</v>
      </c>
      <c r="E282" s="34" t="s">
        <v>1250</v>
      </c>
    </row>
    <row r="283" customFormat="false" ht="15" hidden="false" customHeight="false" outlineLevel="0" collapsed="false">
      <c r="A283" s="33" t="s">
        <v>737</v>
      </c>
      <c r="B283" s="32" t="n">
        <v>2</v>
      </c>
      <c r="C283" s="32" t="n">
        <f aca="false">COUNTIFS('All Worker Fields'!E:E,A283,'All Worker Fields'!D:D,"Single instance")</f>
        <v>0</v>
      </c>
      <c r="D283" s="32" t="n">
        <f aca="false">COUNTIFS('All Worker Fields'!E:E,A283,'All Worker Fields'!D:D,"Multi-instance")</f>
        <v>2</v>
      </c>
      <c r="E283" s="34" t="s">
        <v>1251</v>
      </c>
    </row>
    <row r="284" customFormat="false" ht="15" hidden="false" customHeight="false" outlineLevel="0" collapsed="false">
      <c r="A284" s="33" t="s">
        <v>1252</v>
      </c>
      <c r="B284" s="32" t="n">
        <v>2</v>
      </c>
      <c r="C284" s="32" t="n">
        <f aca="false">COUNTIFS('All Worker Fields'!E:E,A284,'All Worker Fields'!D:D,"Single instance")</f>
        <v>1</v>
      </c>
      <c r="D284" s="32" t="n">
        <f aca="false">COUNTIFS('All Worker Fields'!E:E,A284,'All Worker Fields'!D:D,"Multi-instance")</f>
        <v>1</v>
      </c>
      <c r="E284" s="34" t="s">
        <v>1253</v>
      </c>
    </row>
    <row r="285" customFormat="false" ht="15" hidden="false" customHeight="false" outlineLevel="0" collapsed="false">
      <c r="A285" s="33" t="s">
        <v>1254</v>
      </c>
      <c r="B285" s="32" t="n">
        <v>2</v>
      </c>
      <c r="C285" s="32" t="n">
        <f aca="false">COUNTIFS('All Worker Fields'!E:E,A285,'All Worker Fields'!D:D,"Single instance")</f>
        <v>2</v>
      </c>
      <c r="D285" s="32" t="n">
        <f aca="false">COUNTIFS('All Worker Fields'!E:E,A285,'All Worker Fields'!D:D,"Multi-instance")</f>
        <v>0</v>
      </c>
      <c r="E285" s="34" t="s">
        <v>1255</v>
      </c>
    </row>
    <row r="286" customFormat="false" ht="15" hidden="false" customHeight="false" outlineLevel="0" collapsed="false">
      <c r="A286" s="33" t="s">
        <v>1256</v>
      </c>
      <c r="B286" s="32" t="n">
        <v>2</v>
      </c>
      <c r="C286" s="32" t="n">
        <f aca="false">COUNTIFS('All Worker Fields'!E:E,A286,'All Worker Fields'!D:D,"Single instance")</f>
        <v>2</v>
      </c>
      <c r="D286" s="32" t="n">
        <f aca="false">COUNTIFS('All Worker Fields'!E:E,A286,'All Worker Fields'!D:D,"Multi-instance")</f>
        <v>0</v>
      </c>
      <c r="E286" s="34" t="s">
        <v>1257</v>
      </c>
    </row>
    <row r="287" customFormat="false" ht="15" hidden="false" customHeight="false" outlineLevel="0" collapsed="false">
      <c r="A287" s="33" t="s">
        <v>1258</v>
      </c>
      <c r="B287" s="32" t="n">
        <v>2</v>
      </c>
      <c r="C287" s="32" t="n">
        <f aca="false">COUNTIFS('All Worker Fields'!E:E,A287,'All Worker Fields'!D:D,"Single instance")</f>
        <v>1</v>
      </c>
      <c r="D287" s="32" t="n">
        <f aca="false">COUNTIFS('All Worker Fields'!E:E,A287,'All Worker Fields'!D:D,"Multi-instance")</f>
        <v>1</v>
      </c>
      <c r="E287" s="34" t="s">
        <v>1259</v>
      </c>
    </row>
    <row r="288" customFormat="false" ht="15" hidden="false" customHeight="false" outlineLevel="0" collapsed="false">
      <c r="A288" s="33" t="s">
        <v>1260</v>
      </c>
      <c r="B288" s="32" t="n">
        <v>2</v>
      </c>
      <c r="C288" s="32" t="n">
        <f aca="false">COUNTIFS('All Worker Fields'!E:E,A288,'All Worker Fields'!D:D,"Single instance")</f>
        <v>0</v>
      </c>
      <c r="D288" s="32" t="n">
        <f aca="false">COUNTIFS('All Worker Fields'!E:E,A288,'All Worker Fields'!D:D,"Multi-instance")</f>
        <v>2</v>
      </c>
      <c r="E288" s="34" t="s">
        <v>1261</v>
      </c>
    </row>
    <row r="289" customFormat="false" ht="15" hidden="false" customHeight="false" outlineLevel="0" collapsed="false">
      <c r="A289" s="33" t="s">
        <v>1262</v>
      </c>
      <c r="B289" s="32" t="n">
        <v>2</v>
      </c>
      <c r="C289" s="32" t="n">
        <f aca="false">COUNTIFS('All Worker Fields'!E:E,A289,'All Worker Fields'!D:D,"Single instance")</f>
        <v>0</v>
      </c>
      <c r="D289" s="32" t="n">
        <f aca="false">COUNTIFS('All Worker Fields'!E:E,A289,'All Worker Fields'!D:D,"Multi-instance")</f>
        <v>0</v>
      </c>
      <c r="E289" s="34"/>
    </row>
    <row r="290" customFormat="false" ht="15" hidden="false" customHeight="false" outlineLevel="0" collapsed="false">
      <c r="A290" s="33" t="s">
        <v>1263</v>
      </c>
      <c r="B290" s="32" t="n">
        <v>2</v>
      </c>
      <c r="C290" s="32" t="n">
        <f aca="false">COUNTIFS('All Worker Fields'!E:E,A290,'All Worker Fields'!D:D,"Single instance")</f>
        <v>0</v>
      </c>
      <c r="D290" s="32" t="n">
        <f aca="false">COUNTIFS('All Worker Fields'!E:E,A290,'All Worker Fields'!D:D,"Multi-instance")</f>
        <v>2</v>
      </c>
      <c r="E290" s="34" t="s">
        <v>1264</v>
      </c>
    </row>
    <row r="291" customFormat="false" ht="15" hidden="false" customHeight="false" outlineLevel="0" collapsed="false">
      <c r="A291" s="33" t="s">
        <v>1265</v>
      </c>
      <c r="B291" s="32" t="n">
        <v>2</v>
      </c>
      <c r="C291" s="32" t="n">
        <f aca="false">COUNTIFS('All Worker Fields'!E:E,A291,'All Worker Fields'!D:D,"Single instance")</f>
        <v>1</v>
      </c>
      <c r="D291" s="32" t="n">
        <f aca="false">COUNTIFS('All Worker Fields'!E:E,A291,'All Worker Fields'!D:D,"Multi-instance")</f>
        <v>1</v>
      </c>
      <c r="E291" s="34" t="s">
        <v>1266</v>
      </c>
    </row>
    <row r="292" customFormat="false" ht="15" hidden="false" customHeight="false" outlineLevel="0" collapsed="false">
      <c r="A292" s="33" t="s">
        <v>1267</v>
      </c>
      <c r="B292" s="32" t="n">
        <v>2</v>
      </c>
      <c r="C292" s="32" t="n">
        <f aca="false">COUNTIFS('All Worker Fields'!E:E,A292,'All Worker Fields'!D:D,"Single instance")</f>
        <v>0</v>
      </c>
      <c r="D292" s="32" t="n">
        <f aca="false">COUNTIFS('All Worker Fields'!E:E,A292,'All Worker Fields'!D:D,"Multi-instance")</f>
        <v>0</v>
      </c>
      <c r="E292" s="34"/>
    </row>
    <row r="293" customFormat="false" ht="15" hidden="false" customHeight="false" outlineLevel="0" collapsed="false">
      <c r="A293" s="33" t="s">
        <v>1268</v>
      </c>
      <c r="B293" s="32" t="n">
        <v>2</v>
      </c>
      <c r="C293" s="32" t="n">
        <f aca="false">COUNTIFS('All Worker Fields'!E:E,A293,'All Worker Fields'!D:D,"Single instance")</f>
        <v>0</v>
      </c>
      <c r="D293" s="32" t="n">
        <f aca="false">COUNTIFS('All Worker Fields'!E:E,A293,'All Worker Fields'!D:D,"Multi-instance")</f>
        <v>2</v>
      </c>
      <c r="E293" s="34" t="s">
        <v>1269</v>
      </c>
    </row>
    <row r="294" customFormat="false" ht="15" hidden="false" customHeight="false" outlineLevel="0" collapsed="false">
      <c r="A294" s="33" t="s">
        <v>1270</v>
      </c>
      <c r="B294" s="32" t="n">
        <v>2</v>
      </c>
      <c r="C294" s="32" t="n">
        <f aca="false">COUNTIFS('All Worker Fields'!E:E,A294,'All Worker Fields'!D:D,"Single instance")</f>
        <v>1</v>
      </c>
      <c r="D294" s="32" t="n">
        <f aca="false">COUNTIFS('All Worker Fields'!E:E,A294,'All Worker Fields'!D:D,"Multi-instance")</f>
        <v>1</v>
      </c>
      <c r="E294" s="34" t="s">
        <v>1271</v>
      </c>
    </row>
    <row r="295" customFormat="false" ht="15" hidden="false" customHeight="false" outlineLevel="0" collapsed="false">
      <c r="A295" s="33" t="s">
        <v>1272</v>
      </c>
      <c r="B295" s="32" t="n">
        <v>2</v>
      </c>
      <c r="C295" s="32" t="n">
        <f aca="false">COUNTIFS('All Worker Fields'!E:E,A295,'All Worker Fields'!D:D,"Single instance")</f>
        <v>1</v>
      </c>
      <c r="D295" s="32" t="n">
        <f aca="false">COUNTIFS('All Worker Fields'!E:E,A295,'All Worker Fields'!D:D,"Multi-instance")</f>
        <v>1</v>
      </c>
      <c r="E295" s="34" t="s">
        <v>1273</v>
      </c>
    </row>
    <row r="296" customFormat="false" ht="15" hidden="false" customHeight="false" outlineLevel="0" collapsed="false">
      <c r="A296" s="33" t="s">
        <v>1274</v>
      </c>
      <c r="B296" s="32" t="n">
        <v>1</v>
      </c>
      <c r="C296" s="32" t="n">
        <f aca="false">COUNTIFS('All Worker Fields'!E:E,A296,'All Worker Fields'!D:D,"Single instance")</f>
        <v>0</v>
      </c>
      <c r="D296" s="32" t="n">
        <f aca="false">COUNTIFS('All Worker Fields'!E:E,A296,'All Worker Fields'!D:D,"Multi-instance")</f>
        <v>1</v>
      </c>
      <c r="E296" s="34" t="s">
        <v>1274</v>
      </c>
    </row>
    <row r="297" customFormat="false" ht="15" hidden="false" customHeight="false" outlineLevel="0" collapsed="false">
      <c r="A297" s="33" t="s">
        <v>1275</v>
      </c>
      <c r="B297" s="32" t="n">
        <v>1</v>
      </c>
      <c r="C297" s="32" t="n">
        <f aca="false">COUNTIFS('All Worker Fields'!E:E,A297,'All Worker Fields'!D:D,"Single instance")</f>
        <v>1</v>
      </c>
      <c r="D297" s="32" t="n">
        <f aca="false">COUNTIFS('All Worker Fields'!E:E,A297,'All Worker Fields'!D:D,"Multi-instance")</f>
        <v>0</v>
      </c>
      <c r="E297" s="34" t="s">
        <v>1276</v>
      </c>
    </row>
    <row r="298" customFormat="false" ht="15" hidden="false" customHeight="false" outlineLevel="0" collapsed="false">
      <c r="A298" s="33" t="s">
        <v>1277</v>
      </c>
      <c r="B298" s="32" t="n">
        <v>1</v>
      </c>
      <c r="C298" s="32" t="n">
        <f aca="false">COUNTIFS('All Worker Fields'!E:E,A298,'All Worker Fields'!D:D,"Single instance")</f>
        <v>0</v>
      </c>
      <c r="D298" s="32" t="n">
        <f aca="false">COUNTIFS('All Worker Fields'!E:E,A298,'All Worker Fields'!D:D,"Multi-instance")</f>
        <v>1</v>
      </c>
      <c r="E298" s="34" t="s">
        <v>1277</v>
      </c>
    </row>
    <row r="299" customFormat="false" ht="15" hidden="false" customHeight="false" outlineLevel="0" collapsed="false">
      <c r="A299" s="33" t="s">
        <v>1278</v>
      </c>
      <c r="B299" s="32" t="n">
        <v>1</v>
      </c>
      <c r="C299" s="32" t="n">
        <f aca="false">COUNTIFS('All Worker Fields'!E:E,A299,'All Worker Fields'!D:D,"Single instance")</f>
        <v>0</v>
      </c>
      <c r="D299" s="32" t="n">
        <f aca="false">COUNTIFS('All Worker Fields'!E:E,A299,'All Worker Fields'!D:D,"Multi-instance")</f>
        <v>1</v>
      </c>
      <c r="E299" s="34" t="s">
        <v>1279</v>
      </c>
    </row>
    <row r="300" customFormat="false" ht="15" hidden="false" customHeight="false" outlineLevel="0" collapsed="false">
      <c r="A300" s="33" t="s">
        <v>1280</v>
      </c>
      <c r="B300" s="32" t="n">
        <v>1</v>
      </c>
      <c r="C300" s="32" t="n">
        <f aca="false">COUNTIFS('All Worker Fields'!E:E,A300,'All Worker Fields'!D:D,"Single instance")</f>
        <v>0</v>
      </c>
      <c r="D300" s="32" t="n">
        <f aca="false">COUNTIFS('All Worker Fields'!E:E,A300,'All Worker Fields'!D:D,"Multi-instance")</f>
        <v>1</v>
      </c>
      <c r="E300" s="34" t="s">
        <v>1281</v>
      </c>
    </row>
    <row r="301" customFormat="false" ht="15" hidden="false" customHeight="false" outlineLevel="0" collapsed="false">
      <c r="A301" s="33" t="s">
        <v>1282</v>
      </c>
      <c r="B301" s="32" t="n">
        <v>1</v>
      </c>
      <c r="C301" s="32" t="n">
        <f aca="false">COUNTIFS('All Worker Fields'!E:E,A301,'All Worker Fields'!D:D,"Single instance")</f>
        <v>0</v>
      </c>
      <c r="D301" s="32" t="n">
        <f aca="false">COUNTIFS('All Worker Fields'!E:E,A301,'All Worker Fields'!D:D,"Multi-instance")</f>
        <v>1</v>
      </c>
      <c r="E301" s="34" t="s">
        <v>1283</v>
      </c>
    </row>
    <row r="302" customFormat="false" ht="15" hidden="false" customHeight="false" outlineLevel="0" collapsed="false">
      <c r="A302" s="33" t="s">
        <v>1284</v>
      </c>
      <c r="B302" s="32" t="n">
        <v>1</v>
      </c>
      <c r="C302" s="32" t="n">
        <f aca="false">COUNTIFS('All Worker Fields'!E:E,A302,'All Worker Fields'!D:D,"Single instance")</f>
        <v>0</v>
      </c>
      <c r="D302" s="32" t="n">
        <f aca="false">COUNTIFS('All Worker Fields'!E:E,A302,'All Worker Fields'!D:D,"Multi-instance")</f>
        <v>1</v>
      </c>
      <c r="E302" s="34" t="s">
        <v>1285</v>
      </c>
    </row>
    <row r="303" customFormat="false" ht="15" hidden="false" customHeight="false" outlineLevel="0" collapsed="false">
      <c r="A303" s="33" t="s">
        <v>1286</v>
      </c>
      <c r="B303" s="32" t="n">
        <v>1</v>
      </c>
      <c r="C303" s="32" t="n">
        <f aca="false">COUNTIFS('All Worker Fields'!E:E,A303,'All Worker Fields'!D:D,"Single instance")</f>
        <v>1</v>
      </c>
      <c r="D303" s="32" t="n">
        <f aca="false">COUNTIFS('All Worker Fields'!E:E,A303,'All Worker Fields'!D:D,"Multi-instance")</f>
        <v>0</v>
      </c>
      <c r="E303" s="34" t="s">
        <v>1286</v>
      </c>
    </row>
    <row r="304" customFormat="false" ht="15" hidden="false" customHeight="false" outlineLevel="0" collapsed="false">
      <c r="A304" s="33" t="s">
        <v>1287</v>
      </c>
      <c r="B304" s="32" t="n">
        <v>1</v>
      </c>
      <c r="C304" s="32" t="n">
        <f aca="false">COUNTIFS('All Worker Fields'!E:E,A304,'All Worker Fields'!D:D,"Single instance")</f>
        <v>0</v>
      </c>
      <c r="D304" s="32" t="n">
        <f aca="false">COUNTIFS('All Worker Fields'!E:E,A304,'All Worker Fields'!D:D,"Multi-instance")</f>
        <v>1</v>
      </c>
      <c r="E304" s="34" t="s">
        <v>1288</v>
      </c>
    </row>
    <row r="305" customFormat="false" ht="15" hidden="false" customHeight="false" outlineLevel="0" collapsed="false">
      <c r="A305" s="33" t="s">
        <v>1289</v>
      </c>
      <c r="B305" s="32" t="n">
        <v>1</v>
      </c>
      <c r="C305" s="32" t="n">
        <f aca="false">COUNTIFS('All Worker Fields'!E:E,A305,'All Worker Fields'!D:D,"Single instance")</f>
        <v>0</v>
      </c>
      <c r="D305" s="32" t="n">
        <f aca="false">COUNTIFS('All Worker Fields'!E:E,A305,'All Worker Fields'!D:D,"Multi-instance")</f>
        <v>1</v>
      </c>
      <c r="E305" s="34" t="s">
        <v>1290</v>
      </c>
    </row>
    <row r="306" customFormat="false" ht="15" hidden="false" customHeight="false" outlineLevel="0" collapsed="false">
      <c r="A306" s="33" t="s">
        <v>1291</v>
      </c>
      <c r="B306" s="32" t="n">
        <v>1</v>
      </c>
      <c r="C306" s="32" t="n">
        <f aca="false">COUNTIFS('All Worker Fields'!E:E,A306,'All Worker Fields'!D:D,"Single instance")</f>
        <v>0</v>
      </c>
      <c r="D306" s="32" t="n">
        <f aca="false">COUNTIFS('All Worker Fields'!E:E,A306,'All Worker Fields'!D:D,"Multi-instance")</f>
        <v>1</v>
      </c>
      <c r="E306" s="34" t="s">
        <v>1292</v>
      </c>
    </row>
    <row r="307" customFormat="false" ht="15" hidden="false" customHeight="false" outlineLevel="0" collapsed="false">
      <c r="A307" s="33" t="s">
        <v>750</v>
      </c>
      <c r="B307" s="32" t="n">
        <v>1</v>
      </c>
      <c r="C307" s="32" t="n">
        <f aca="false">COUNTIFS('All Worker Fields'!E:E,A307,'All Worker Fields'!D:D,"Single instance")</f>
        <v>0</v>
      </c>
      <c r="D307" s="32" t="n">
        <f aca="false">COUNTIFS('All Worker Fields'!E:E,A307,'All Worker Fields'!D:D,"Multi-instance")</f>
        <v>1</v>
      </c>
      <c r="E307" s="34" t="s">
        <v>1293</v>
      </c>
    </row>
    <row r="308" customFormat="false" ht="15" hidden="false" customHeight="false" outlineLevel="0" collapsed="false">
      <c r="A308" s="33" t="s">
        <v>1294</v>
      </c>
      <c r="B308" s="32" t="n">
        <v>1</v>
      </c>
      <c r="C308" s="32" t="n">
        <f aca="false">COUNTIFS('All Worker Fields'!E:E,A308,'All Worker Fields'!D:D,"Single instance")</f>
        <v>0</v>
      </c>
      <c r="D308" s="32" t="n">
        <f aca="false">COUNTIFS('All Worker Fields'!E:E,A308,'All Worker Fields'!D:D,"Multi-instance")</f>
        <v>1</v>
      </c>
      <c r="E308" s="34" t="s">
        <v>1295</v>
      </c>
    </row>
    <row r="309" customFormat="false" ht="15" hidden="false" customHeight="false" outlineLevel="0" collapsed="false">
      <c r="A309" s="33" t="s">
        <v>1296</v>
      </c>
      <c r="B309" s="32" t="n">
        <v>1</v>
      </c>
      <c r="C309" s="32" t="n">
        <f aca="false">COUNTIFS('All Worker Fields'!E:E,A309,'All Worker Fields'!D:D,"Single instance")</f>
        <v>0</v>
      </c>
      <c r="D309" s="32" t="n">
        <f aca="false">COUNTIFS('All Worker Fields'!E:E,A309,'All Worker Fields'!D:D,"Multi-instance")</f>
        <v>1</v>
      </c>
      <c r="E309" s="34" t="s">
        <v>1297</v>
      </c>
    </row>
    <row r="310" customFormat="false" ht="15" hidden="false" customHeight="false" outlineLevel="0" collapsed="false">
      <c r="A310" s="33" t="s">
        <v>1298</v>
      </c>
      <c r="B310" s="32" t="n">
        <v>1</v>
      </c>
      <c r="C310" s="32" t="n">
        <f aca="false">COUNTIFS('All Worker Fields'!E:E,A310,'All Worker Fields'!D:D,"Single instance")</f>
        <v>0</v>
      </c>
      <c r="D310" s="32" t="n">
        <f aca="false">COUNTIFS('All Worker Fields'!E:E,A310,'All Worker Fields'!D:D,"Multi-instance")</f>
        <v>1</v>
      </c>
      <c r="E310" s="34" t="s">
        <v>1299</v>
      </c>
    </row>
    <row r="311" customFormat="false" ht="15" hidden="false" customHeight="false" outlineLevel="0" collapsed="false">
      <c r="A311" s="33" t="s">
        <v>1300</v>
      </c>
      <c r="B311" s="32" t="n">
        <v>1</v>
      </c>
      <c r="C311" s="32" t="n">
        <f aca="false">COUNTIFS('All Worker Fields'!E:E,A311,'All Worker Fields'!D:D,"Single instance")</f>
        <v>1</v>
      </c>
      <c r="D311" s="32" t="n">
        <f aca="false">COUNTIFS('All Worker Fields'!E:E,A311,'All Worker Fields'!D:D,"Multi-instance")</f>
        <v>0</v>
      </c>
      <c r="E311" s="34" t="s">
        <v>1301</v>
      </c>
    </row>
    <row r="312" customFormat="false" ht="15" hidden="false" customHeight="false" outlineLevel="0" collapsed="false">
      <c r="A312" s="33" t="s">
        <v>1302</v>
      </c>
      <c r="B312" s="32" t="n">
        <v>1</v>
      </c>
      <c r="C312" s="32" t="n">
        <f aca="false">COUNTIFS('All Worker Fields'!E:E,A312,'All Worker Fields'!D:D,"Single instance")</f>
        <v>0</v>
      </c>
      <c r="D312" s="32" t="n">
        <f aca="false">COUNTIFS('All Worker Fields'!E:E,A312,'All Worker Fields'!D:D,"Multi-instance")</f>
        <v>1</v>
      </c>
      <c r="E312" s="34" t="s">
        <v>1303</v>
      </c>
    </row>
    <row r="313" customFormat="false" ht="15" hidden="false" customHeight="false" outlineLevel="0" collapsed="false">
      <c r="A313" s="33" t="s">
        <v>1304</v>
      </c>
      <c r="B313" s="32" t="n">
        <v>1</v>
      </c>
      <c r="C313" s="32" t="n">
        <f aca="false">COUNTIFS('All Worker Fields'!E:E,A313,'All Worker Fields'!D:D,"Single instance")</f>
        <v>1</v>
      </c>
      <c r="D313" s="32" t="n">
        <f aca="false">COUNTIFS('All Worker Fields'!E:E,A313,'All Worker Fields'!D:D,"Multi-instance")</f>
        <v>0</v>
      </c>
      <c r="E313" s="34" t="s">
        <v>1305</v>
      </c>
    </row>
    <row r="314" customFormat="false" ht="15" hidden="false" customHeight="false" outlineLevel="0" collapsed="false">
      <c r="A314" s="33" t="s">
        <v>1306</v>
      </c>
      <c r="B314" s="32" t="n">
        <v>1</v>
      </c>
      <c r="C314" s="32" t="n">
        <f aca="false">COUNTIFS('All Worker Fields'!E:E,A314,'All Worker Fields'!D:D,"Single instance")</f>
        <v>0</v>
      </c>
      <c r="D314" s="32" t="n">
        <f aca="false">COUNTIFS('All Worker Fields'!E:E,A314,'All Worker Fields'!D:D,"Multi-instance")</f>
        <v>1</v>
      </c>
      <c r="E314" s="34" t="s">
        <v>1306</v>
      </c>
    </row>
    <row r="315" customFormat="false" ht="15" hidden="false" customHeight="false" outlineLevel="0" collapsed="false">
      <c r="A315" s="33" t="s">
        <v>1307</v>
      </c>
      <c r="B315" s="32" t="n">
        <v>1</v>
      </c>
      <c r="C315" s="32" t="n">
        <f aca="false">COUNTIFS('All Worker Fields'!E:E,A315,'All Worker Fields'!D:D,"Single instance")</f>
        <v>0</v>
      </c>
      <c r="D315" s="32" t="n">
        <f aca="false">COUNTIFS('All Worker Fields'!E:E,A315,'All Worker Fields'!D:D,"Multi-instance")</f>
        <v>1</v>
      </c>
      <c r="E315" s="34" t="s">
        <v>1308</v>
      </c>
    </row>
    <row r="316" customFormat="false" ht="15" hidden="false" customHeight="false" outlineLevel="0" collapsed="false">
      <c r="A316" s="33" t="s">
        <v>1309</v>
      </c>
      <c r="B316" s="32" t="n">
        <v>1</v>
      </c>
      <c r="C316" s="32" t="n">
        <f aca="false">COUNTIFS('All Worker Fields'!E:E,A316,'All Worker Fields'!D:D,"Single instance")</f>
        <v>0</v>
      </c>
      <c r="D316" s="32" t="n">
        <f aca="false">COUNTIFS('All Worker Fields'!E:E,A316,'All Worker Fields'!D:D,"Multi-instance")</f>
        <v>0</v>
      </c>
      <c r="E316" s="34"/>
    </row>
    <row r="317" customFormat="false" ht="15" hidden="false" customHeight="false" outlineLevel="0" collapsed="false">
      <c r="A317" s="33" t="s">
        <v>1310</v>
      </c>
      <c r="B317" s="32" t="n">
        <v>1</v>
      </c>
      <c r="C317" s="32" t="n">
        <f aca="false">COUNTIFS('All Worker Fields'!E:E,A317,'All Worker Fields'!D:D,"Single instance")</f>
        <v>0</v>
      </c>
      <c r="D317" s="32" t="n">
        <f aca="false">COUNTIFS('All Worker Fields'!E:E,A317,'All Worker Fields'!D:D,"Multi-instance")</f>
        <v>1</v>
      </c>
      <c r="E317" s="34" t="s">
        <v>1311</v>
      </c>
    </row>
    <row r="318" customFormat="false" ht="15" hidden="false" customHeight="false" outlineLevel="0" collapsed="false">
      <c r="A318" s="33" t="s">
        <v>1312</v>
      </c>
      <c r="B318" s="32" t="n">
        <v>1</v>
      </c>
      <c r="C318" s="32" t="n">
        <f aca="false">COUNTIFS('All Worker Fields'!E:E,A318,'All Worker Fields'!D:D,"Single instance")</f>
        <v>0</v>
      </c>
      <c r="D318" s="32" t="n">
        <f aca="false">COUNTIFS('All Worker Fields'!E:E,A318,'All Worker Fields'!D:D,"Multi-instance")</f>
        <v>1</v>
      </c>
      <c r="E318" s="34" t="s">
        <v>1313</v>
      </c>
    </row>
    <row r="319" customFormat="false" ht="15" hidden="false" customHeight="false" outlineLevel="0" collapsed="false">
      <c r="A319" s="33" t="s">
        <v>1314</v>
      </c>
      <c r="B319" s="32" t="n">
        <v>1</v>
      </c>
      <c r="C319" s="32" t="n">
        <f aca="false">COUNTIFS('All Worker Fields'!E:E,A319,'All Worker Fields'!D:D,"Single instance")</f>
        <v>1</v>
      </c>
      <c r="D319" s="32" t="n">
        <f aca="false">COUNTIFS('All Worker Fields'!E:E,A319,'All Worker Fields'!D:D,"Multi-instance")</f>
        <v>0</v>
      </c>
      <c r="E319" s="34" t="s">
        <v>1315</v>
      </c>
    </row>
    <row r="320" customFormat="false" ht="15" hidden="false" customHeight="false" outlineLevel="0" collapsed="false">
      <c r="A320" s="33" t="s">
        <v>1316</v>
      </c>
      <c r="B320" s="32" t="n">
        <v>1</v>
      </c>
      <c r="C320" s="32" t="n">
        <f aca="false">COUNTIFS('All Worker Fields'!E:E,A320,'All Worker Fields'!D:D,"Single instance")</f>
        <v>0</v>
      </c>
      <c r="D320" s="32" t="n">
        <f aca="false">COUNTIFS('All Worker Fields'!E:E,A320,'All Worker Fields'!D:D,"Multi-instance")</f>
        <v>1</v>
      </c>
      <c r="E320" s="34" t="s">
        <v>1317</v>
      </c>
    </row>
    <row r="321" customFormat="false" ht="15" hidden="false" customHeight="false" outlineLevel="0" collapsed="false">
      <c r="A321" s="33" t="s">
        <v>1318</v>
      </c>
      <c r="B321" s="32" t="n">
        <v>1</v>
      </c>
      <c r="C321" s="32" t="n">
        <f aca="false">COUNTIFS('All Worker Fields'!E:E,A321,'All Worker Fields'!D:D,"Single instance")</f>
        <v>0</v>
      </c>
      <c r="D321" s="32" t="n">
        <f aca="false">COUNTIFS('All Worker Fields'!E:E,A321,'All Worker Fields'!D:D,"Multi-instance")</f>
        <v>1</v>
      </c>
      <c r="E321" s="34" t="s">
        <v>1319</v>
      </c>
    </row>
    <row r="322" customFormat="false" ht="15" hidden="false" customHeight="false" outlineLevel="0" collapsed="false">
      <c r="A322" s="33" t="s">
        <v>1320</v>
      </c>
      <c r="B322" s="32" t="n">
        <v>1</v>
      </c>
      <c r="C322" s="32" t="n">
        <f aca="false">COUNTIFS('All Worker Fields'!E:E,A322,'All Worker Fields'!D:D,"Single instance")</f>
        <v>0</v>
      </c>
      <c r="D322" s="32" t="n">
        <f aca="false">COUNTIFS('All Worker Fields'!E:E,A322,'All Worker Fields'!D:D,"Multi-instance")</f>
        <v>1</v>
      </c>
      <c r="E322" s="34" t="s">
        <v>1321</v>
      </c>
    </row>
    <row r="323" customFormat="false" ht="15" hidden="false" customHeight="false" outlineLevel="0" collapsed="false">
      <c r="A323" s="33" t="s">
        <v>1322</v>
      </c>
      <c r="B323" s="32" t="n">
        <v>1</v>
      </c>
      <c r="C323" s="32" t="n">
        <f aca="false">COUNTIFS('All Worker Fields'!E:E,A323,'All Worker Fields'!D:D,"Single instance")</f>
        <v>0</v>
      </c>
      <c r="D323" s="32" t="n">
        <f aca="false">COUNTIFS('All Worker Fields'!E:E,A323,'All Worker Fields'!D:D,"Multi-instance")</f>
        <v>1</v>
      </c>
      <c r="E323" s="34" t="s">
        <v>1323</v>
      </c>
    </row>
    <row r="324" customFormat="false" ht="15" hidden="false" customHeight="false" outlineLevel="0" collapsed="false">
      <c r="A324" s="33" t="s">
        <v>1324</v>
      </c>
      <c r="B324" s="32" t="n">
        <v>1</v>
      </c>
      <c r="C324" s="32" t="n">
        <f aca="false">COUNTIFS('All Worker Fields'!E:E,A324,'All Worker Fields'!D:D,"Single instance")</f>
        <v>0</v>
      </c>
      <c r="D324" s="32" t="n">
        <f aca="false">COUNTIFS('All Worker Fields'!E:E,A324,'All Worker Fields'!D:D,"Multi-instance")</f>
        <v>1</v>
      </c>
      <c r="E324" s="34" t="s">
        <v>1325</v>
      </c>
    </row>
    <row r="325" customFormat="false" ht="15" hidden="false" customHeight="false" outlineLevel="0" collapsed="false">
      <c r="A325" s="33" t="s">
        <v>1326</v>
      </c>
      <c r="B325" s="32" t="n">
        <v>1</v>
      </c>
      <c r="C325" s="32" t="n">
        <f aca="false">COUNTIFS('All Worker Fields'!E:E,A325,'All Worker Fields'!D:D,"Single instance")</f>
        <v>0</v>
      </c>
      <c r="D325" s="32" t="n">
        <f aca="false">COUNTIFS('All Worker Fields'!E:E,A325,'All Worker Fields'!D:D,"Multi-instance")</f>
        <v>0</v>
      </c>
      <c r="E325" s="34" t="s">
        <v>1327</v>
      </c>
    </row>
    <row r="326" customFormat="false" ht="15" hidden="false" customHeight="false" outlineLevel="0" collapsed="false">
      <c r="A326" s="33" t="s">
        <v>1328</v>
      </c>
      <c r="B326" s="32" t="n">
        <v>1</v>
      </c>
      <c r="C326" s="32" t="n">
        <f aca="false">COUNTIFS('All Worker Fields'!E:E,A326,'All Worker Fields'!D:D,"Single instance")</f>
        <v>0</v>
      </c>
      <c r="D326" s="32" t="n">
        <f aca="false">COUNTIFS('All Worker Fields'!E:E,A326,'All Worker Fields'!D:D,"Multi-instance")</f>
        <v>0</v>
      </c>
      <c r="E326" s="34" t="s">
        <v>1329</v>
      </c>
    </row>
    <row r="327" customFormat="false" ht="15" hidden="false" customHeight="false" outlineLevel="0" collapsed="false">
      <c r="A327" s="33" t="s">
        <v>1330</v>
      </c>
      <c r="B327" s="32" t="n">
        <v>1</v>
      </c>
      <c r="C327" s="32" t="n">
        <f aca="false">COUNTIFS('All Worker Fields'!E:E,A327,'All Worker Fields'!D:D,"Single instance")</f>
        <v>1</v>
      </c>
      <c r="D327" s="32" t="n">
        <f aca="false">COUNTIFS('All Worker Fields'!E:E,A327,'All Worker Fields'!D:D,"Multi-instance")</f>
        <v>0</v>
      </c>
      <c r="E327" s="34" t="s">
        <v>1331</v>
      </c>
    </row>
    <row r="328" customFormat="false" ht="15" hidden="false" customHeight="false" outlineLevel="0" collapsed="false">
      <c r="A328" s="33" t="s">
        <v>1332</v>
      </c>
      <c r="B328" s="32" t="n">
        <v>1</v>
      </c>
      <c r="C328" s="32" t="n">
        <f aca="false">COUNTIFS('All Worker Fields'!E:E,A328,'All Worker Fields'!D:D,"Single instance")</f>
        <v>0</v>
      </c>
      <c r="D328" s="32" t="n">
        <f aca="false">COUNTIFS('All Worker Fields'!E:E,A328,'All Worker Fields'!D:D,"Multi-instance")</f>
        <v>1</v>
      </c>
      <c r="E328" s="34" t="s">
        <v>1333</v>
      </c>
    </row>
    <row r="329" customFormat="false" ht="15" hidden="false" customHeight="false" outlineLevel="0" collapsed="false">
      <c r="A329" s="33" t="s">
        <v>1334</v>
      </c>
      <c r="B329" s="32" t="n">
        <v>1</v>
      </c>
      <c r="C329" s="32" t="n">
        <f aca="false">COUNTIFS('All Worker Fields'!E:E,A329,'All Worker Fields'!D:D,"Single instance")</f>
        <v>1</v>
      </c>
      <c r="D329" s="32" t="n">
        <f aca="false">COUNTIFS('All Worker Fields'!E:E,A329,'All Worker Fields'!D:D,"Multi-instance")</f>
        <v>0</v>
      </c>
      <c r="E329" s="34" t="s">
        <v>1335</v>
      </c>
    </row>
    <row r="330" customFormat="false" ht="15" hidden="false" customHeight="false" outlineLevel="0" collapsed="false">
      <c r="A330" s="33" t="s">
        <v>1336</v>
      </c>
      <c r="B330" s="32" t="n">
        <v>1</v>
      </c>
      <c r="C330" s="32" t="n">
        <f aca="false">COUNTIFS('All Worker Fields'!E:E,A330,'All Worker Fields'!D:D,"Single instance")</f>
        <v>0</v>
      </c>
      <c r="D330" s="32" t="n">
        <f aca="false">COUNTIFS('All Worker Fields'!E:E,A330,'All Worker Fields'!D:D,"Multi-instance")</f>
        <v>1</v>
      </c>
      <c r="E330" s="34" t="s">
        <v>1337</v>
      </c>
    </row>
    <row r="331" customFormat="false" ht="15" hidden="false" customHeight="false" outlineLevel="0" collapsed="false">
      <c r="A331" s="33" t="s">
        <v>1338</v>
      </c>
      <c r="B331" s="32" t="n">
        <v>1</v>
      </c>
      <c r="C331" s="32" t="n">
        <f aca="false">COUNTIFS('All Worker Fields'!E:E,A331,'All Worker Fields'!D:D,"Single instance")</f>
        <v>0</v>
      </c>
      <c r="D331" s="32" t="n">
        <f aca="false">COUNTIFS('All Worker Fields'!E:E,A331,'All Worker Fields'!D:D,"Multi-instance")</f>
        <v>1</v>
      </c>
      <c r="E331" s="34" t="s">
        <v>1339</v>
      </c>
    </row>
    <row r="332" customFormat="false" ht="15" hidden="false" customHeight="false" outlineLevel="0" collapsed="false">
      <c r="A332" s="33" t="s">
        <v>1340</v>
      </c>
      <c r="B332" s="32" t="n">
        <v>1</v>
      </c>
      <c r="C332" s="32" t="n">
        <f aca="false">COUNTIFS('All Worker Fields'!E:E,A332,'All Worker Fields'!D:D,"Single instance")</f>
        <v>0</v>
      </c>
      <c r="D332" s="32" t="n">
        <f aca="false">COUNTIFS('All Worker Fields'!E:E,A332,'All Worker Fields'!D:D,"Multi-instance")</f>
        <v>1</v>
      </c>
      <c r="E332" s="34" t="s">
        <v>1341</v>
      </c>
    </row>
    <row r="333" customFormat="false" ht="15" hidden="false" customHeight="false" outlineLevel="0" collapsed="false">
      <c r="A333" s="33" t="s">
        <v>1342</v>
      </c>
      <c r="B333" s="32" t="n">
        <v>1</v>
      </c>
      <c r="C333" s="32" t="n">
        <f aca="false">COUNTIFS('All Worker Fields'!E:E,A333,'All Worker Fields'!D:D,"Single instance")</f>
        <v>0</v>
      </c>
      <c r="D333" s="32" t="n">
        <f aca="false">COUNTIFS('All Worker Fields'!E:E,A333,'All Worker Fields'!D:D,"Multi-instance")</f>
        <v>1</v>
      </c>
      <c r="E333" s="34" t="s">
        <v>1343</v>
      </c>
    </row>
    <row r="334" customFormat="false" ht="15" hidden="false" customHeight="false" outlineLevel="0" collapsed="false">
      <c r="A334" s="33" t="s">
        <v>1344</v>
      </c>
      <c r="B334" s="32" t="n">
        <v>1</v>
      </c>
      <c r="C334" s="32" t="n">
        <f aca="false">COUNTIFS('All Worker Fields'!E:E,A334,'All Worker Fields'!D:D,"Single instance")</f>
        <v>0</v>
      </c>
      <c r="D334" s="32" t="n">
        <f aca="false">COUNTIFS('All Worker Fields'!E:E,A334,'All Worker Fields'!D:D,"Multi-instance")</f>
        <v>1</v>
      </c>
      <c r="E334" s="34" t="s">
        <v>1345</v>
      </c>
    </row>
    <row r="335" customFormat="false" ht="15" hidden="false" customHeight="false" outlineLevel="0" collapsed="false">
      <c r="A335" s="33" t="s">
        <v>1346</v>
      </c>
      <c r="B335" s="32" t="n">
        <v>1</v>
      </c>
      <c r="C335" s="32" t="n">
        <f aca="false">COUNTIFS('All Worker Fields'!E:E,A335,'All Worker Fields'!D:D,"Single instance")</f>
        <v>1</v>
      </c>
      <c r="D335" s="32" t="n">
        <f aca="false">COUNTIFS('All Worker Fields'!E:E,A335,'All Worker Fields'!D:D,"Multi-instance")</f>
        <v>0</v>
      </c>
      <c r="E335" s="34" t="s">
        <v>1346</v>
      </c>
    </row>
    <row r="336" customFormat="false" ht="15" hidden="false" customHeight="false" outlineLevel="0" collapsed="false">
      <c r="A336" s="33" t="s">
        <v>1347</v>
      </c>
      <c r="B336" s="32" t="n">
        <v>1</v>
      </c>
      <c r="C336" s="32" t="n">
        <f aca="false">COUNTIFS('All Worker Fields'!E:E,A336,'All Worker Fields'!D:D,"Single instance")</f>
        <v>0</v>
      </c>
      <c r="D336" s="32" t="n">
        <f aca="false">COUNTIFS('All Worker Fields'!E:E,A336,'All Worker Fields'!D:D,"Multi-instance")</f>
        <v>1</v>
      </c>
      <c r="E336" s="34" t="s">
        <v>1348</v>
      </c>
    </row>
    <row r="337" customFormat="false" ht="15" hidden="false" customHeight="false" outlineLevel="0" collapsed="false">
      <c r="A337" s="33" t="s">
        <v>1349</v>
      </c>
      <c r="B337" s="32" t="n">
        <v>1</v>
      </c>
      <c r="C337" s="32" t="n">
        <f aca="false">COUNTIFS('All Worker Fields'!E:E,A337,'All Worker Fields'!D:D,"Single instance")</f>
        <v>0</v>
      </c>
      <c r="D337" s="32" t="n">
        <f aca="false">COUNTIFS('All Worker Fields'!E:E,A337,'All Worker Fields'!D:D,"Multi-instance")</f>
        <v>0</v>
      </c>
      <c r="E337" s="34" t="s">
        <v>1350</v>
      </c>
    </row>
    <row r="338" customFormat="false" ht="15" hidden="false" customHeight="false" outlineLevel="0" collapsed="false">
      <c r="A338" s="33" t="s">
        <v>1351</v>
      </c>
      <c r="B338" s="32" t="n">
        <v>1</v>
      </c>
      <c r="C338" s="32" t="n">
        <f aca="false">COUNTIFS('All Worker Fields'!E:E,A338,'All Worker Fields'!D:D,"Single instance")</f>
        <v>0</v>
      </c>
      <c r="D338" s="32" t="n">
        <f aca="false">COUNTIFS('All Worker Fields'!E:E,A338,'All Worker Fields'!D:D,"Multi-instance")</f>
        <v>1</v>
      </c>
      <c r="E338" s="34" t="s">
        <v>1352</v>
      </c>
    </row>
    <row r="339" customFormat="false" ht="15" hidden="false" customHeight="false" outlineLevel="0" collapsed="false">
      <c r="A339" s="33" t="s">
        <v>1353</v>
      </c>
      <c r="B339" s="32" t="n">
        <v>1</v>
      </c>
      <c r="C339" s="32" t="n">
        <f aca="false">COUNTIFS('All Worker Fields'!E:E,A339,'All Worker Fields'!D:D,"Single instance")</f>
        <v>0</v>
      </c>
      <c r="D339" s="32" t="n">
        <f aca="false">COUNTIFS('All Worker Fields'!E:E,A339,'All Worker Fields'!D:D,"Multi-instance")</f>
        <v>0</v>
      </c>
      <c r="E339" s="34" t="s">
        <v>1354</v>
      </c>
    </row>
    <row r="340" customFormat="false" ht="15" hidden="false" customHeight="false" outlineLevel="0" collapsed="false">
      <c r="A340" s="33" t="s">
        <v>1355</v>
      </c>
      <c r="B340" s="32" t="n">
        <v>1</v>
      </c>
      <c r="C340" s="32" t="n">
        <f aca="false">COUNTIFS('All Worker Fields'!E:E,A340,'All Worker Fields'!D:D,"Single instance")</f>
        <v>0</v>
      </c>
      <c r="D340" s="32" t="n">
        <f aca="false">COUNTIFS('All Worker Fields'!E:E,A340,'All Worker Fields'!D:D,"Multi-instance")</f>
        <v>0</v>
      </c>
      <c r="E340" s="34" t="s">
        <v>1356</v>
      </c>
    </row>
    <row r="341" customFormat="false" ht="15" hidden="false" customHeight="false" outlineLevel="0" collapsed="false">
      <c r="A341" s="33" t="s">
        <v>1357</v>
      </c>
      <c r="B341" s="32" t="n">
        <v>1</v>
      </c>
      <c r="C341" s="32" t="n">
        <f aca="false">COUNTIFS('All Worker Fields'!E:E,A341,'All Worker Fields'!D:D,"Single instance")</f>
        <v>0</v>
      </c>
      <c r="D341" s="32" t="n">
        <f aca="false">COUNTIFS('All Worker Fields'!E:E,A341,'All Worker Fields'!D:D,"Multi-instance")</f>
        <v>1</v>
      </c>
      <c r="E341" s="34" t="s">
        <v>1358</v>
      </c>
    </row>
    <row r="342" customFormat="false" ht="15" hidden="false" customHeight="false" outlineLevel="0" collapsed="false">
      <c r="A342" s="33" t="s">
        <v>706</v>
      </c>
      <c r="B342" s="32" t="n">
        <v>1</v>
      </c>
      <c r="C342" s="32" t="n">
        <f aca="false">COUNTIFS('All Worker Fields'!E:E,A342,'All Worker Fields'!D:D,"Single instance")</f>
        <v>1</v>
      </c>
      <c r="D342" s="32" t="n">
        <f aca="false">COUNTIFS('All Worker Fields'!E:E,A342,'All Worker Fields'!D:D,"Multi-instance")</f>
        <v>0</v>
      </c>
      <c r="E342" s="34" t="s">
        <v>1359</v>
      </c>
    </row>
    <row r="343" customFormat="false" ht="15" hidden="false" customHeight="false" outlineLevel="0" collapsed="false">
      <c r="A343" s="33" t="s">
        <v>1360</v>
      </c>
      <c r="B343" s="32" t="n">
        <v>1</v>
      </c>
      <c r="C343" s="32" t="n">
        <f aca="false">COUNTIFS('All Worker Fields'!E:E,A343,'All Worker Fields'!D:D,"Single instance")</f>
        <v>0</v>
      </c>
      <c r="D343" s="32" t="n">
        <f aca="false">COUNTIFS('All Worker Fields'!E:E,A343,'All Worker Fields'!D:D,"Multi-instance")</f>
        <v>0</v>
      </c>
      <c r="E343" s="34"/>
    </row>
    <row r="344" customFormat="false" ht="15" hidden="false" customHeight="false" outlineLevel="0" collapsed="false">
      <c r="A344" s="33" t="s">
        <v>1361</v>
      </c>
      <c r="B344" s="32" t="n">
        <v>1</v>
      </c>
      <c r="C344" s="32" t="n">
        <f aca="false">COUNTIFS('All Worker Fields'!E:E,A344,'All Worker Fields'!D:D,"Single instance")</f>
        <v>0</v>
      </c>
      <c r="D344" s="32" t="n">
        <f aca="false">COUNTIFS('All Worker Fields'!E:E,A344,'All Worker Fields'!D:D,"Multi-instance")</f>
        <v>1</v>
      </c>
      <c r="E344" s="34" t="s">
        <v>1361</v>
      </c>
    </row>
    <row r="345" customFormat="false" ht="15" hidden="false" customHeight="false" outlineLevel="0" collapsed="false">
      <c r="A345" s="33" t="s">
        <v>1362</v>
      </c>
      <c r="B345" s="32" t="n">
        <v>1</v>
      </c>
      <c r="C345" s="32" t="n">
        <f aca="false">COUNTIFS('All Worker Fields'!E:E,A345,'All Worker Fields'!D:D,"Single instance")</f>
        <v>0</v>
      </c>
      <c r="D345" s="32" t="n">
        <f aca="false">COUNTIFS('All Worker Fields'!E:E,A345,'All Worker Fields'!D:D,"Multi-instance")</f>
        <v>1</v>
      </c>
      <c r="E345" s="34" t="s">
        <v>1363</v>
      </c>
    </row>
    <row r="346" customFormat="false" ht="15" hidden="false" customHeight="false" outlineLevel="0" collapsed="false">
      <c r="A346" s="33" t="s">
        <v>1364</v>
      </c>
      <c r="B346" s="32" t="n">
        <v>1</v>
      </c>
      <c r="C346" s="32" t="n">
        <f aca="false">COUNTIFS('All Worker Fields'!E:E,A346,'All Worker Fields'!D:D,"Single instance")</f>
        <v>0</v>
      </c>
      <c r="D346" s="32" t="n">
        <f aca="false">COUNTIFS('All Worker Fields'!E:E,A346,'All Worker Fields'!D:D,"Multi-instance")</f>
        <v>1</v>
      </c>
      <c r="E346" s="34" t="s">
        <v>1365</v>
      </c>
    </row>
    <row r="347" customFormat="false" ht="15" hidden="false" customHeight="false" outlineLevel="0" collapsed="false">
      <c r="A347" s="33" t="s">
        <v>1366</v>
      </c>
      <c r="B347" s="32" t="n">
        <v>1</v>
      </c>
      <c r="C347" s="32" t="n">
        <f aca="false">COUNTIFS('All Worker Fields'!E:E,A347,'All Worker Fields'!D:D,"Single instance")</f>
        <v>1</v>
      </c>
      <c r="D347" s="32" t="n">
        <f aca="false">COUNTIFS('All Worker Fields'!E:E,A347,'All Worker Fields'!D:D,"Multi-instance")</f>
        <v>0</v>
      </c>
      <c r="E347" s="34" t="s">
        <v>1366</v>
      </c>
    </row>
    <row r="348" customFormat="false" ht="15" hidden="false" customHeight="false" outlineLevel="0" collapsed="false">
      <c r="A348" s="33" t="s">
        <v>1367</v>
      </c>
      <c r="B348" s="32" t="n">
        <v>1</v>
      </c>
      <c r="C348" s="32" t="n">
        <f aca="false">COUNTIFS('All Worker Fields'!E:E,A348,'All Worker Fields'!D:D,"Single instance")</f>
        <v>0</v>
      </c>
      <c r="D348" s="32" t="n">
        <f aca="false">COUNTIFS('All Worker Fields'!E:E,A348,'All Worker Fields'!D:D,"Multi-instance")</f>
        <v>1</v>
      </c>
      <c r="E348" s="34" t="s">
        <v>1368</v>
      </c>
    </row>
    <row r="349" customFormat="false" ht="15" hidden="false" customHeight="false" outlineLevel="0" collapsed="false">
      <c r="A349" s="33" t="s">
        <v>410</v>
      </c>
      <c r="B349" s="32" t="n">
        <v>1</v>
      </c>
      <c r="C349" s="32" t="n">
        <f aca="false">COUNTIFS('All Worker Fields'!E:E,A349,'All Worker Fields'!D:D,"Single instance")</f>
        <v>0</v>
      </c>
      <c r="D349" s="32" t="n">
        <f aca="false">COUNTIFS('All Worker Fields'!E:E,A349,'All Worker Fields'!D:D,"Multi-instance")</f>
        <v>1</v>
      </c>
      <c r="E349" s="34" t="s">
        <v>409</v>
      </c>
    </row>
    <row r="350" customFormat="false" ht="15" hidden="false" customHeight="false" outlineLevel="0" collapsed="false">
      <c r="A350" s="33" t="s">
        <v>1369</v>
      </c>
      <c r="B350" s="32" t="n">
        <v>1</v>
      </c>
      <c r="C350" s="32" t="n">
        <f aca="false">COUNTIFS('All Worker Fields'!E:E,A350,'All Worker Fields'!D:D,"Single instance")</f>
        <v>1</v>
      </c>
      <c r="D350" s="32" t="n">
        <f aca="false">COUNTIFS('All Worker Fields'!E:E,A350,'All Worker Fields'!D:D,"Multi-instance")</f>
        <v>0</v>
      </c>
      <c r="E350" s="34" t="s">
        <v>1370</v>
      </c>
    </row>
    <row r="351" customFormat="false" ht="15" hidden="false" customHeight="false" outlineLevel="0" collapsed="false">
      <c r="A351" s="33" t="s">
        <v>1371</v>
      </c>
      <c r="B351" s="32" t="n">
        <v>1</v>
      </c>
      <c r="C351" s="32" t="n">
        <f aca="false">COUNTIFS('All Worker Fields'!E:E,A351,'All Worker Fields'!D:D,"Single instance")</f>
        <v>1</v>
      </c>
      <c r="D351" s="32" t="n">
        <f aca="false">COUNTIFS('All Worker Fields'!E:E,A351,'All Worker Fields'!D:D,"Multi-instance")</f>
        <v>0</v>
      </c>
      <c r="E351" s="34" t="s">
        <v>1372</v>
      </c>
    </row>
    <row r="352" customFormat="false" ht="15" hidden="false" customHeight="false" outlineLevel="0" collapsed="false">
      <c r="A352" s="33" t="s">
        <v>1373</v>
      </c>
      <c r="B352" s="32" t="n">
        <v>1</v>
      </c>
      <c r="C352" s="32" t="n">
        <f aca="false">COUNTIFS('All Worker Fields'!E:E,A352,'All Worker Fields'!D:D,"Single instance")</f>
        <v>0</v>
      </c>
      <c r="D352" s="32" t="n">
        <f aca="false">COUNTIFS('All Worker Fields'!E:E,A352,'All Worker Fields'!D:D,"Multi-instance")</f>
        <v>1</v>
      </c>
      <c r="E352" s="34" t="s">
        <v>1374</v>
      </c>
    </row>
    <row r="353" customFormat="false" ht="15" hidden="false" customHeight="false" outlineLevel="0" collapsed="false">
      <c r="A353" s="33" t="s">
        <v>1375</v>
      </c>
      <c r="B353" s="32" t="n">
        <v>1</v>
      </c>
      <c r="C353" s="32" t="n">
        <f aca="false">COUNTIFS('All Worker Fields'!E:E,A353,'All Worker Fields'!D:D,"Single instance")</f>
        <v>0</v>
      </c>
      <c r="D353" s="32" t="n">
        <f aca="false">COUNTIFS('All Worker Fields'!E:E,A353,'All Worker Fields'!D:D,"Multi-instance")</f>
        <v>0</v>
      </c>
      <c r="E353" s="34" t="s">
        <v>1376</v>
      </c>
    </row>
    <row r="354" customFormat="false" ht="15" hidden="false" customHeight="false" outlineLevel="0" collapsed="false">
      <c r="A354" s="33" t="s">
        <v>1377</v>
      </c>
      <c r="B354" s="32" t="n">
        <v>1</v>
      </c>
      <c r="C354" s="32" t="n">
        <f aca="false">COUNTIFS('All Worker Fields'!E:E,A354,'All Worker Fields'!D:D,"Single instance")</f>
        <v>0</v>
      </c>
      <c r="D354" s="32" t="n">
        <f aca="false">COUNTIFS('All Worker Fields'!E:E,A354,'All Worker Fields'!D:D,"Multi-instance")</f>
        <v>1</v>
      </c>
      <c r="E354" s="34" t="s">
        <v>1378</v>
      </c>
    </row>
    <row r="355" customFormat="false" ht="15" hidden="false" customHeight="false" outlineLevel="0" collapsed="false">
      <c r="A355" s="33" t="s">
        <v>1379</v>
      </c>
      <c r="B355" s="32" t="n">
        <v>1</v>
      </c>
      <c r="C355" s="32" t="n">
        <f aca="false">COUNTIFS('All Worker Fields'!E:E,A355,'All Worker Fields'!D:D,"Single instance")</f>
        <v>1</v>
      </c>
      <c r="D355" s="32" t="n">
        <f aca="false">COUNTIFS('All Worker Fields'!E:E,A355,'All Worker Fields'!D:D,"Multi-instance")</f>
        <v>0</v>
      </c>
      <c r="E355" s="34" t="s">
        <v>1380</v>
      </c>
    </row>
    <row r="356" customFormat="false" ht="15" hidden="false" customHeight="false" outlineLevel="0" collapsed="false">
      <c r="A356" s="33" t="s">
        <v>1381</v>
      </c>
      <c r="B356" s="32" t="n">
        <v>1</v>
      </c>
      <c r="C356" s="32" t="n">
        <f aca="false">COUNTIFS('All Worker Fields'!E:E,A356,'All Worker Fields'!D:D,"Single instance")</f>
        <v>0</v>
      </c>
      <c r="D356" s="32" t="n">
        <f aca="false">COUNTIFS('All Worker Fields'!E:E,A356,'All Worker Fields'!D:D,"Multi-instance")</f>
        <v>0</v>
      </c>
      <c r="E356" s="34" t="s">
        <v>1382</v>
      </c>
    </row>
    <row r="357" customFormat="false" ht="15" hidden="false" customHeight="false" outlineLevel="0" collapsed="false">
      <c r="A357" s="33" t="s">
        <v>1383</v>
      </c>
      <c r="B357" s="32" t="n">
        <v>1</v>
      </c>
      <c r="C357" s="32" t="n">
        <f aca="false">COUNTIFS('All Worker Fields'!E:E,A357,'All Worker Fields'!D:D,"Single instance")</f>
        <v>0</v>
      </c>
      <c r="D357" s="32" t="n">
        <f aca="false">COUNTIFS('All Worker Fields'!E:E,A357,'All Worker Fields'!D:D,"Multi-instance")</f>
        <v>1</v>
      </c>
      <c r="E357" s="34" t="s">
        <v>1383</v>
      </c>
    </row>
    <row r="358" customFormat="false" ht="15" hidden="false" customHeight="false" outlineLevel="0" collapsed="false">
      <c r="A358" s="33" t="s">
        <v>1384</v>
      </c>
      <c r="B358" s="32" t="n">
        <v>1</v>
      </c>
      <c r="C358" s="32" t="n">
        <f aca="false">COUNTIFS('All Worker Fields'!E:E,A358,'All Worker Fields'!D:D,"Single instance")</f>
        <v>0</v>
      </c>
      <c r="D358" s="32" t="n">
        <f aca="false">COUNTIFS('All Worker Fields'!E:E,A358,'All Worker Fields'!D:D,"Multi-instance")</f>
        <v>1</v>
      </c>
      <c r="E358" s="34" t="s">
        <v>1385</v>
      </c>
    </row>
    <row r="359" customFormat="false" ht="15" hidden="false" customHeight="false" outlineLevel="0" collapsed="false">
      <c r="A359" s="33" t="s">
        <v>722</v>
      </c>
      <c r="B359" s="32" t="n">
        <v>1</v>
      </c>
      <c r="C359" s="32" t="n">
        <f aca="false">COUNTIFS('All Worker Fields'!E:E,A359,'All Worker Fields'!D:D,"Single instance")</f>
        <v>1</v>
      </c>
      <c r="D359" s="32" t="n">
        <f aca="false">COUNTIFS('All Worker Fields'!E:E,A359,'All Worker Fields'!D:D,"Multi-instance")</f>
        <v>0</v>
      </c>
      <c r="E359" s="34" t="s">
        <v>1386</v>
      </c>
    </row>
    <row r="360" customFormat="false" ht="15" hidden="false" customHeight="false" outlineLevel="0" collapsed="false">
      <c r="A360" s="33" t="s">
        <v>1387</v>
      </c>
      <c r="B360" s="32" t="n">
        <v>1</v>
      </c>
      <c r="C360" s="32" t="n">
        <f aca="false">COUNTIFS('All Worker Fields'!E:E,A360,'All Worker Fields'!D:D,"Single instance")</f>
        <v>0</v>
      </c>
      <c r="D360" s="32" t="n">
        <f aca="false">COUNTIFS('All Worker Fields'!E:E,A360,'All Worker Fields'!D:D,"Multi-instance")</f>
        <v>1</v>
      </c>
      <c r="E360" s="34" t="s">
        <v>1387</v>
      </c>
    </row>
    <row r="361" customFormat="false" ht="15" hidden="false" customHeight="false" outlineLevel="0" collapsed="false">
      <c r="A361" s="33" t="s">
        <v>1388</v>
      </c>
      <c r="B361" s="32" t="n">
        <v>1</v>
      </c>
      <c r="C361" s="32" t="n">
        <f aca="false">COUNTIFS('All Worker Fields'!E:E,A361,'All Worker Fields'!D:D,"Single instance")</f>
        <v>1</v>
      </c>
      <c r="D361" s="32" t="n">
        <f aca="false">COUNTIFS('All Worker Fields'!E:E,A361,'All Worker Fields'!D:D,"Multi-instance")</f>
        <v>0</v>
      </c>
      <c r="E361" s="34" t="s">
        <v>1388</v>
      </c>
    </row>
    <row r="362" customFormat="false" ht="15" hidden="false" customHeight="false" outlineLevel="0" collapsed="false">
      <c r="A362" s="33" t="s">
        <v>1389</v>
      </c>
      <c r="B362" s="32" t="n">
        <v>1</v>
      </c>
      <c r="C362" s="32" t="n">
        <f aca="false">COUNTIFS('All Worker Fields'!E:E,A362,'All Worker Fields'!D:D,"Single instance")</f>
        <v>0</v>
      </c>
      <c r="D362" s="32" t="n">
        <f aca="false">COUNTIFS('All Worker Fields'!E:E,A362,'All Worker Fields'!D:D,"Multi-instance")</f>
        <v>1</v>
      </c>
      <c r="E362" s="34" t="s">
        <v>1390</v>
      </c>
    </row>
    <row r="363" customFormat="false" ht="15" hidden="false" customHeight="false" outlineLevel="0" collapsed="false">
      <c r="A363" s="33" t="s">
        <v>1391</v>
      </c>
      <c r="B363" s="32" t="n">
        <v>1</v>
      </c>
      <c r="C363" s="32" t="n">
        <f aca="false">COUNTIFS('All Worker Fields'!E:E,A363,'All Worker Fields'!D:D,"Single instance")</f>
        <v>0</v>
      </c>
      <c r="D363" s="32" t="n">
        <f aca="false">COUNTIFS('All Worker Fields'!E:E,A363,'All Worker Fields'!D:D,"Multi-instance")</f>
        <v>1</v>
      </c>
      <c r="E363" s="34" t="s">
        <v>1392</v>
      </c>
    </row>
    <row r="364" customFormat="false" ht="15" hidden="false" customHeight="false" outlineLevel="0" collapsed="false">
      <c r="A364" s="33" t="s">
        <v>1393</v>
      </c>
      <c r="B364" s="32" t="n">
        <v>1</v>
      </c>
      <c r="C364" s="32" t="n">
        <f aca="false">COUNTIFS('All Worker Fields'!E:E,A364,'All Worker Fields'!D:D,"Single instance")</f>
        <v>0</v>
      </c>
      <c r="D364" s="32" t="n">
        <f aca="false">COUNTIFS('All Worker Fields'!E:E,A364,'All Worker Fields'!D:D,"Multi-instance")</f>
        <v>1</v>
      </c>
      <c r="E364" s="34" t="s">
        <v>1394</v>
      </c>
    </row>
    <row r="365" customFormat="false" ht="15" hidden="false" customHeight="false" outlineLevel="0" collapsed="false">
      <c r="A365" s="33" t="s">
        <v>1395</v>
      </c>
      <c r="B365" s="32" t="n">
        <v>1</v>
      </c>
      <c r="C365" s="32" t="n">
        <f aca="false">COUNTIFS('All Worker Fields'!E:E,A365,'All Worker Fields'!D:D,"Single instance")</f>
        <v>0</v>
      </c>
      <c r="D365" s="32" t="n">
        <f aca="false">COUNTIFS('All Worker Fields'!E:E,A365,'All Worker Fields'!D:D,"Multi-instance")</f>
        <v>1</v>
      </c>
      <c r="E365" s="34" t="s">
        <v>1395</v>
      </c>
    </row>
    <row r="366" customFormat="false" ht="15" hidden="false" customHeight="false" outlineLevel="0" collapsed="false">
      <c r="A366" s="33" t="s">
        <v>1396</v>
      </c>
      <c r="B366" s="32" t="n">
        <v>1</v>
      </c>
      <c r="C366" s="32" t="n">
        <f aca="false">COUNTIFS('All Worker Fields'!E:E,A366,'All Worker Fields'!D:D,"Single instance")</f>
        <v>1</v>
      </c>
      <c r="D366" s="32" t="n">
        <f aca="false">COUNTIFS('All Worker Fields'!E:E,A366,'All Worker Fields'!D:D,"Multi-instance")</f>
        <v>0</v>
      </c>
      <c r="E366" s="34" t="s">
        <v>1397</v>
      </c>
    </row>
    <row r="367" customFormat="false" ht="15" hidden="false" customHeight="false" outlineLevel="0" collapsed="false">
      <c r="A367" s="33" t="s">
        <v>1398</v>
      </c>
      <c r="B367" s="32" t="n">
        <v>1</v>
      </c>
      <c r="C367" s="32" t="n">
        <f aca="false">COUNTIFS('All Worker Fields'!E:E,A367,'All Worker Fields'!D:D,"Single instance")</f>
        <v>1</v>
      </c>
      <c r="D367" s="32" t="n">
        <f aca="false">COUNTIFS('All Worker Fields'!E:E,A367,'All Worker Fields'!D:D,"Multi-instance")</f>
        <v>0</v>
      </c>
      <c r="E367" s="34" t="s">
        <v>1399</v>
      </c>
    </row>
    <row r="368" customFormat="false" ht="15" hidden="false" customHeight="false" outlineLevel="0" collapsed="false">
      <c r="A368" s="33" t="s">
        <v>1400</v>
      </c>
      <c r="B368" s="32" t="n">
        <v>1</v>
      </c>
      <c r="C368" s="32" t="n">
        <f aca="false">COUNTIFS('All Worker Fields'!E:E,A368,'All Worker Fields'!D:D,"Single instance")</f>
        <v>0</v>
      </c>
      <c r="D368" s="32" t="n">
        <f aca="false">COUNTIFS('All Worker Fields'!E:E,A368,'All Worker Fields'!D:D,"Multi-instance")</f>
        <v>1</v>
      </c>
      <c r="E368" s="34" t="s">
        <v>1401</v>
      </c>
    </row>
    <row r="369" customFormat="false" ht="15" hidden="false" customHeight="false" outlineLevel="0" collapsed="false">
      <c r="A369" s="33" t="s">
        <v>1402</v>
      </c>
      <c r="B369" s="32" t="n">
        <v>1</v>
      </c>
      <c r="C369" s="32" t="n">
        <f aca="false">COUNTIFS('All Worker Fields'!E:E,A369,'All Worker Fields'!D:D,"Single instance")</f>
        <v>0</v>
      </c>
      <c r="D369" s="32" t="n">
        <f aca="false">COUNTIFS('All Worker Fields'!E:E,A369,'All Worker Fields'!D:D,"Multi-instance")</f>
        <v>0</v>
      </c>
      <c r="E369" s="34" t="s">
        <v>1403</v>
      </c>
    </row>
    <row r="370" customFormat="false" ht="15" hidden="false" customHeight="false" outlineLevel="0" collapsed="false">
      <c r="A370" s="33" t="s">
        <v>1404</v>
      </c>
      <c r="B370" s="32" t="n">
        <v>1</v>
      </c>
      <c r="C370" s="32" t="n">
        <f aca="false">COUNTIFS('All Worker Fields'!E:E,A370,'All Worker Fields'!D:D,"Single instance")</f>
        <v>0</v>
      </c>
      <c r="D370" s="32" t="n">
        <f aca="false">COUNTIFS('All Worker Fields'!E:E,A370,'All Worker Fields'!D:D,"Multi-instance")</f>
        <v>0</v>
      </c>
      <c r="E370" s="34" t="s">
        <v>1405</v>
      </c>
    </row>
    <row r="371" customFormat="false" ht="15" hidden="false" customHeight="false" outlineLevel="0" collapsed="false">
      <c r="A371" s="33" t="s">
        <v>1406</v>
      </c>
      <c r="B371" s="32" t="n">
        <v>1</v>
      </c>
      <c r="C371" s="32" t="n">
        <f aca="false">COUNTIFS('All Worker Fields'!E:E,A371,'All Worker Fields'!D:D,"Single instance")</f>
        <v>0</v>
      </c>
      <c r="D371" s="32" t="n">
        <f aca="false">COUNTIFS('All Worker Fields'!E:E,A371,'All Worker Fields'!D:D,"Multi-instance")</f>
        <v>1</v>
      </c>
      <c r="E371" s="34" t="s">
        <v>1406</v>
      </c>
    </row>
    <row r="372" customFormat="false" ht="15" hidden="false" customHeight="false" outlineLevel="0" collapsed="false">
      <c r="A372" s="33" t="s">
        <v>1407</v>
      </c>
      <c r="B372" s="32" t="n">
        <v>1</v>
      </c>
      <c r="C372" s="32" t="n">
        <f aca="false">COUNTIFS('All Worker Fields'!E:E,A372,'All Worker Fields'!D:D,"Single instance")</f>
        <v>1</v>
      </c>
      <c r="D372" s="32" t="n">
        <f aca="false">COUNTIFS('All Worker Fields'!E:E,A372,'All Worker Fields'!D:D,"Multi-instance")</f>
        <v>0</v>
      </c>
      <c r="E372" s="34" t="s">
        <v>1408</v>
      </c>
    </row>
    <row r="373" customFormat="false" ht="15" hidden="false" customHeight="false" outlineLevel="0" collapsed="false">
      <c r="A373" s="33" t="s">
        <v>1409</v>
      </c>
      <c r="B373" s="32" t="n">
        <v>1</v>
      </c>
      <c r="C373" s="32" t="n">
        <f aca="false">COUNTIFS('All Worker Fields'!E:E,A373,'All Worker Fields'!D:D,"Single instance")</f>
        <v>0</v>
      </c>
      <c r="D373" s="32" t="n">
        <f aca="false">COUNTIFS('All Worker Fields'!E:E,A373,'All Worker Fields'!D:D,"Multi-instance")</f>
        <v>0</v>
      </c>
      <c r="E373" s="34" t="s">
        <v>1410</v>
      </c>
    </row>
    <row r="374" customFormat="false" ht="15" hidden="false" customHeight="false" outlineLevel="0" collapsed="false">
      <c r="A374" s="33" t="s">
        <v>1411</v>
      </c>
      <c r="B374" s="32" t="n">
        <v>1</v>
      </c>
      <c r="C374" s="32" t="n">
        <f aca="false">COUNTIFS('All Worker Fields'!E:E,A374,'All Worker Fields'!D:D,"Single instance")</f>
        <v>0</v>
      </c>
      <c r="D374" s="32" t="n">
        <f aca="false">COUNTIFS('All Worker Fields'!E:E,A374,'All Worker Fields'!D:D,"Multi-instance")</f>
        <v>0</v>
      </c>
      <c r="E374" s="34" t="s">
        <v>1412</v>
      </c>
    </row>
    <row r="375" customFormat="false" ht="15" hidden="false" customHeight="false" outlineLevel="0" collapsed="false">
      <c r="A375" s="33" t="s">
        <v>1413</v>
      </c>
      <c r="B375" s="32" t="n">
        <v>1</v>
      </c>
      <c r="C375" s="32" t="n">
        <f aca="false">COUNTIFS('All Worker Fields'!E:E,A375,'All Worker Fields'!D:D,"Single instance")</f>
        <v>0</v>
      </c>
      <c r="D375" s="32" t="n">
        <f aca="false">COUNTIFS('All Worker Fields'!E:E,A375,'All Worker Fields'!D:D,"Multi-instance")</f>
        <v>0</v>
      </c>
      <c r="E375" s="34" t="s">
        <v>1414</v>
      </c>
    </row>
    <row r="376" customFormat="false" ht="15" hidden="false" customHeight="false" outlineLevel="0" collapsed="false">
      <c r="A376" s="33" t="s">
        <v>1415</v>
      </c>
      <c r="B376" s="32" t="n">
        <v>1</v>
      </c>
      <c r="C376" s="32" t="n">
        <f aca="false">COUNTIFS('All Worker Fields'!E:E,A376,'All Worker Fields'!D:D,"Single instance")</f>
        <v>0</v>
      </c>
      <c r="D376" s="32" t="n">
        <f aca="false">COUNTIFS('All Worker Fields'!E:E,A376,'All Worker Fields'!D:D,"Multi-instance")</f>
        <v>0</v>
      </c>
      <c r="E376" s="34" t="s">
        <v>1416</v>
      </c>
    </row>
    <row r="377" customFormat="false" ht="15" hidden="false" customHeight="false" outlineLevel="0" collapsed="false">
      <c r="A377" s="33" t="s">
        <v>1417</v>
      </c>
      <c r="B377" s="32" t="n">
        <v>1</v>
      </c>
      <c r="C377" s="32" t="n">
        <f aca="false">COUNTIFS('All Worker Fields'!E:E,A377,'All Worker Fields'!D:D,"Single instance")</f>
        <v>0</v>
      </c>
      <c r="D377" s="32" t="n">
        <f aca="false">COUNTIFS('All Worker Fields'!E:E,A377,'All Worker Fields'!D:D,"Multi-instance")</f>
        <v>0</v>
      </c>
      <c r="E377" s="34" t="s">
        <v>1418</v>
      </c>
    </row>
    <row r="378" customFormat="false" ht="15" hidden="false" customHeight="false" outlineLevel="0" collapsed="false">
      <c r="A378" s="33" t="s">
        <v>1419</v>
      </c>
      <c r="B378" s="32" t="n">
        <v>1</v>
      </c>
      <c r="C378" s="32" t="n">
        <f aca="false">COUNTIFS('All Worker Fields'!E:E,A378,'All Worker Fields'!D:D,"Single instance")</f>
        <v>0</v>
      </c>
      <c r="D378" s="32" t="n">
        <f aca="false">COUNTIFS('All Worker Fields'!E:E,A378,'All Worker Fields'!D:D,"Multi-instance")</f>
        <v>0</v>
      </c>
      <c r="E378" s="34" t="s">
        <v>1420</v>
      </c>
    </row>
    <row r="379" customFormat="false" ht="15" hidden="false" customHeight="false" outlineLevel="0" collapsed="false">
      <c r="A379" s="33" t="s">
        <v>1421</v>
      </c>
      <c r="B379" s="32" t="n">
        <v>1</v>
      </c>
      <c r="C379" s="32" t="n">
        <f aca="false">COUNTIFS('All Worker Fields'!E:E,A379,'All Worker Fields'!D:D,"Single instance")</f>
        <v>0</v>
      </c>
      <c r="D379" s="32" t="n">
        <f aca="false">COUNTIFS('All Worker Fields'!E:E,A379,'All Worker Fields'!D:D,"Multi-instance")</f>
        <v>0</v>
      </c>
      <c r="E379" s="34" t="s">
        <v>1422</v>
      </c>
    </row>
    <row r="380" customFormat="false" ht="15" hidden="false" customHeight="false" outlineLevel="0" collapsed="false">
      <c r="A380" s="33" t="s">
        <v>1423</v>
      </c>
      <c r="B380" s="32" t="n">
        <v>1</v>
      </c>
      <c r="C380" s="32" t="n">
        <f aca="false">COUNTIFS('All Worker Fields'!E:E,A380,'All Worker Fields'!D:D,"Single instance")</f>
        <v>0</v>
      </c>
      <c r="D380" s="32" t="n">
        <f aca="false">COUNTIFS('All Worker Fields'!E:E,A380,'All Worker Fields'!D:D,"Multi-instance")</f>
        <v>0</v>
      </c>
      <c r="E380" s="34" t="s">
        <v>1424</v>
      </c>
    </row>
    <row r="381" customFormat="false" ht="15" hidden="false" customHeight="false" outlineLevel="0" collapsed="false">
      <c r="A381" s="33" t="s">
        <v>1425</v>
      </c>
      <c r="B381" s="32" t="n">
        <v>1</v>
      </c>
      <c r="C381" s="32" t="n">
        <f aca="false">COUNTIFS('All Worker Fields'!E:E,A381,'All Worker Fields'!D:D,"Single instance")</f>
        <v>0</v>
      </c>
      <c r="D381" s="32" t="n">
        <f aca="false">COUNTIFS('All Worker Fields'!E:E,A381,'All Worker Fields'!D:D,"Multi-instance")</f>
        <v>0</v>
      </c>
      <c r="E381" s="34" t="s">
        <v>1426</v>
      </c>
    </row>
    <row r="382" customFormat="false" ht="15" hidden="false" customHeight="false" outlineLevel="0" collapsed="false">
      <c r="A382" s="33" t="s">
        <v>1427</v>
      </c>
      <c r="B382" s="32" t="n">
        <v>1</v>
      </c>
      <c r="C382" s="32" t="n">
        <f aca="false">COUNTIFS('All Worker Fields'!E:E,A382,'All Worker Fields'!D:D,"Single instance")</f>
        <v>0</v>
      </c>
      <c r="D382" s="32" t="n">
        <f aca="false">COUNTIFS('All Worker Fields'!E:E,A382,'All Worker Fields'!D:D,"Multi-instance")</f>
        <v>0</v>
      </c>
      <c r="E382" s="34" t="s">
        <v>1428</v>
      </c>
    </row>
    <row r="383" customFormat="false" ht="15" hidden="false" customHeight="false" outlineLevel="0" collapsed="false">
      <c r="A383" s="33" t="s">
        <v>1429</v>
      </c>
      <c r="B383" s="32" t="n">
        <v>1</v>
      </c>
      <c r="C383" s="32" t="n">
        <f aca="false">COUNTIFS('All Worker Fields'!E:E,A383,'All Worker Fields'!D:D,"Single instance")</f>
        <v>0</v>
      </c>
      <c r="D383" s="32" t="n">
        <f aca="false">COUNTIFS('All Worker Fields'!E:E,A383,'All Worker Fields'!D:D,"Multi-instance")</f>
        <v>0</v>
      </c>
      <c r="E383" s="34" t="s">
        <v>1430</v>
      </c>
    </row>
    <row r="384" customFormat="false" ht="15" hidden="false" customHeight="false" outlineLevel="0" collapsed="false">
      <c r="A384" s="33" t="s">
        <v>1431</v>
      </c>
      <c r="B384" s="32" t="n">
        <v>1</v>
      </c>
      <c r="C384" s="32" t="n">
        <f aca="false">COUNTIFS('All Worker Fields'!E:E,A384,'All Worker Fields'!D:D,"Single instance")</f>
        <v>0</v>
      </c>
      <c r="D384" s="32" t="n">
        <f aca="false">COUNTIFS('All Worker Fields'!E:E,A384,'All Worker Fields'!D:D,"Multi-instance")</f>
        <v>0</v>
      </c>
      <c r="E384" s="34" t="s">
        <v>1432</v>
      </c>
    </row>
    <row r="385" customFormat="false" ht="15" hidden="false" customHeight="false" outlineLevel="0" collapsed="false">
      <c r="A385" s="33" t="s">
        <v>1433</v>
      </c>
      <c r="B385" s="32" t="n">
        <v>1</v>
      </c>
      <c r="C385" s="32" t="n">
        <f aca="false">COUNTIFS('All Worker Fields'!E:E,A385,'All Worker Fields'!D:D,"Single instance")</f>
        <v>1</v>
      </c>
      <c r="D385" s="32" t="n">
        <f aca="false">COUNTIFS('All Worker Fields'!E:E,A385,'All Worker Fields'!D:D,"Multi-instance")</f>
        <v>0</v>
      </c>
      <c r="E385" s="34" t="s">
        <v>1434</v>
      </c>
    </row>
    <row r="386" customFormat="false" ht="15" hidden="false" customHeight="false" outlineLevel="0" collapsed="false">
      <c r="A386" s="33" t="s">
        <v>1435</v>
      </c>
      <c r="B386" s="32" t="n">
        <v>1</v>
      </c>
      <c r="C386" s="32" t="n">
        <f aca="false">COUNTIFS('All Worker Fields'!E:E,A386,'All Worker Fields'!D:D,"Single instance")</f>
        <v>0</v>
      </c>
      <c r="D386" s="32" t="n">
        <f aca="false">COUNTIFS('All Worker Fields'!E:E,A386,'All Worker Fields'!D:D,"Multi-instance")</f>
        <v>1</v>
      </c>
      <c r="E386" s="34" t="s">
        <v>1436</v>
      </c>
    </row>
    <row r="387" customFormat="false" ht="15" hidden="false" customHeight="false" outlineLevel="0" collapsed="false">
      <c r="A387" s="33" t="s">
        <v>1437</v>
      </c>
      <c r="B387" s="32" t="n">
        <v>1</v>
      </c>
      <c r="C387" s="32" t="n">
        <f aca="false">COUNTIFS('All Worker Fields'!E:E,A387,'All Worker Fields'!D:D,"Single instance")</f>
        <v>0</v>
      </c>
      <c r="D387" s="32" t="n">
        <f aca="false">COUNTIFS('All Worker Fields'!E:E,A387,'All Worker Fields'!D:D,"Multi-instance")</f>
        <v>0</v>
      </c>
      <c r="E387" s="34"/>
    </row>
    <row r="388" customFormat="false" ht="15" hidden="false" customHeight="false" outlineLevel="0" collapsed="false">
      <c r="A388" s="33" t="s">
        <v>1438</v>
      </c>
      <c r="B388" s="32" t="n">
        <v>1</v>
      </c>
      <c r="C388" s="32" t="n">
        <f aca="false">COUNTIFS('All Worker Fields'!E:E,A388,'All Worker Fields'!D:D,"Single instance")</f>
        <v>0</v>
      </c>
      <c r="D388" s="32" t="n">
        <f aca="false">COUNTIFS('All Worker Fields'!E:E,A388,'All Worker Fields'!D:D,"Multi-instance")</f>
        <v>0</v>
      </c>
      <c r="E388" s="34"/>
    </row>
    <row r="389" customFormat="false" ht="15" hidden="false" customHeight="false" outlineLevel="0" collapsed="false">
      <c r="A389" s="33" t="s">
        <v>1439</v>
      </c>
      <c r="B389" s="32" t="n">
        <v>1</v>
      </c>
      <c r="C389" s="32" t="n">
        <f aca="false">COUNTIFS('All Worker Fields'!E:E,A389,'All Worker Fields'!D:D,"Single instance")</f>
        <v>1</v>
      </c>
      <c r="D389" s="32" t="n">
        <f aca="false">COUNTIFS('All Worker Fields'!E:E,A389,'All Worker Fields'!D:D,"Multi-instance")</f>
        <v>0</v>
      </c>
      <c r="E389" s="34" t="s">
        <v>1440</v>
      </c>
    </row>
    <row r="390" customFormat="false" ht="15" hidden="false" customHeight="false" outlineLevel="0" collapsed="false">
      <c r="A390" s="33" t="s">
        <v>1441</v>
      </c>
      <c r="B390" s="32" t="n">
        <v>1</v>
      </c>
      <c r="C390" s="32" t="n">
        <f aca="false">COUNTIFS('All Worker Fields'!E:E,A390,'All Worker Fields'!D:D,"Single instance")</f>
        <v>0</v>
      </c>
      <c r="D390" s="32" t="n">
        <f aca="false">COUNTIFS('All Worker Fields'!E:E,A390,'All Worker Fields'!D:D,"Multi-instance")</f>
        <v>1</v>
      </c>
      <c r="E390" s="34" t="s">
        <v>1442</v>
      </c>
    </row>
    <row r="391" customFormat="false" ht="15" hidden="false" customHeight="false" outlineLevel="0" collapsed="false">
      <c r="A391" s="33" t="s">
        <v>1443</v>
      </c>
      <c r="B391" s="32" t="n">
        <v>1</v>
      </c>
      <c r="C391" s="32" t="n">
        <f aca="false">COUNTIFS('All Worker Fields'!E:E,A391,'All Worker Fields'!D:D,"Single instance")</f>
        <v>0</v>
      </c>
      <c r="D391" s="32" t="n">
        <f aca="false">COUNTIFS('All Worker Fields'!E:E,A391,'All Worker Fields'!D:D,"Multi-instance")</f>
        <v>1</v>
      </c>
      <c r="E391" s="34" t="s">
        <v>1443</v>
      </c>
    </row>
    <row r="392" customFormat="false" ht="15" hidden="false" customHeight="false" outlineLevel="0" collapsed="false">
      <c r="A392" s="33" t="s">
        <v>1444</v>
      </c>
      <c r="B392" s="32" t="n">
        <v>1</v>
      </c>
      <c r="C392" s="32" t="n">
        <f aca="false">COUNTIFS('All Worker Fields'!E:E,A392,'All Worker Fields'!D:D,"Single instance")</f>
        <v>0</v>
      </c>
      <c r="D392" s="32" t="n">
        <f aca="false">COUNTIFS('All Worker Fields'!E:E,A392,'All Worker Fields'!D:D,"Multi-instance")</f>
        <v>1</v>
      </c>
      <c r="E392" s="34" t="s">
        <v>1445</v>
      </c>
    </row>
    <row r="393" customFormat="false" ht="15" hidden="false" customHeight="false" outlineLevel="0" collapsed="false">
      <c r="A393" s="33" t="s">
        <v>600</v>
      </c>
      <c r="B393" s="32" t="n">
        <v>1</v>
      </c>
      <c r="C393" s="32" t="n">
        <f aca="false">COUNTIFS('All Worker Fields'!E:E,A393,'All Worker Fields'!D:D,"Single instance")</f>
        <v>0</v>
      </c>
      <c r="D393" s="32" t="n">
        <f aca="false">COUNTIFS('All Worker Fields'!E:E,A393,'All Worker Fields'!D:D,"Multi-instance")</f>
        <v>1</v>
      </c>
      <c r="E393" s="34" t="s">
        <v>600</v>
      </c>
    </row>
    <row r="394" customFormat="false" ht="15" hidden="false" customHeight="false" outlineLevel="0" collapsed="false">
      <c r="A394" s="33" t="s">
        <v>1446</v>
      </c>
      <c r="B394" s="32" t="n">
        <v>1</v>
      </c>
      <c r="C394" s="32" t="n">
        <f aca="false">COUNTIFS('All Worker Fields'!E:E,A394,'All Worker Fields'!D:D,"Single instance")</f>
        <v>0</v>
      </c>
      <c r="D394" s="32" t="n">
        <f aca="false">COUNTIFS('All Worker Fields'!E:E,A394,'All Worker Fields'!D:D,"Multi-instance")</f>
        <v>0</v>
      </c>
      <c r="E394" s="34"/>
    </row>
    <row r="395" customFormat="false" ht="15" hidden="false" customHeight="false" outlineLevel="0" collapsed="false">
      <c r="A395" s="33" t="s">
        <v>1447</v>
      </c>
      <c r="B395" s="32" t="n">
        <v>1</v>
      </c>
      <c r="C395" s="32" t="n">
        <f aca="false">COUNTIFS('All Worker Fields'!E:E,A395,'All Worker Fields'!D:D,"Single instance")</f>
        <v>0</v>
      </c>
      <c r="D395" s="32" t="n">
        <f aca="false">COUNTIFS('All Worker Fields'!E:E,A395,'All Worker Fields'!D:D,"Multi-instance")</f>
        <v>1</v>
      </c>
      <c r="E395" s="34" t="s">
        <v>1448</v>
      </c>
    </row>
    <row r="396" customFormat="false" ht="15" hidden="false" customHeight="false" outlineLevel="0" collapsed="false">
      <c r="A396" s="33" t="s">
        <v>1449</v>
      </c>
      <c r="B396" s="32" t="n">
        <v>1</v>
      </c>
      <c r="C396" s="32" t="n">
        <f aca="false">COUNTIFS('All Worker Fields'!E:E,A396,'All Worker Fields'!D:D,"Single instance")</f>
        <v>1</v>
      </c>
      <c r="D396" s="32" t="n">
        <f aca="false">COUNTIFS('All Worker Fields'!E:E,A396,'All Worker Fields'!D:D,"Multi-instance")</f>
        <v>0</v>
      </c>
      <c r="E396" s="34" t="s">
        <v>1450</v>
      </c>
    </row>
    <row r="397" customFormat="false" ht="15" hidden="false" customHeight="false" outlineLevel="0" collapsed="false">
      <c r="A397" s="33" t="s">
        <v>1451</v>
      </c>
      <c r="B397" s="32" t="n">
        <v>1</v>
      </c>
      <c r="C397" s="32" t="n">
        <f aca="false">COUNTIFS('All Worker Fields'!E:E,A397,'All Worker Fields'!D:D,"Single instance")</f>
        <v>0</v>
      </c>
      <c r="D397" s="32" t="n">
        <f aca="false">COUNTIFS('All Worker Fields'!E:E,A397,'All Worker Fields'!D:D,"Multi-instance")</f>
        <v>1</v>
      </c>
      <c r="E397" s="34" t="s">
        <v>1452</v>
      </c>
    </row>
    <row r="398" customFormat="false" ht="15" hidden="false" customHeight="false" outlineLevel="0" collapsed="false">
      <c r="A398" s="33" t="s">
        <v>1453</v>
      </c>
      <c r="B398" s="32" t="n">
        <v>1</v>
      </c>
      <c r="C398" s="32" t="n">
        <f aca="false">COUNTIFS('All Worker Fields'!E:E,A398,'All Worker Fields'!D:D,"Single instance")</f>
        <v>0</v>
      </c>
      <c r="D398" s="32" t="n">
        <f aca="false">COUNTIFS('All Worker Fields'!E:E,A398,'All Worker Fields'!D:D,"Multi-instance")</f>
        <v>1</v>
      </c>
      <c r="E398" s="34" t="s">
        <v>1454</v>
      </c>
    </row>
    <row r="399" customFormat="false" ht="15" hidden="false" customHeight="false" outlineLevel="0" collapsed="false">
      <c r="A399" s="33" t="s">
        <v>1455</v>
      </c>
      <c r="B399" s="32" t="n">
        <v>1</v>
      </c>
      <c r="C399" s="32" t="n">
        <f aca="false">COUNTIFS('All Worker Fields'!E:E,A399,'All Worker Fields'!D:D,"Single instance")</f>
        <v>1</v>
      </c>
      <c r="D399" s="32" t="n">
        <f aca="false">COUNTIFS('All Worker Fields'!E:E,A399,'All Worker Fields'!D:D,"Multi-instance")</f>
        <v>0</v>
      </c>
      <c r="E399" s="34" t="s">
        <v>1456</v>
      </c>
    </row>
    <row r="400" customFormat="false" ht="15" hidden="false" customHeight="false" outlineLevel="0" collapsed="false">
      <c r="A400" s="33" t="s">
        <v>1457</v>
      </c>
      <c r="B400" s="32" t="n">
        <v>1</v>
      </c>
      <c r="C400" s="32" t="n">
        <f aca="false">COUNTIFS('All Worker Fields'!E:E,A400,'All Worker Fields'!D:D,"Single instance")</f>
        <v>1</v>
      </c>
      <c r="D400" s="32" t="n">
        <f aca="false">COUNTIFS('All Worker Fields'!E:E,A400,'All Worker Fields'!D:D,"Multi-instance")</f>
        <v>0</v>
      </c>
      <c r="E400" s="34" t="s">
        <v>1458</v>
      </c>
    </row>
    <row r="401" customFormat="false" ht="15" hidden="false" customHeight="false" outlineLevel="0" collapsed="false">
      <c r="A401" s="33" t="s">
        <v>1459</v>
      </c>
      <c r="B401" s="32" t="n">
        <v>1</v>
      </c>
      <c r="C401" s="32" t="n">
        <f aca="false">COUNTIFS('All Worker Fields'!E:E,A401,'All Worker Fields'!D:D,"Single instance")</f>
        <v>0</v>
      </c>
      <c r="D401" s="32" t="n">
        <f aca="false">COUNTIFS('All Worker Fields'!E:E,A401,'All Worker Fields'!D:D,"Multi-instance")</f>
        <v>1</v>
      </c>
      <c r="E401" s="34" t="s">
        <v>1460</v>
      </c>
    </row>
    <row r="402" customFormat="false" ht="15" hidden="false" customHeight="false" outlineLevel="0" collapsed="false">
      <c r="A402" s="33" t="s">
        <v>1461</v>
      </c>
      <c r="B402" s="32" t="n">
        <v>1</v>
      </c>
      <c r="C402" s="32" t="n">
        <f aca="false">COUNTIFS('All Worker Fields'!E:E,A402,'All Worker Fields'!D:D,"Single instance")</f>
        <v>0</v>
      </c>
      <c r="D402" s="32" t="n">
        <f aca="false">COUNTIFS('All Worker Fields'!E:E,A402,'All Worker Fields'!D:D,"Multi-instance")</f>
        <v>1</v>
      </c>
      <c r="E402" s="34" t="s">
        <v>1462</v>
      </c>
    </row>
    <row r="403" customFormat="false" ht="15" hidden="false" customHeight="false" outlineLevel="0" collapsed="false">
      <c r="A403" s="33" t="s">
        <v>104</v>
      </c>
      <c r="B403" s="32" t="n">
        <v>1</v>
      </c>
      <c r="C403" s="32" t="n">
        <f aca="false">COUNTIFS('All Worker Fields'!E:E,A403,'All Worker Fields'!D:D,"Single instance")</f>
        <v>0</v>
      </c>
      <c r="D403" s="32" t="n">
        <f aca="false">COUNTIFS('All Worker Fields'!E:E,A403,'All Worker Fields'!D:D,"Multi-instance")</f>
        <v>1</v>
      </c>
      <c r="E403" s="34" t="s">
        <v>1463</v>
      </c>
    </row>
    <row r="404" customFormat="false" ht="15" hidden="false" customHeight="false" outlineLevel="0" collapsed="false">
      <c r="A404" s="33" t="s">
        <v>1464</v>
      </c>
      <c r="B404" s="32" t="n">
        <v>1</v>
      </c>
      <c r="C404" s="32" t="n">
        <f aca="false">COUNTIFS('All Worker Fields'!E:E,A404,'All Worker Fields'!D:D,"Single instance")</f>
        <v>0</v>
      </c>
      <c r="D404" s="32" t="n">
        <f aca="false">COUNTIFS('All Worker Fields'!E:E,A404,'All Worker Fields'!D:D,"Multi-instance")</f>
        <v>1</v>
      </c>
      <c r="E404" s="34" t="s">
        <v>1465</v>
      </c>
    </row>
    <row r="405" customFormat="false" ht="15" hidden="false" customHeight="false" outlineLevel="0" collapsed="false">
      <c r="A405" s="33" t="s">
        <v>1466</v>
      </c>
      <c r="B405" s="32" t="n">
        <v>1</v>
      </c>
      <c r="C405" s="32" t="n">
        <f aca="false">COUNTIFS('All Worker Fields'!E:E,A405,'All Worker Fields'!D:D,"Single instance")</f>
        <v>1</v>
      </c>
      <c r="D405" s="32" t="n">
        <f aca="false">COUNTIFS('All Worker Fields'!E:E,A405,'All Worker Fields'!D:D,"Multi-instance")</f>
        <v>0</v>
      </c>
      <c r="E405" s="34" t="s">
        <v>1467</v>
      </c>
    </row>
    <row r="406" customFormat="false" ht="15" hidden="false" customHeight="false" outlineLevel="0" collapsed="false">
      <c r="A406" s="33" t="s">
        <v>1468</v>
      </c>
      <c r="B406" s="32" t="n">
        <v>1</v>
      </c>
      <c r="C406" s="32" t="n">
        <f aca="false">COUNTIFS('All Worker Fields'!E:E,A406,'All Worker Fields'!D:D,"Single instance")</f>
        <v>0</v>
      </c>
      <c r="D406" s="32" t="n">
        <f aca="false">COUNTIFS('All Worker Fields'!E:E,A406,'All Worker Fields'!D:D,"Multi-instance")</f>
        <v>1</v>
      </c>
      <c r="E406" s="34" t="s">
        <v>1469</v>
      </c>
    </row>
    <row r="407" customFormat="false" ht="15" hidden="false" customHeight="false" outlineLevel="0" collapsed="false">
      <c r="A407" s="33" t="s">
        <v>1470</v>
      </c>
      <c r="B407" s="32" t="n">
        <v>1</v>
      </c>
      <c r="C407" s="32" t="n">
        <f aca="false">COUNTIFS('All Worker Fields'!E:E,A407,'All Worker Fields'!D:D,"Single instance")</f>
        <v>0</v>
      </c>
      <c r="D407" s="32" t="n">
        <f aca="false">COUNTIFS('All Worker Fields'!E:E,A407,'All Worker Fields'!D:D,"Multi-instance")</f>
        <v>1</v>
      </c>
      <c r="E407" s="34" t="s">
        <v>1471</v>
      </c>
    </row>
    <row r="408" customFormat="false" ht="15" hidden="false" customHeight="false" outlineLevel="0" collapsed="false">
      <c r="A408" s="33" t="s">
        <v>1472</v>
      </c>
      <c r="B408" s="32" t="n">
        <v>1</v>
      </c>
      <c r="C408" s="32" t="n">
        <f aca="false">COUNTIFS('All Worker Fields'!E:E,A408,'All Worker Fields'!D:D,"Single instance")</f>
        <v>0</v>
      </c>
      <c r="D408" s="32" t="n">
        <f aca="false">COUNTIFS('All Worker Fields'!E:E,A408,'All Worker Fields'!D:D,"Multi-instance")</f>
        <v>1</v>
      </c>
      <c r="E408" s="34" t="s">
        <v>1473</v>
      </c>
    </row>
    <row r="409" customFormat="false" ht="15" hidden="false" customHeight="false" outlineLevel="0" collapsed="false">
      <c r="A409" s="33" t="s">
        <v>1474</v>
      </c>
      <c r="B409" s="32" t="n">
        <v>1</v>
      </c>
      <c r="C409" s="32" t="n">
        <f aca="false">COUNTIFS('All Worker Fields'!E:E,A409,'All Worker Fields'!D:D,"Single instance")</f>
        <v>0</v>
      </c>
      <c r="D409" s="32" t="n">
        <f aca="false">COUNTIFS('All Worker Fields'!E:E,A409,'All Worker Fields'!D:D,"Multi-instance")</f>
        <v>1</v>
      </c>
      <c r="E409" s="34" t="s">
        <v>1475</v>
      </c>
    </row>
    <row r="410" customFormat="false" ht="15" hidden="false" customHeight="false" outlineLevel="0" collapsed="false">
      <c r="A410" s="33" t="s">
        <v>1476</v>
      </c>
      <c r="B410" s="32" t="n">
        <v>1</v>
      </c>
      <c r="C410" s="32" t="n">
        <f aca="false">COUNTIFS('All Worker Fields'!E:E,A410,'All Worker Fields'!D:D,"Single instance")</f>
        <v>0</v>
      </c>
      <c r="D410" s="32" t="n">
        <f aca="false">COUNTIFS('All Worker Fields'!E:E,A410,'All Worker Fields'!D:D,"Multi-instance")</f>
        <v>1</v>
      </c>
      <c r="E410" s="34" t="s">
        <v>1477</v>
      </c>
    </row>
    <row r="411" customFormat="false" ht="15" hidden="false" customHeight="false" outlineLevel="0" collapsed="false">
      <c r="A411" s="33" t="s">
        <v>1478</v>
      </c>
      <c r="B411" s="32" t="n">
        <v>1</v>
      </c>
      <c r="C411" s="32" t="n">
        <f aca="false">COUNTIFS('All Worker Fields'!E:E,A411,'All Worker Fields'!D:D,"Single instance")</f>
        <v>0</v>
      </c>
      <c r="D411" s="32" t="n">
        <f aca="false">COUNTIFS('All Worker Fields'!E:E,A411,'All Worker Fields'!D:D,"Multi-instance")</f>
        <v>1</v>
      </c>
      <c r="E411" s="34" t="s">
        <v>1479</v>
      </c>
    </row>
    <row r="412" customFormat="false" ht="15" hidden="false" customHeight="false" outlineLevel="0" collapsed="false">
      <c r="A412" s="33" t="s">
        <v>512</v>
      </c>
      <c r="B412" s="32" t="n">
        <v>1</v>
      </c>
      <c r="C412" s="32" t="n">
        <f aca="false">COUNTIFS('All Worker Fields'!E:E,A412,'All Worker Fields'!D:D,"Single instance")</f>
        <v>1</v>
      </c>
      <c r="D412" s="32" t="n">
        <f aca="false">COUNTIFS('All Worker Fields'!E:E,A412,'All Worker Fields'!D:D,"Multi-instance")</f>
        <v>0</v>
      </c>
      <c r="E412" s="34" t="s">
        <v>511</v>
      </c>
    </row>
    <row r="413" customFormat="false" ht="15" hidden="false" customHeight="false" outlineLevel="0" collapsed="false">
      <c r="A413" s="33" t="s">
        <v>1480</v>
      </c>
      <c r="B413" s="32" t="n">
        <v>1</v>
      </c>
      <c r="C413" s="32" t="n">
        <f aca="false">COUNTIFS('All Worker Fields'!E:E,A413,'All Worker Fields'!D:D,"Single instance")</f>
        <v>0</v>
      </c>
      <c r="D413" s="32" t="n">
        <f aca="false">COUNTIFS('All Worker Fields'!E:E,A413,'All Worker Fields'!D:D,"Multi-instance")</f>
        <v>0</v>
      </c>
      <c r="E413" s="34" t="s">
        <v>1480</v>
      </c>
    </row>
    <row r="414" customFormat="false" ht="15" hidden="false" customHeight="false" outlineLevel="0" collapsed="false">
      <c r="A414" s="33" t="s">
        <v>1481</v>
      </c>
      <c r="B414" s="32" t="n">
        <v>1</v>
      </c>
      <c r="C414" s="32" t="n">
        <f aca="false">COUNTIFS('All Worker Fields'!E:E,A414,'All Worker Fields'!D:D,"Single instance")</f>
        <v>0</v>
      </c>
      <c r="D414" s="32" t="n">
        <f aca="false">COUNTIFS('All Worker Fields'!E:E,A414,'All Worker Fields'!D:D,"Multi-instance")</f>
        <v>1</v>
      </c>
      <c r="E414" s="34" t="s">
        <v>1481</v>
      </c>
    </row>
    <row r="415" customFormat="false" ht="15" hidden="false" customHeight="false" outlineLevel="0" collapsed="false">
      <c r="A415" s="33" t="s">
        <v>1482</v>
      </c>
      <c r="B415" s="32" t="n">
        <v>1</v>
      </c>
      <c r="C415" s="32" t="n">
        <f aca="false">COUNTIFS('All Worker Fields'!E:E,A415,'All Worker Fields'!D:D,"Single instance")</f>
        <v>0</v>
      </c>
      <c r="D415" s="32" t="n">
        <f aca="false">COUNTIFS('All Worker Fields'!E:E,A415,'All Worker Fields'!D:D,"Multi-instance")</f>
        <v>0</v>
      </c>
      <c r="E415" s="34" t="s">
        <v>1483</v>
      </c>
    </row>
    <row r="416" customFormat="false" ht="15" hidden="false" customHeight="false" outlineLevel="0" collapsed="false">
      <c r="A416" s="33" t="s">
        <v>1484</v>
      </c>
      <c r="B416" s="32" t="n">
        <v>1</v>
      </c>
      <c r="C416" s="32" t="n">
        <f aca="false">COUNTIFS('All Worker Fields'!E:E,A416,'All Worker Fields'!D:D,"Single instance")</f>
        <v>1</v>
      </c>
      <c r="D416" s="32" t="n">
        <f aca="false">COUNTIFS('All Worker Fields'!E:E,A416,'All Worker Fields'!D:D,"Multi-instance")</f>
        <v>0</v>
      </c>
      <c r="E416" s="34" t="s">
        <v>1485</v>
      </c>
    </row>
    <row r="417" customFormat="false" ht="15" hidden="false" customHeight="false" outlineLevel="0" collapsed="false">
      <c r="A417" s="33" t="s">
        <v>1486</v>
      </c>
      <c r="B417" s="32" t="n">
        <v>1</v>
      </c>
      <c r="C417" s="32" t="n">
        <f aca="false">COUNTIFS('All Worker Fields'!E:E,A417,'All Worker Fields'!D:D,"Single instance")</f>
        <v>0</v>
      </c>
      <c r="D417" s="32" t="n">
        <f aca="false">COUNTIFS('All Worker Fields'!E:E,A417,'All Worker Fields'!D:D,"Multi-instance")</f>
        <v>1</v>
      </c>
      <c r="E417" s="34" t="s">
        <v>1487</v>
      </c>
    </row>
    <row r="418" customFormat="false" ht="15" hidden="false" customHeight="false" outlineLevel="0" collapsed="false">
      <c r="A418" s="33" t="s">
        <v>1488</v>
      </c>
      <c r="B418" s="32" t="n">
        <v>1</v>
      </c>
      <c r="C418" s="32" t="n">
        <f aca="false">COUNTIFS('All Worker Fields'!E:E,A418,'All Worker Fields'!D:D,"Single instance")</f>
        <v>0</v>
      </c>
      <c r="D418" s="32" t="n">
        <f aca="false">COUNTIFS('All Worker Fields'!E:E,A418,'All Worker Fields'!D:D,"Multi-instance")</f>
        <v>1</v>
      </c>
      <c r="E418" s="34" t="s">
        <v>1489</v>
      </c>
    </row>
    <row r="419" customFormat="false" ht="15" hidden="false" customHeight="false" outlineLevel="0" collapsed="false">
      <c r="A419" s="33" t="s">
        <v>1490</v>
      </c>
      <c r="B419" s="32" t="n">
        <v>1</v>
      </c>
      <c r="C419" s="32" t="n">
        <f aca="false">COUNTIFS('All Worker Fields'!E:E,A419,'All Worker Fields'!D:D,"Single instance")</f>
        <v>0</v>
      </c>
      <c r="D419" s="32" t="n">
        <f aca="false">COUNTIFS('All Worker Fields'!E:E,A419,'All Worker Fields'!D:D,"Multi-instance")</f>
        <v>1</v>
      </c>
      <c r="E419" s="34" t="s">
        <v>1491</v>
      </c>
    </row>
    <row r="420" customFormat="false" ht="15" hidden="false" customHeight="false" outlineLevel="0" collapsed="false">
      <c r="A420" s="33" t="s">
        <v>1492</v>
      </c>
      <c r="B420" s="32" t="n">
        <v>1</v>
      </c>
      <c r="C420" s="32" t="n">
        <f aca="false">COUNTIFS('All Worker Fields'!E:E,A420,'All Worker Fields'!D:D,"Single instance")</f>
        <v>0</v>
      </c>
      <c r="D420" s="32" t="n">
        <f aca="false">COUNTIFS('All Worker Fields'!E:E,A420,'All Worker Fields'!D:D,"Multi-instance")</f>
        <v>1</v>
      </c>
      <c r="E420" s="34" t="s">
        <v>1493</v>
      </c>
    </row>
    <row r="421" customFormat="false" ht="15" hidden="false" customHeight="false" outlineLevel="0" collapsed="false">
      <c r="A421" s="33" t="s">
        <v>1494</v>
      </c>
      <c r="B421" s="32" t="n">
        <v>1</v>
      </c>
      <c r="C421" s="32" t="n">
        <f aca="false">COUNTIFS('All Worker Fields'!E:E,A421,'All Worker Fields'!D:D,"Single instance")</f>
        <v>1</v>
      </c>
      <c r="D421" s="32" t="n">
        <f aca="false">COUNTIFS('All Worker Fields'!E:E,A421,'All Worker Fields'!D:D,"Multi-instance")</f>
        <v>0</v>
      </c>
      <c r="E421" s="34" t="s">
        <v>1495</v>
      </c>
    </row>
    <row r="422" customFormat="false" ht="15" hidden="false" customHeight="false" outlineLevel="0" collapsed="false">
      <c r="A422" s="33" t="s">
        <v>1496</v>
      </c>
      <c r="B422" s="32" t="n">
        <v>1</v>
      </c>
      <c r="C422" s="32" t="n">
        <f aca="false">COUNTIFS('All Worker Fields'!E:E,A422,'All Worker Fields'!D:D,"Single instance")</f>
        <v>0</v>
      </c>
      <c r="D422" s="32" t="n">
        <f aca="false">COUNTIFS('All Worker Fields'!E:E,A422,'All Worker Fields'!D:D,"Multi-instance")</f>
        <v>1</v>
      </c>
      <c r="E422" s="34" t="s">
        <v>1497</v>
      </c>
    </row>
    <row r="423" customFormat="false" ht="15" hidden="false" customHeight="false" outlineLevel="0" collapsed="false">
      <c r="A423" s="33" t="s">
        <v>1498</v>
      </c>
      <c r="B423" s="32" t="n">
        <v>1</v>
      </c>
      <c r="C423" s="32" t="n">
        <f aca="false">COUNTIFS('All Worker Fields'!E:E,A423,'All Worker Fields'!D:D,"Single instance")</f>
        <v>1</v>
      </c>
      <c r="D423" s="32" t="n">
        <f aca="false">COUNTIFS('All Worker Fields'!E:E,A423,'All Worker Fields'!D:D,"Multi-instance")</f>
        <v>0</v>
      </c>
      <c r="E423" s="34" t="s">
        <v>1499</v>
      </c>
    </row>
    <row r="424" customFormat="false" ht="15" hidden="false" customHeight="false" outlineLevel="0" collapsed="false">
      <c r="A424" s="33" t="s">
        <v>1500</v>
      </c>
      <c r="B424" s="32" t="n">
        <v>1</v>
      </c>
      <c r="C424" s="32" t="n">
        <f aca="false">COUNTIFS('All Worker Fields'!E:E,A424,'All Worker Fields'!D:D,"Single instance")</f>
        <v>0</v>
      </c>
      <c r="D424" s="32" t="n">
        <f aca="false">COUNTIFS('All Worker Fields'!E:E,A424,'All Worker Fields'!D:D,"Multi-instance")</f>
        <v>1</v>
      </c>
      <c r="E424" s="34" t="s">
        <v>1501</v>
      </c>
    </row>
    <row r="425" customFormat="false" ht="15" hidden="false" customHeight="false" outlineLevel="0" collapsed="false">
      <c r="A425" s="33" t="s">
        <v>1502</v>
      </c>
      <c r="B425" s="32" t="n">
        <v>1</v>
      </c>
      <c r="C425" s="32" t="n">
        <f aca="false">COUNTIFS('All Worker Fields'!E:E,A425,'All Worker Fields'!D:D,"Single instance")</f>
        <v>0</v>
      </c>
      <c r="D425" s="32" t="n">
        <f aca="false">COUNTIFS('All Worker Fields'!E:E,A425,'All Worker Fields'!D:D,"Multi-instance")</f>
        <v>1</v>
      </c>
      <c r="E425" s="34" t="s">
        <v>1503</v>
      </c>
    </row>
    <row r="426" customFormat="false" ht="15" hidden="false" customHeight="false" outlineLevel="0" collapsed="false">
      <c r="A426" s="33" t="s">
        <v>1504</v>
      </c>
      <c r="B426" s="32" t="n">
        <v>1</v>
      </c>
      <c r="C426" s="32" t="n">
        <f aca="false">COUNTIFS('All Worker Fields'!E:E,A426,'All Worker Fields'!D:D,"Single instance")</f>
        <v>1</v>
      </c>
      <c r="D426" s="32" t="n">
        <f aca="false">COUNTIFS('All Worker Fields'!E:E,A426,'All Worker Fields'!D:D,"Multi-instance")</f>
        <v>0</v>
      </c>
      <c r="E426" s="34" t="s">
        <v>1505</v>
      </c>
    </row>
    <row r="427" customFormat="false" ht="15" hidden="false" customHeight="false" outlineLevel="0" collapsed="false">
      <c r="A427" s="33" t="s">
        <v>1506</v>
      </c>
      <c r="B427" s="32" t="n">
        <v>1</v>
      </c>
      <c r="C427" s="32" t="n">
        <f aca="false">COUNTIFS('All Worker Fields'!E:E,A427,'All Worker Fields'!D:D,"Single instance")</f>
        <v>0</v>
      </c>
      <c r="D427" s="32" t="n">
        <f aca="false">COUNTIFS('All Worker Fields'!E:E,A427,'All Worker Fields'!D:D,"Multi-instance")</f>
        <v>0</v>
      </c>
      <c r="E427" s="34"/>
    </row>
    <row r="428" customFormat="false" ht="15" hidden="false" customHeight="false" outlineLevel="0" collapsed="false">
      <c r="A428" s="33" t="s">
        <v>1507</v>
      </c>
      <c r="B428" s="32" t="n">
        <v>1</v>
      </c>
      <c r="C428" s="32" t="n">
        <f aca="false">COUNTIFS('All Worker Fields'!E:E,A428,'All Worker Fields'!D:D,"Single instance")</f>
        <v>0</v>
      </c>
      <c r="D428" s="32" t="n">
        <f aca="false">COUNTIFS('All Worker Fields'!E:E,A428,'All Worker Fields'!D:D,"Multi-instance")</f>
        <v>1</v>
      </c>
      <c r="E428" s="34" t="s">
        <v>1508</v>
      </c>
    </row>
    <row r="429" customFormat="false" ht="15" hidden="false" customHeight="false" outlineLevel="0" collapsed="false">
      <c r="A429" s="33" t="s">
        <v>1509</v>
      </c>
      <c r="B429" s="32" t="n">
        <v>1</v>
      </c>
      <c r="C429" s="32" t="n">
        <f aca="false">COUNTIFS('All Worker Fields'!E:E,A429,'All Worker Fields'!D:D,"Single instance")</f>
        <v>0</v>
      </c>
      <c r="D429" s="32" t="n">
        <f aca="false">COUNTIFS('All Worker Fields'!E:E,A429,'All Worker Fields'!D:D,"Multi-instance")</f>
        <v>1</v>
      </c>
      <c r="E429" s="34" t="s">
        <v>1510</v>
      </c>
    </row>
    <row r="430" customFormat="false" ht="15" hidden="false" customHeight="false" outlineLevel="0" collapsed="false">
      <c r="A430" s="33" t="s">
        <v>1511</v>
      </c>
      <c r="B430" s="32" t="n">
        <v>1</v>
      </c>
      <c r="C430" s="32" t="n">
        <f aca="false">COUNTIFS('All Worker Fields'!E:E,A430,'All Worker Fields'!D:D,"Single instance")</f>
        <v>0</v>
      </c>
      <c r="D430" s="32" t="n">
        <f aca="false">COUNTIFS('All Worker Fields'!E:E,A430,'All Worker Fields'!D:D,"Multi-instance")</f>
        <v>1</v>
      </c>
      <c r="E430" s="34" t="s">
        <v>1512</v>
      </c>
    </row>
    <row r="431" customFormat="false" ht="15" hidden="false" customHeight="false" outlineLevel="0" collapsed="false">
      <c r="A431" s="33" t="s">
        <v>1513</v>
      </c>
      <c r="B431" s="32" t="n">
        <v>1</v>
      </c>
      <c r="C431" s="32" t="n">
        <f aca="false">COUNTIFS('All Worker Fields'!E:E,A431,'All Worker Fields'!D:D,"Single instance")</f>
        <v>0</v>
      </c>
      <c r="D431" s="32" t="n">
        <f aca="false">COUNTIFS('All Worker Fields'!E:E,A431,'All Worker Fields'!D:D,"Multi-instance")</f>
        <v>1</v>
      </c>
      <c r="E431" s="34" t="s">
        <v>1513</v>
      </c>
    </row>
    <row r="432" customFormat="false" ht="15" hidden="false" customHeight="false" outlineLevel="0" collapsed="false">
      <c r="A432" s="33" t="s">
        <v>1514</v>
      </c>
      <c r="B432" s="32" t="n">
        <v>1</v>
      </c>
      <c r="C432" s="32" t="n">
        <f aca="false">COUNTIFS('All Worker Fields'!E:E,A432,'All Worker Fields'!D:D,"Single instance")</f>
        <v>1</v>
      </c>
      <c r="D432" s="32" t="n">
        <f aca="false">COUNTIFS('All Worker Fields'!E:E,A432,'All Worker Fields'!D:D,"Multi-instance")</f>
        <v>0</v>
      </c>
      <c r="E432" s="34" t="s">
        <v>1514</v>
      </c>
    </row>
    <row r="433" customFormat="false" ht="15" hidden="false" customHeight="false" outlineLevel="0" collapsed="false">
      <c r="A433" s="33" t="s">
        <v>1515</v>
      </c>
      <c r="B433" s="32" t="n">
        <v>1</v>
      </c>
      <c r="C433" s="32" t="n">
        <f aca="false">COUNTIFS('All Worker Fields'!E:E,A433,'All Worker Fields'!D:D,"Single instance")</f>
        <v>0</v>
      </c>
      <c r="D433" s="32" t="n">
        <f aca="false">COUNTIFS('All Worker Fields'!E:E,A433,'All Worker Fields'!D:D,"Multi-instance")</f>
        <v>0</v>
      </c>
      <c r="E433" s="34" t="s">
        <v>1516</v>
      </c>
    </row>
    <row r="434" customFormat="false" ht="15" hidden="false" customHeight="false" outlineLevel="0" collapsed="false">
      <c r="A434" s="33" t="s">
        <v>1517</v>
      </c>
      <c r="B434" s="32" t="n">
        <v>1</v>
      </c>
      <c r="C434" s="32" t="n">
        <f aca="false">COUNTIFS('All Worker Fields'!E:E,A434,'All Worker Fields'!D:D,"Single instance")</f>
        <v>0</v>
      </c>
      <c r="D434" s="32" t="n">
        <f aca="false">COUNTIFS('All Worker Fields'!E:E,A434,'All Worker Fields'!D:D,"Multi-instance")</f>
        <v>0</v>
      </c>
      <c r="E434" s="34" t="s">
        <v>1518</v>
      </c>
    </row>
    <row r="435" customFormat="false" ht="15" hidden="false" customHeight="false" outlineLevel="0" collapsed="false">
      <c r="A435" s="33" t="s">
        <v>1519</v>
      </c>
      <c r="B435" s="32" t="n">
        <v>1</v>
      </c>
      <c r="C435" s="32" t="n">
        <f aca="false">COUNTIFS('All Worker Fields'!E:E,A435,'All Worker Fields'!D:D,"Single instance")</f>
        <v>0</v>
      </c>
      <c r="D435" s="32" t="n">
        <f aca="false">COUNTIFS('All Worker Fields'!E:E,A435,'All Worker Fields'!D:D,"Multi-instance")</f>
        <v>1</v>
      </c>
      <c r="E435" s="34" t="s">
        <v>1520</v>
      </c>
    </row>
    <row r="436" customFormat="false" ht="15" hidden="false" customHeight="false" outlineLevel="0" collapsed="false">
      <c r="A436" s="33" t="s">
        <v>1521</v>
      </c>
      <c r="B436" s="32" t="n">
        <v>1</v>
      </c>
      <c r="C436" s="32" t="n">
        <f aca="false">COUNTIFS('All Worker Fields'!E:E,A436,'All Worker Fields'!D:D,"Single instance")</f>
        <v>0</v>
      </c>
      <c r="D436" s="32" t="n">
        <f aca="false">COUNTIFS('All Worker Fields'!E:E,A436,'All Worker Fields'!D:D,"Multi-instance")</f>
        <v>0</v>
      </c>
      <c r="E436" s="34" t="s">
        <v>1522</v>
      </c>
    </row>
    <row r="437" customFormat="false" ht="15" hidden="false" customHeight="false" outlineLevel="0" collapsed="false">
      <c r="A437" s="33" t="s">
        <v>1523</v>
      </c>
      <c r="B437" s="32" t="n">
        <v>1</v>
      </c>
      <c r="C437" s="32" t="n">
        <f aca="false">COUNTIFS('All Worker Fields'!E:E,A437,'All Worker Fields'!D:D,"Single instance")</f>
        <v>0</v>
      </c>
      <c r="D437" s="32" t="n">
        <f aca="false">COUNTIFS('All Worker Fields'!E:E,A437,'All Worker Fields'!D:D,"Multi-instance")</f>
        <v>0</v>
      </c>
      <c r="E437" s="34" t="s">
        <v>1524</v>
      </c>
    </row>
    <row r="438" customFormat="false" ht="15" hidden="false" customHeight="false" outlineLevel="0" collapsed="false">
      <c r="A438" s="33" t="s">
        <v>1525</v>
      </c>
      <c r="B438" s="32" t="n">
        <v>1</v>
      </c>
      <c r="C438" s="32" t="n">
        <f aca="false">COUNTIFS('All Worker Fields'!E:E,A438,'All Worker Fields'!D:D,"Single instance")</f>
        <v>0</v>
      </c>
      <c r="D438" s="32" t="n">
        <f aca="false">COUNTIFS('All Worker Fields'!E:E,A438,'All Worker Fields'!D:D,"Multi-instance")</f>
        <v>0</v>
      </c>
      <c r="E438" s="34"/>
    </row>
    <row r="439" customFormat="false" ht="15" hidden="false" customHeight="false" outlineLevel="0" collapsed="false">
      <c r="A439" s="33" t="s">
        <v>1526</v>
      </c>
      <c r="B439" s="32" t="n">
        <v>1</v>
      </c>
      <c r="C439" s="32" t="n">
        <f aca="false">COUNTIFS('All Worker Fields'!E:E,A439,'All Worker Fields'!D:D,"Single instance")</f>
        <v>0</v>
      </c>
      <c r="D439" s="32" t="n">
        <f aca="false">COUNTIFS('All Worker Fields'!E:E,A439,'All Worker Fields'!D:D,"Multi-instance")</f>
        <v>1</v>
      </c>
      <c r="E439" s="34" t="s">
        <v>1527</v>
      </c>
    </row>
    <row r="440" customFormat="false" ht="15" hidden="false" customHeight="false" outlineLevel="0" collapsed="false">
      <c r="A440" s="33" t="s">
        <v>1528</v>
      </c>
      <c r="B440" s="32" t="n">
        <v>1</v>
      </c>
      <c r="C440" s="32" t="n">
        <f aca="false">COUNTIFS('All Worker Fields'!E:E,A440,'All Worker Fields'!D:D,"Single instance")</f>
        <v>0</v>
      </c>
      <c r="D440" s="32" t="n">
        <f aca="false">COUNTIFS('All Worker Fields'!E:E,A440,'All Worker Fields'!D:D,"Multi-instance")</f>
        <v>0</v>
      </c>
      <c r="E440" s="34" t="s">
        <v>1529</v>
      </c>
    </row>
    <row r="441" customFormat="false" ht="15" hidden="false" customHeight="false" outlineLevel="0" collapsed="false">
      <c r="A441" s="33" t="s">
        <v>1530</v>
      </c>
      <c r="B441" s="32" t="n">
        <v>1</v>
      </c>
      <c r="C441" s="32" t="n">
        <f aca="false">COUNTIFS('All Worker Fields'!E:E,A441,'All Worker Fields'!D:D,"Single instance")</f>
        <v>0</v>
      </c>
      <c r="D441" s="32" t="n">
        <f aca="false">COUNTIFS('All Worker Fields'!E:E,A441,'All Worker Fields'!D:D,"Multi-instance")</f>
        <v>0</v>
      </c>
      <c r="E441" s="34" t="s">
        <v>1531</v>
      </c>
    </row>
    <row r="442" customFormat="false" ht="15" hidden="false" customHeight="false" outlineLevel="0" collapsed="false">
      <c r="A442" s="33" t="s">
        <v>1532</v>
      </c>
      <c r="B442" s="32" t="n">
        <v>1</v>
      </c>
      <c r="C442" s="32" t="n">
        <f aca="false">COUNTIFS('All Worker Fields'!E:E,A442,'All Worker Fields'!D:D,"Single instance")</f>
        <v>0</v>
      </c>
      <c r="D442" s="32" t="n">
        <f aca="false">COUNTIFS('All Worker Fields'!E:E,A442,'All Worker Fields'!D:D,"Multi-instance")</f>
        <v>1</v>
      </c>
      <c r="E442" s="34" t="s">
        <v>1533</v>
      </c>
    </row>
    <row r="443" customFormat="false" ht="15" hidden="false" customHeight="false" outlineLevel="0" collapsed="false">
      <c r="A443" s="33" t="s">
        <v>1534</v>
      </c>
      <c r="B443" s="32" t="n">
        <v>1</v>
      </c>
      <c r="C443" s="32" t="n">
        <f aca="false">COUNTIFS('All Worker Fields'!E:E,A443,'All Worker Fields'!D:D,"Single instance")</f>
        <v>0</v>
      </c>
      <c r="D443" s="32" t="n">
        <f aca="false">COUNTIFS('All Worker Fields'!E:E,A443,'All Worker Fields'!D:D,"Multi-instance")</f>
        <v>1</v>
      </c>
      <c r="E443" s="34" t="s">
        <v>1535</v>
      </c>
    </row>
    <row r="444" customFormat="false" ht="15" hidden="false" customHeight="false" outlineLevel="0" collapsed="false">
      <c r="A444" s="33" t="s">
        <v>1536</v>
      </c>
      <c r="B444" s="32" t="n">
        <v>1</v>
      </c>
      <c r="C444" s="32" t="n">
        <f aca="false">COUNTIFS('All Worker Fields'!E:E,A444,'All Worker Fields'!D:D,"Single instance")</f>
        <v>0</v>
      </c>
      <c r="D444" s="32" t="n">
        <f aca="false">COUNTIFS('All Worker Fields'!E:E,A444,'All Worker Fields'!D:D,"Multi-instance")</f>
        <v>1</v>
      </c>
      <c r="E444" s="34" t="s">
        <v>1537</v>
      </c>
    </row>
    <row r="445" customFormat="false" ht="15" hidden="false" customHeight="false" outlineLevel="0" collapsed="false">
      <c r="A445" s="33" t="s">
        <v>1538</v>
      </c>
      <c r="B445" s="32" t="n">
        <v>1</v>
      </c>
      <c r="C445" s="32" t="n">
        <f aca="false">COUNTIFS('All Worker Fields'!E:E,A445,'All Worker Fields'!D:D,"Single instance")</f>
        <v>0</v>
      </c>
      <c r="D445" s="32" t="n">
        <f aca="false">COUNTIFS('All Worker Fields'!E:E,A445,'All Worker Fields'!D:D,"Multi-instance")</f>
        <v>1</v>
      </c>
      <c r="E445" s="34" t="s">
        <v>1539</v>
      </c>
    </row>
    <row r="446" customFormat="false" ht="15" hidden="false" customHeight="false" outlineLevel="0" collapsed="false">
      <c r="A446" s="33" t="s">
        <v>1540</v>
      </c>
      <c r="B446" s="32" t="n">
        <v>1</v>
      </c>
      <c r="C446" s="32" t="n">
        <f aca="false">COUNTIFS('All Worker Fields'!E:E,A446,'All Worker Fields'!D:D,"Single instance")</f>
        <v>1</v>
      </c>
      <c r="D446" s="32" t="n">
        <f aca="false">COUNTIFS('All Worker Fields'!E:E,A446,'All Worker Fields'!D:D,"Multi-instance")</f>
        <v>0</v>
      </c>
      <c r="E446" s="34" t="s">
        <v>1541</v>
      </c>
    </row>
    <row r="447" customFormat="false" ht="15" hidden="false" customHeight="false" outlineLevel="0" collapsed="false">
      <c r="A447" s="33" t="s">
        <v>1542</v>
      </c>
      <c r="B447" s="32" t="n">
        <v>1</v>
      </c>
      <c r="C447" s="32" t="n">
        <f aca="false">COUNTIFS('All Worker Fields'!E:E,A447,'All Worker Fields'!D:D,"Single instance")</f>
        <v>0</v>
      </c>
      <c r="D447" s="32" t="n">
        <f aca="false">COUNTIFS('All Worker Fields'!E:E,A447,'All Worker Fields'!D:D,"Multi-instance")</f>
        <v>1</v>
      </c>
      <c r="E447" s="34" t="s">
        <v>1543</v>
      </c>
    </row>
    <row r="448" customFormat="false" ht="15" hidden="false" customHeight="false" outlineLevel="0" collapsed="false">
      <c r="A448" s="33" t="s">
        <v>1544</v>
      </c>
      <c r="B448" s="32" t="n">
        <v>1</v>
      </c>
      <c r="C448" s="32" t="n">
        <f aca="false">COUNTIFS('All Worker Fields'!E:E,A448,'All Worker Fields'!D:D,"Single instance")</f>
        <v>1</v>
      </c>
      <c r="D448" s="32" t="n">
        <f aca="false">COUNTIFS('All Worker Fields'!E:E,A448,'All Worker Fields'!D:D,"Multi-instance")</f>
        <v>0</v>
      </c>
      <c r="E448" s="34" t="s">
        <v>1545</v>
      </c>
    </row>
    <row r="449" customFormat="false" ht="15" hidden="false" customHeight="false" outlineLevel="0" collapsed="false">
      <c r="A449" s="33" t="s">
        <v>1546</v>
      </c>
      <c r="B449" s="32" t="n">
        <v>1</v>
      </c>
      <c r="C449" s="32" t="n">
        <f aca="false">COUNTIFS('All Worker Fields'!E:E,A449,'All Worker Fields'!D:D,"Single instance")</f>
        <v>0</v>
      </c>
      <c r="D449" s="32" t="n">
        <f aca="false">COUNTIFS('All Worker Fields'!E:E,A449,'All Worker Fields'!D:D,"Multi-instance")</f>
        <v>0</v>
      </c>
      <c r="E449" s="34" t="s">
        <v>1547</v>
      </c>
    </row>
    <row r="450" customFormat="false" ht="15" hidden="false" customHeight="false" outlineLevel="0" collapsed="false">
      <c r="A450" s="33" t="s">
        <v>1548</v>
      </c>
      <c r="B450" s="32" t="n">
        <v>1</v>
      </c>
      <c r="C450" s="32" t="n">
        <f aca="false">COUNTIFS('All Worker Fields'!E:E,A450,'All Worker Fields'!D:D,"Single instance")</f>
        <v>0</v>
      </c>
      <c r="D450" s="32" t="n">
        <f aca="false">COUNTIFS('All Worker Fields'!E:E,A450,'All Worker Fields'!D:D,"Multi-instance")</f>
        <v>1</v>
      </c>
      <c r="E450" s="34" t="s">
        <v>1549</v>
      </c>
    </row>
    <row r="451" customFormat="false" ht="15" hidden="false" customHeight="false" outlineLevel="0" collapsed="false">
      <c r="A451" s="33" t="s">
        <v>1550</v>
      </c>
      <c r="B451" s="32" t="n">
        <v>1</v>
      </c>
      <c r="C451" s="32" t="n">
        <f aca="false">COUNTIFS('All Worker Fields'!E:E,A451,'All Worker Fields'!D:D,"Single instance")</f>
        <v>0</v>
      </c>
      <c r="D451" s="32" t="n">
        <f aca="false">COUNTIFS('All Worker Fields'!E:E,A451,'All Worker Fields'!D:D,"Multi-instance")</f>
        <v>0</v>
      </c>
      <c r="E451" s="34" t="s">
        <v>1551</v>
      </c>
    </row>
    <row r="452" customFormat="false" ht="15" hidden="false" customHeight="false" outlineLevel="0" collapsed="false">
      <c r="A452" s="33" t="s">
        <v>1552</v>
      </c>
      <c r="B452" s="32" t="n">
        <v>1</v>
      </c>
      <c r="C452" s="32" t="n">
        <f aca="false">COUNTIFS('All Worker Fields'!E:E,A452,'All Worker Fields'!D:D,"Single instance")</f>
        <v>0</v>
      </c>
      <c r="D452" s="32" t="n">
        <f aca="false">COUNTIFS('All Worker Fields'!E:E,A452,'All Worker Fields'!D:D,"Multi-instance")</f>
        <v>1</v>
      </c>
      <c r="E452" s="34" t="s">
        <v>1553</v>
      </c>
    </row>
    <row r="453" customFormat="false" ht="15" hidden="false" customHeight="false" outlineLevel="0" collapsed="false">
      <c r="A453" s="33" t="s">
        <v>1554</v>
      </c>
      <c r="B453" s="32" t="n">
        <v>1</v>
      </c>
      <c r="C453" s="32" t="n">
        <f aca="false">COUNTIFS('All Worker Fields'!E:E,A453,'All Worker Fields'!D:D,"Single instance")</f>
        <v>0</v>
      </c>
      <c r="D453" s="32" t="n">
        <f aca="false">COUNTIFS('All Worker Fields'!E:E,A453,'All Worker Fields'!D:D,"Multi-instance")</f>
        <v>1</v>
      </c>
      <c r="E453" s="34" t="s">
        <v>1555</v>
      </c>
    </row>
    <row r="454" customFormat="false" ht="15" hidden="false" customHeight="false" outlineLevel="0" collapsed="false">
      <c r="A454" s="33" t="s">
        <v>611</v>
      </c>
      <c r="B454" s="32" t="n">
        <v>1</v>
      </c>
      <c r="C454" s="32" t="n">
        <f aca="false">COUNTIFS('All Worker Fields'!E:E,A454,'All Worker Fields'!D:D,"Single instance")</f>
        <v>0</v>
      </c>
      <c r="D454" s="32" t="n">
        <f aca="false">COUNTIFS('All Worker Fields'!E:E,A454,'All Worker Fields'!D:D,"Multi-instance")</f>
        <v>2</v>
      </c>
      <c r="E454" s="34" t="s">
        <v>1156</v>
      </c>
    </row>
    <row r="455" customFormat="false" ht="15" hidden="false" customHeight="false" outlineLevel="0" collapsed="false">
      <c r="A455" s="33" t="s">
        <v>1556</v>
      </c>
      <c r="B455" s="32" t="n">
        <v>1</v>
      </c>
      <c r="C455" s="32" t="n">
        <f aca="false">COUNTIFS('All Worker Fields'!E:E,A455,'All Worker Fields'!D:D,"Single instance")</f>
        <v>0</v>
      </c>
      <c r="D455" s="32" t="n">
        <f aca="false">COUNTIFS('All Worker Fields'!E:E,A455,'All Worker Fields'!D:D,"Multi-instance")</f>
        <v>1</v>
      </c>
      <c r="E455" s="34" t="s">
        <v>1557</v>
      </c>
    </row>
    <row r="456" customFormat="false" ht="15" hidden="false" customHeight="false" outlineLevel="0" collapsed="false">
      <c r="A456" s="33" t="s">
        <v>1558</v>
      </c>
      <c r="B456" s="32" t="n">
        <v>1</v>
      </c>
      <c r="C456" s="32" t="n">
        <f aca="false">COUNTIFS('All Worker Fields'!E:E,A456,'All Worker Fields'!D:D,"Single instance")</f>
        <v>0</v>
      </c>
      <c r="D456" s="32" t="n">
        <f aca="false">COUNTIFS('All Worker Fields'!E:E,A456,'All Worker Fields'!D:D,"Multi-instance")</f>
        <v>1</v>
      </c>
      <c r="E456" s="34" t="s">
        <v>1559</v>
      </c>
    </row>
    <row r="457" customFormat="false" ht="15" hidden="false" customHeight="false" outlineLevel="0" collapsed="false">
      <c r="A457" s="33" t="s">
        <v>1560</v>
      </c>
      <c r="B457" s="32" t="n">
        <v>1</v>
      </c>
      <c r="C457" s="32" t="n">
        <f aca="false">COUNTIFS('All Worker Fields'!E:E,A457,'All Worker Fields'!D:D,"Single instance")</f>
        <v>0</v>
      </c>
      <c r="D457" s="32" t="n">
        <f aca="false">COUNTIFS('All Worker Fields'!E:E,A457,'All Worker Fields'!D:D,"Multi-instance")</f>
        <v>1</v>
      </c>
      <c r="E457" s="34" t="s">
        <v>1561</v>
      </c>
    </row>
    <row r="458" customFormat="false" ht="15" hidden="false" customHeight="false" outlineLevel="0" collapsed="false">
      <c r="A458" s="33" t="s">
        <v>759</v>
      </c>
      <c r="B458" s="32" t="n">
        <v>1</v>
      </c>
      <c r="C458" s="32" t="n">
        <f aca="false">COUNTIFS('All Worker Fields'!E:E,A458,'All Worker Fields'!D:D,"Single instance")</f>
        <v>0</v>
      </c>
      <c r="D458" s="32" t="n">
        <f aca="false">COUNTIFS('All Worker Fields'!E:E,A458,'All Worker Fields'!D:D,"Multi-instance")</f>
        <v>1</v>
      </c>
      <c r="E458" s="34" t="s">
        <v>1562</v>
      </c>
    </row>
    <row r="459" customFormat="false" ht="15" hidden="false" customHeight="false" outlineLevel="0" collapsed="false">
      <c r="A459" s="33" t="s">
        <v>1563</v>
      </c>
      <c r="B459" s="32" t="n">
        <v>1</v>
      </c>
      <c r="C459" s="32" t="n">
        <f aca="false">COUNTIFS('All Worker Fields'!E:E,A459,'All Worker Fields'!D:D,"Single instance")</f>
        <v>0</v>
      </c>
      <c r="D459" s="32" t="n">
        <f aca="false">COUNTIFS('All Worker Fields'!E:E,A459,'All Worker Fields'!D:D,"Multi-instance")</f>
        <v>1</v>
      </c>
      <c r="E459" s="34" t="s">
        <v>1564</v>
      </c>
    </row>
    <row r="460" customFormat="false" ht="15" hidden="false" customHeight="false" outlineLevel="0" collapsed="false">
      <c r="A460" s="33" t="s">
        <v>1565</v>
      </c>
      <c r="B460" s="32" t="n">
        <v>1</v>
      </c>
      <c r="C460" s="32" t="n">
        <f aca="false">COUNTIFS('All Worker Fields'!E:E,A460,'All Worker Fields'!D:D,"Single instance")</f>
        <v>0</v>
      </c>
      <c r="D460" s="32" t="n">
        <f aca="false">COUNTIFS('All Worker Fields'!E:E,A460,'All Worker Fields'!D:D,"Multi-instance")</f>
        <v>1</v>
      </c>
      <c r="E460" s="34" t="s">
        <v>1566</v>
      </c>
    </row>
    <row r="461" customFormat="false" ht="15" hidden="false" customHeight="false" outlineLevel="0" collapsed="false">
      <c r="A461" s="33" t="s">
        <v>1567</v>
      </c>
      <c r="B461" s="32" t="n">
        <v>1</v>
      </c>
      <c r="C461" s="32" t="n">
        <f aca="false">COUNTIFS('All Worker Fields'!E:E,A461,'All Worker Fields'!D:D,"Single instance")</f>
        <v>0</v>
      </c>
      <c r="D461" s="32" t="n">
        <f aca="false">COUNTIFS('All Worker Fields'!E:E,A461,'All Worker Fields'!D:D,"Multi-instance")</f>
        <v>0</v>
      </c>
      <c r="E461" s="34"/>
    </row>
    <row r="462" customFormat="false" ht="15" hidden="false" customHeight="false" outlineLevel="0" collapsed="false">
      <c r="A462" s="33" t="s">
        <v>1568</v>
      </c>
      <c r="B462" s="32" t="n">
        <v>1</v>
      </c>
      <c r="C462" s="32" t="n">
        <f aca="false">COUNTIFS('All Worker Fields'!E:E,A462,'All Worker Fields'!D:D,"Single instance")</f>
        <v>0</v>
      </c>
      <c r="D462" s="32" t="n">
        <f aca="false">COUNTIFS('All Worker Fields'!E:E,A462,'All Worker Fields'!D:D,"Multi-instance")</f>
        <v>1</v>
      </c>
      <c r="E462" s="34" t="s">
        <v>1569</v>
      </c>
    </row>
    <row r="463" customFormat="false" ht="15" hidden="false" customHeight="false" outlineLevel="0" collapsed="false">
      <c r="A463" s="33" t="s">
        <v>1570</v>
      </c>
      <c r="B463" s="32" t="n">
        <v>1</v>
      </c>
      <c r="C463" s="32" t="n">
        <f aca="false">COUNTIFS('All Worker Fields'!E:E,A463,'All Worker Fields'!D:D,"Single instance")</f>
        <v>0</v>
      </c>
      <c r="D463" s="32" t="n">
        <f aca="false">COUNTIFS('All Worker Fields'!E:E,A463,'All Worker Fields'!D:D,"Multi-instance")</f>
        <v>0</v>
      </c>
      <c r="E463" s="34" t="s">
        <v>1571</v>
      </c>
    </row>
    <row r="464" customFormat="false" ht="15" hidden="false" customHeight="false" outlineLevel="0" collapsed="false">
      <c r="A464" s="33" t="s">
        <v>1572</v>
      </c>
      <c r="B464" s="32" t="n">
        <v>1</v>
      </c>
      <c r="C464" s="32" t="n">
        <f aca="false">COUNTIFS('All Worker Fields'!E:E,A464,'All Worker Fields'!D:D,"Single instance")</f>
        <v>0</v>
      </c>
      <c r="D464" s="32" t="n">
        <f aca="false">COUNTIFS('All Worker Fields'!E:E,A464,'All Worker Fields'!D:D,"Multi-instance")</f>
        <v>1</v>
      </c>
      <c r="E464" s="34" t="s">
        <v>1573</v>
      </c>
    </row>
    <row r="465" customFormat="false" ht="15" hidden="false" customHeight="false" outlineLevel="0" collapsed="false">
      <c r="A465" s="33" t="s">
        <v>1574</v>
      </c>
      <c r="B465" s="32" t="n">
        <v>1</v>
      </c>
      <c r="C465" s="32" t="n">
        <f aca="false">COUNTIFS('All Worker Fields'!E:E,A465,'All Worker Fields'!D:D,"Single instance")</f>
        <v>0</v>
      </c>
      <c r="D465" s="32" t="n">
        <f aca="false">COUNTIFS('All Worker Fields'!E:E,A465,'All Worker Fields'!D:D,"Multi-instance")</f>
        <v>0</v>
      </c>
      <c r="E465" s="34" t="s">
        <v>1575</v>
      </c>
    </row>
    <row r="466" customFormat="false" ht="15" hidden="false" customHeight="false" outlineLevel="0" collapsed="false">
      <c r="A466" s="33" t="s">
        <v>1576</v>
      </c>
      <c r="B466" s="32" t="n">
        <v>1</v>
      </c>
      <c r="C466" s="32" t="n">
        <f aca="false">COUNTIFS('All Worker Fields'!E:E,A466,'All Worker Fields'!D:D,"Single instance")</f>
        <v>0</v>
      </c>
      <c r="D466" s="32" t="n">
        <f aca="false">COUNTIFS('All Worker Fields'!E:E,A466,'All Worker Fields'!D:D,"Multi-instance")</f>
        <v>1</v>
      </c>
      <c r="E466" s="34" t="s">
        <v>1577</v>
      </c>
    </row>
    <row r="467" customFormat="false" ht="15" hidden="false" customHeight="false" outlineLevel="0" collapsed="false">
      <c r="A467" s="33" t="s">
        <v>1578</v>
      </c>
      <c r="B467" s="32" t="n">
        <v>1</v>
      </c>
      <c r="C467" s="32" t="n">
        <f aca="false">COUNTIFS('All Worker Fields'!E:E,A467,'All Worker Fields'!D:D,"Single instance")</f>
        <v>1</v>
      </c>
      <c r="D467" s="32" t="n">
        <f aca="false">COUNTIFS('All Worker Fields'!E:E,A467,'All Worker Fields'!D:D,"Multi-instance")</f>
        <v>0</v>
      </c>
      <c r="E467" s="34" t="s">
        <v>1579</v>
      </c>
    </row>
    <row r="468" customFormat="false" ht="15" hidden="false" customHeight="false" outlineLevel="0" collapsed="false">
      <c r="A468" s="33" t="s">
        <v>1580</v>
      </c>
      <c r="B468" s="32" t="n">
        <v>1</v>
      </c>
      <c r="C468" s="32" t="n">
        <f aca="false">COUNTIFS('All Worker Fields'!E:E,A468,'All Worker Fields'!D:D,"Single instance")</f>
        <v>0</v>
      </c>
      <c r="D468" s="32" t="n">
        <f aca="false">COUNTIFS('All Worker Fields'!E:E,A468,'All Worker Fields'!D:D,"Multi-instance")</f>
        <v>1</v>
      </c>
      <c r="E468" s="34" t="s">
        <v>1581</v>
      </c>
    </row>
    <row r="469" customFormat="false" ht="15" hidden="false" customHeight="false" outlineLevel="0" collapsed="false">
      <c r="A469" s="33" t="s">
        <v>1582</v>
      </c>
      <c r="B469" s="32" t="n">
        <v>1</v>
      </c>
      <c r="C469" s="32" t="n">
        <f aca="false">COUNTIFS('All Worker Fields'!E:E,A469,'All Worker Fields'!D:D,"Single instance")</f>
        <v>1</v>
      </c>
      <c r="D469" s="32" t="n">
        <f aca="false">COUNTIFS('All Worker Fields'!E:E,A469,'All Worker Fields'!D:D,"Multi-instance")</f>
        <v>0</v>
      </c>
      <c r="E469" s="34" t="s">
        <v>1583</v>
      </c>
    </row>
    <row r="470" customFormat="false" ht="15" hidden="false" customHeight="false" outlineLevel="0" collapsed="false">
      <c r="A470" s="33" t="s">
        <v>1584</v>
      </c>
      <c r="B470" s="32" t="n">
        <v>1</v>
      </c>
      <c r="C470" s="32" t="n">
        <f aca="false">COUNTIFS('All Worker Fields'!E:E,A470,'All Worker Fields'!D:D,"Single instance")</f>
        <v>0</v>
      </c>
      <c r="D470" s="32" t="n">
        <f aca="false">COUNTIFS('All Worker Fields'!E:E,A470,'All Worker Fields'!D:D,"Multi-instance")</f>
        <v>0</v>
      </c>
      <c r="E470" s="34" t="s">
        <v>1585</v>
      </c>
    </row>
    <row r="471" customFormat="false" ht="15" hidden="false" customHeight="false" outlineLevel="0" collapsed="false">
      <c r="A471" s="33" t="s">
        <v>1586</v>
      </c>
      <c r="B471" s="32" t="n">
        <v>1</v>
      </c>
      <c r="C471" s="32" t="n">
        <f aca="false">COUNTIFS('All Worker Fields'!E:E,A471,'All Worker Fields'!D:D,"Single instance")</f>
        <v>1</v>
      </c>
      <c r="D471" s="32" t="n">
        <f aca="false">COUNTIFS('All Worker Fields'!E:E,A471,'All Worker Fields'!D:D,"Multi-instance")</f>
        <v>0</v>
      </c>
      <c r="E471" s="34" t="s">
        <v>1587</v>
      </c>
    </row>
    <row r="472" customFormat="false" ht="15" hidden="false" customHeight="false" outlineLevel="0" collapsed="false">
      <c r="A472" s="33" t="s">
        <v>1588</v>
      </c>
      <c r="B472" s="32" t="n">
        <v>1</v>
      </c>
      <c r="C472" s="32" t="n">
        <f aca="false">COUNTIFS('All Worker Fields'!E:E,A472,'All Worker Fields'!D:D,"Single instance")</f>
        <v>0</v>
      </c>
      <c r="D472" s="32" t="n">
        <f aca="false">COUNTIFS('All Worker Fields'!E:E,A472,'All Worker Fields'!D:D,"Multi-instance")</f>
        <v>1</v>
      </c>
      <c r="E472" s="34" t="s">
        <v>1589</v>
      </c>
    </row>
    <row r="473" customFormat="false" ht="15" hidden="false" customHeight="false" outlineLevel="0" collapsed="false">
      <c r="A473" s="33" t="s">
        <v>1590</v>
      </c>
      <c r="B473" s="32" t="n">
        <v>1</v>
      </c>
      <c r="C473" s="32" t="n">
        <f aca="false">COUNTIFS('All Worker Fields'!E:E,A473,'All Worker Fields'!D:D,"Single instance")</f>
        <v>0</v>
      </c>
      <c r="D473" s="32" t="n">
        <f aca="false">COUNTIFS('All Worker Fields'!E:E,A473,'All Worker Fields'!D:D,"Multi-instance")</f>
        <v>1</v>
      </c>
      <c r="E473" s="34" t="s">
        <v>1591</v>
      </c>
    </row>
    <row r="474" customFormat="false" ht="15" hidden="false" customHeight="false" outlineLevel="0" collapsed="false">
      <c r="A474" s="33" t="s">
        <v>1592</v>
      </c>
      <c r="B474" s="32" t="n">
        <v>1</v>
      </c>
      <c r="C474" s="32" t="n">
        <f aca="false">COUNTIFS('All Worker Fields'!E:E,A474,'All Worker Fields'!D:D,"Single instance")</f>
        <v>1</v>
      </c>
      <c r="D474" s="32" t="n">
        <f aca="false">COUNTIFS('All Worker Fields'!E:E,A474,'All Worker Fields'!D:D,"Multi-instance")</f>
        <v>0</v>
      </c>
      <c r="E474" s="34" t="s">
        <v>1592</v>
      </c>
    </row>
    <row r="475" customFormat="false" ht="15" hidden="false" customHeight="false" outlineLevel="0" collapsed="false">
      <c r="A475" s="33" t="s">
        <v>1593</v>
      </c>
      <c r="B475" s="32" t="n">
        <v>1</v>
      </c>
      <c r="C475" s="32" t="n">
        <f aca="false">COUNTIFS('All Worker Fields'!E:E,A475,'All Worker Fields'!D:D,"Single instance")</f>
        <v>0</v>
      </c>
      <c r="D475" s="32" t="n">
        <f aca="false">COUNTIFS('All Worker Fields'!E:E,A475,'All Worker Fields'!D:D,"Multi-instance")</f>
        <v>1</v>
      </c>
      <c r="E475" s="34" t="s">
        <v>1594</v>
      </c>
    </row>
    <row r="476" customFormat="false" ht="15" hidden="false" customHeight="false" outlineLevel="0" collapsed="false">
      <c r="A476" s="33" t="s">
        <v>1595</v>
      </c>
      <c r="B476" s="32" t="n">
        <v>1</v>
      </c>
      <c r="C476" s="32" t="n">
        <f aca="false">COUNTIFS('All Worker Fields'!E:E,A476,'All Worker Fields'!D:D,"Single instance")</f>
        <v>0</v>
      </c>
      <c r="D476" s="32" t="n">
        <f aca="false">COUNTIFS('All Worker Fields'!E:E,A476,'All Worker Fields'!D:D,"Multi-instance")</f>
        <v>1</v>
      </c>
      <c r="E476" s="34" t="s">
        <v>1596</v>
      </c>
    </row>
    <row r="477" customFormat="false" ht="15" hidden="false" customHeight="false" outlineLevel="0" collapsed="false">
      <c r="A477" s="33" t="s">
        <v>1597</v>
      </c>
      <c r="B477" s="32" t="n">
        <v>1</v>
      </c>
      <c r="C477" s="32" t="n">
        <f aca="false">COUNTIFS('All Worker Fields'!E:E,A477,'All Worker Fields'!D:D,"Single instance")</f>
        <v>0</v>
      </c>
      <c r="D477" s="32" t="n">
        <f aca="false">COUNTIFS('All Worker Fields'!E:E,A477,'All Worker Fields'!D:D,"Multi-instance")</f>
        <v>1</v>
      </c>
      <c r="E477" s="34" t="s">
        <v>1598</v>
      </c>
    </row>
    <row r="478" customFormat="false" ht="15" hidden="false" customHeight="false" outlineLevel="0" collapsed="false">
      <c r="A478" s="33" t="s">
        <v>1599</v>
      </c>
      <c r="B478" s="32" t="n">
        <v>1</v>
      </c>
      <c r="C478" s="32" t="n">
        <f aca="false">COUNTIFS('All Worker Fields'!E:E,A478,'All Worker Fields'!D:D,"Single instance")</f>
        <v>0</v>
      </c>
      <c r="D478" s="32" t="n">
        <f aca="false">COUNTIFS('All Worker Fields'!E:E,A478,'All Worker Fields'!D:D,"Multi-instance")</f>
        <v>1</v>
      </c>
      <c r="E478" s="34" t="s">
        <v>1600</v>
      </c>
    </row>
    <row r="479" customFormat="false" ht="15" hidden="false" customHeight="false" outlineLevel="0" collapsed="false">
      <c r="A479" s="33" t="s">
        <v>415</v>
      </c>
      <c r="B479" s="32" t="n">
        <v>1</v>
      </c>
      <c r="C479" s="32" t="n">
        <f aca="false">COUNTIFS('All Worker Fields'!E:E,A479,'All Worker Fields'!D:D,"Single instance")</f>
        <v>0</v>
      </c>
      <c r="D479" s="32" t="n">
        <f aca="false">COUNTIFS('All Worker Fields'!E:E,A479,'All Worker Fields'!D:D,"Multi-instance")</f>
        <v>1</v>
      </c>
      <c r="E479" s="34" t="s">
        <v>415</v>
      </c>
    </row>
    <row r="480" customFormat="false" ht="15" hidden="false" customHeight="false" outlineLevel="0" collapsed="false">
      <c r="A480" s="33" t="s">
        <v>1601</v>
      </c>
      <c r="B480" s="32" t="n">
        <v>1</v>
      </c>
      <c r="C480" s="32" t="n">
        <f aca="false">COUNTIFS('All Worker Fields'!E:E,A480,'All Worker Fields'!D:D,"Single instance")</f>
        <v>0</v>
      </c>
      <c r="D480" s="32" t="n">
        <f aca="false">COUNTIFS('All Worker Fields'!E:E,A480,'All Worker Fields'!D:D,"Multi-instance")</f>
        <v>1</v>
      </c>
      <c r="E480" s="34" t="s">
        <v>1602</v>
      </c>
    </row>
    <row r="481" customFormat="false" ht="15" hidden="false" customHeight="false" outlineLevel="0" collapsed="false">
      <c r="A481" s="33" t="s">
        <v>1603</v>
      </c>
      <c r="B481" s="32" t="n">
        <v>1</v>
      </c>
      <c r="C481" s="32" t="n">
        <f aca="false">COUNTIFS('All Worker Fields'!E:E,A481,'All Worker Fields'!D:D,"Single instance")</f>
        <v>1</v>
      </c>
      <c r="D481" s="32" t="n">
        <f aca="false">COUNTIFS('All Worker Fields'!E:E,A481,'All Worker Fields'!D:D,"Multi-instance")</f>
        <v>0</v>
      </c>
      <c r="E481" s="34" t="s">
        <v>1604</v>
      </c>
    </row>
    <row r="482" customFormat="false" ht="15" hidden="false" customHeight="false" outlineLevel="0" collapsed="false">
      <c r="A482" s="33" t="s">
        <v>1605</v>
      </c>
      <c r="B482" s="32" t="n">
        <v>1</v>
      </c>
      <c r="C482" s="32" t="n">
        <f aca="false">COUNTIFS('All Worker Fields'!E:E,A482,'All Worker Fields'!D:D,"Single instance")</f>
        <v>1</v>
      </c>
      <c r="D482" s="32" t="n">
        <f aca="false">COUNTIFS('All Worker Fields'!E:E,A482,'All Worker Fields'!D:D,"Multi-instance")</f>
        <v>0</v>
      </c>
      <c r="E482" s="34" t="s">
        <v>1606</v>
      </c>
    </row>
    <row r="483" customFormat="false" ht="15" hidden="false" customHeight="false" outlineLevel="0" collapsed="false">
      <c r="A483" s="33" t="s">
        <v>1607</v>
      </c>
      <c r="B483" s="32" t="n">
        <v>1</v>
      </c>
      <c r="C483" s="32" t="n">
        <f aca="false">COUNTIFS('All Worker Fields'!E:E,A483,'All Worker Fields'!D:D,"Single instance")</f>
        <v>1</v>
      </c>
      <c r="D483" s="32" t="n">
        <f aca="false">COUNTIFS('All Worker Fields'!E:E,A483,'All Worker Fields'!D:D,"Multi-instance")</f>
        <v>0</v>
      </c>
      <c r="E483" s="34" t="s">
        <v>1608</v>
      </c>
    </row>
    <row r="484" customFormat="false" ht="15" hidden="false" customHeight="false" outlineLevel="0" collapsed="false">
      <c r="A484" s="33" t="s">
        <v>1609</v>
      </c>
      <c r="B484" s="32" t="n">
        <v>1</v>
      </c>
      <c r="C484" s="32" t="n">
        <f aca="false">COUNTIFS('All Worker Fields'!E:E,A484,'All Worker Fields'!D:D,"Single instance")</f>
        <v>0</v>
      </c>
      <c r="D484" s="32" t="n">
        <f aca="false">COUNTIFS('All Worker Fields'!E:E,A484,'All Worker Fields'!D:D,"Multi-instance")</f>
        <v>1</v>
      </c>
      <c r="E484" s="34" t="s">
        <v>1609</v>
      </c>
    </row>
    <row r="485" customFormat="false" ht="15" hidden="false" customHeight="false" outlineLevel="0" collapsed="false">
      <c r="A485" s="33" t="s">
        <v>1610</v>
      </c>
      <c r="B485" s="32" t="n">
        <v>1</v>
      </c>
      <c r="C485" s="32" t="n">
        <f aca="false">COUNTIFS('All Worker Fields'!E:E,A485,'All Worker Fields'!D:D,"Single instance")</f>
        <v>0</v>
      </c>
      <c r="D485" s="32" t="n">
        <f aca="false">COUNTIFS('All Worker Fields'!E:E,A485,'All Worker Fields'!D:D,"Multi-instance")</f>
        <v>0</v>
      </c>
      <c r="E485" s="34"/>
    </row>
    <row r="486" customFormat="false" ht="15" hidden="false" customHeight="false" outlineLevel="0" collapsed="false">
      <c r="A486" s="33" t="s">
        <v>1611</v>
      </c>
      <c r="B486" s="32" t="n">
        <v>1</v>
      </c>
      <c r="C486" s="32" t="n">
        <f aca="false">COUNTIFS('All Worker Fields'!E:E,A486,'All Worker Fields'!D:D,"Single instance")</f>
        <v>0</v>
      </c>
      <c r="D486" s="32" t="n">
        <f aca="false">COUNTIFS('All Worker Fields'!E:E,A486,'All Worker Fields'!D:D,"Multi-instance")</f>
        <v>0</v>
      </c>
      <c r="E486" s="34"/>
    </row>
    <row r="487" customFormat="false" ht="15" hidden="false" customHeight="false" outlineLevel="0" collapsed="false">
      <c r="A487" s="33" t="s">
        <v>1612</v>
      </c>
      <c r="B487" s="32" t="n">
        <v>1</v>
      </c>
      <c r="C487" s="32" t="n">
        <f aca="false">COUNTIFS('All Worker Fields'!E:E,A487,'All Worker Fields'!D:D,"Single instance")</f>
        <v>0</v>
      </c>
      <c r="D487" s="32" t="n">
        <f aca="false">COUNTIFS('All Worker Fields'!E:E,A487,'All Worker Fields'!D:D,"Multi-instance")</f>
        <v>1</v>
      </c>
      <c r="E487" s="34" t="s">
        <v>1613</v>
      </c>
    </row>
    <row r="488" customFormat="false" ht="15" hidden="false" customHeight="false" outlineLevel="0" collapsed="false">
      <c r="A488" s="33" t="s">
        <v>1614</v>
      </c>
      <c r="B488" s="32" t="n">
        <v>1</v>
      </c>
      <c r="C488" s="32" t="n">
        <f aca="false">COUNTIFS('All Worker Fields'!E:E,A488,'All Worker Fields'!D:D,"Single instance")</f>
        <v>0</v>
      </c>
      <c r="D488" s="32" t="n">
        <f aca="false">COUNTIFS('All Worker Fields'!E:E,A488,'All Worker Fields'!D:D,"Multi-instance")</f>
        <v>1</v>
      </c>
      <c r="E488" s="34" t="s">
        <v>1615</v>
      </c>
    </row>
    <row r="489" customFormat="false" ht="15" hidden="false" customHeight="false" outlineLevel="0" collapsed="false">
      <c r="A489" s="33" t="s">
        <v>1616</v>
      </c>
      <c r="B489" s="32" t="n">
        <v>1</v>
      </c>
      <c r="C489" s="32" t="n">
        <f aca="false">COUNTIFS('All Worker Fields'!E:E,A489,'All Worker Fields'!D:D,"Single instance")</f>
        <v>0</v>
      </c>
      <c r="D489" s="32" t="n">
        <f aca="false">COUNTIFS('All Worker Fields'!E:E,A489,'All Worker Fields'!D:D,"Multi-instance")</f>
        <v>0</v>
      </c>
      <c r="E489" s="34"/>
    </row>
    <row r="490" customFormat="false" ht="15" hidden="false" customHeight="false" outlineLevel="0" collapsed="false">
      <c r="A490" s="33" t="s">
        <v>1617</v>
      </c>
      <c r="B490" s="32" t="n">
        <v>1</v>
      </c>
      <c r="C490" s="32" t="n">
        <f aca="false">COUNTIFS('All Worker Fields'!E:E,A490,'All Worker Fields'!D:D,"Single instance")</f>
        <v>0</v>
      </c>
      <c r="D490" s="32" t="n">
        <f aca="false">COUNTIFS('All Worker Fields'!E:E,A490,'All Worker Fields'!D:D,"Multi-instance")</f>
        <v>0</v>
      </c>
      <c r="E490" s="34" t="s">
        <v>1618</v>
      </c>
    </row>
    <row r="491" customFormat="false" ht="15" hidden="false" customHeight="false" outlineLevel="0" collapsed="false">
      <c r="A491" s="33" t="s">
        <v>1619</v>
      </c>
      <c r="B491" s="32" t="n">
        <v>1</v>
      </c>
      <c r="C491" s="32" t="n">
        <f aca="false">COUNTIFS('All Worker Fields'!E:E,A491,'All Worker Fields'!D:D,"Single instance")</f>
        <v>1</v>
      </c>
      <c r="D491" s="32" t="n">
        <f aca="false">COUNTIFS('All Worker Fields'!E:E,A491,'All Worker Fields'!D:D,"Multi-instance")</f>
        <v>0</v>
      </c>
      <c r="E491" s="34" t="s">
        <v>1620</v>
      </c>
    </row>
    <row r="492" customFormat="false" ht="15" hidden="false" customHeight="false" outlineLevel="0" collapsed="false">
      <c r="A492" s="33" t="s">
        <v>1621</v>
      </c>
      <c r="B492" s="32" t="n">
        <v>1</v>
      </c>
      <c r="C492" s="32" t="n">
        <f aca="false">COUNTIFS('All Worker Fields'!E:E,A492,'All Worker Fields'!D:D,"Single instance")</f>
        <v>0</v>
      </c>
      <c r="D492" s="32" t="n">
        <f aca="false">COUNTIFS('All Worker Fields'!E:E,A492,'All Worker Fields'!D:D,"Multi-instance")</f>
        <v>0</v>
      </c>
      <c r="E492" s="34" t="s">
        <v>1622</v>
      </c>
    </row>
    <row r="493" customFormat="false" ht="15" hidden="false" customHeight="false" outlineLevel="0" collapsed="false">
      <c r="A493" s="33" t="s">
        <v>1623</v>
      </c>
      <c r="B493" s="32" t="n">
        <v>1</v>
      </c>
      <c r="C493" s="32" t="n">
        <f aca="false">COUNTIFS('All Worker Fields'!E:E,A493,'All Worker Fields'!D:D,"Single instance")</f>
        <v>0</v>
      </c>
      <c r="D493" s="32" t="n">
        <f aca="false">COUNTIFS('All Worker Fields'!E:E,A493,'All Worker Fields'!D:D,"Multi-instance")</f>
        <v>1</v>
      </c>
      <c r="E493" s="34" t="s">
        <v>1624</v>
      </c>
    </row>
    <row r="494" customFormat="false" ht="15" hidden="false" customHeight="false" outlineLevel="0" collapsed="false">
      <c r="A494" s="33" t="s">
        <v>1625</v>
      </c>
      <c r="B494" s="32" t="n">
        <v>1</v>
      </c>
      <c r="C494" s="32" t="n">
        <f aca="false">COUNTIFS('All Worker Fields'!E:E,A494,'All Worker Fields'!D:D,"Single instance")</f>
        <v>0</v>
      </c>
      <c r="D494" s="32" t="n">
        <f aca="false">COUNTIFS('All Worker Fields'!E:E,A494,'All Worker Fields'!D:D,"Multi-instance")</f>
        <v>1</v>
      </c>
      <c r="E494" s="34" t="s">
        <v>1626</v>
      </c>
    </row>
    <row r="495" customFormat="false" ht="15" hidden="false" customHeight="false" outlineLevel="0" collapsed="false">
      <c r="A495" s="33" t="s">
        <v>1627</v>
      </c>
      <c r="B495" s="32" t="n">
        <v>1</v>
      </c>
      <c r="C495" s="32" t="n">
        <f aca="false">COUNTIFS('All Worker Fields'!E:E,A495,'All Worker Fields'!D:D,"Single instance")</f>
        <v>0</v>
      </c>
      <c r="D495" s="32" t="n">
        <f aca="false">COUNTIFS('All Worker Fields'!E:E,A495,'All Worker Fields'!D:D,"Multi-instance")</f>
        <v>0</v>
      </c>
      <c r="E495" s="34"/>
    </row>
    <row r="496" customFormat="false" ht="15" hidden="false" customHeight="false" outlineLevel="0" collapsed="false">
      <c r="A496" s="33" t="s">
        <v>1628</v>
      </c>
      <c r="B496" s="32" t="n">
        <v>1</v>
      </c>
      <c r="C496" s="32" t="n">
        <f aca="false">COUNTIFS('All Worker Fields'!E:E,A496,'All Worker Fields'!D:D,"Single instance")</f>
        <v>0</v>
      </c>
      <c r="D496" s="32" t="n">
        <f aca="false">COUNTIFS('All Worker Fields'!E:E,A496,'All Worker Fields'!D:D,"Multi-instance")</f>
        <v>1</v>
      </c>
      <c r="E496" s="34" t="s">
        <v>1629</v>
      </c>
    </row>
    <row r="497" customFormat="false" ht="15" hidden="false" customHeight="false" outlineLevel="0" collapsed="false">
      <c r="A497" s="33" t="s">
        <v>1630</v>
      </c>
      <c r="B497" s="32" t="n">
        <v>1</v>
      </c>
      <c r="C497" s="32" t="n">
        <f aca="false">COUNTIFS('All Worker Fields'!E:E,A497,'All Worker Fields'!D:D,"Single instance")</f>
        <v>0</v>
      </c>
      <c r="D497" s="32" t="n">
        <f aca="false">COUNTIFS('All Worker Fields'!E:E,A497,'All Worker Fields'!D:D,"Multi-instance")</f>
        <v>0</v>
      </c>
      <c r="E497" s="34" t="s">
        <v>1631</v>
      </c>
    </row>
    <row r="498" customFormat="false" ht="15" hidden="false" customHeight="false" outlineLevel="0" collapsed="false">
      <c r="A498" s="33" t="s">
        <v>1632</v>
      </c>
      <c r="B498" s="32" t="n">
        <v>1</v>
      </c>
      <c r="C498" s="32" t="n">
        <f aca="false">COUNTIFS('All Worker Fields'!E:E,A498,'All Worker Fields'!D:D,"Single instance")</f>
        <v>1</v>
      </c>
      <c r="D498" s="32" t="n">
        <f aca="false">COUNTIFS('All Worker Fields'!E:E,A498,'All Worker Fields'!D:D,"Multi-instance")</f>
        <v>0</v>
      </c>
      <c r="E498" s="34" t="s">
        <v>1632</v>
      </c>
    </row>
    <row r="499" customFormat="false" ht="15" hidden="false" customHeight="false" outlineLevel="0" collapsed="false">
      <c r="A499" s="33" t="s">
        <v>1633</v>
      </c>
      <c r="B499" s="32" t="n">
        <v>1</v>
      </c>
      <c r="C499" s="32" t="n">
        <f aca="false">COUNTIFS('All Worker Fields'!E:E,A499,'All Worker Fields'!D:D,"Single instance")</f>
        <v>0</v>
      </c>
      <c r="D499" s="32" t="n">
        <f aca="false">COUNTIFS('All Worker Fields'!E:E,A499,'All Worker Fields'!D:D,"Multi-instance")</f>
        <v>1</v>
      </c>
      <c r="E499" s="34" t="s">
        <v>1634</v>
      </c>
    </row>
    <row r="500" customFormat="false" ht="15" hidden="false" customHeight="false" outlineLevel="0" collapsed="false">
      <c r="A500" s="33" t="s">
        <v>1635</v>
      </c>
      <c r="B500" s="32" t="n">
        <v>1</v>
      </c>
      <c r="C500" s="32" t="n">
        <f aca="false">COUNTIFS('All Worker Fields'!E:E,A500,'All Worker Fields'!D:D,"Single instance")</f>
        <v>0</v>
      </c>
      <c r="D500" s="32" t="n">
        <f aca="false">COUNTIFS('All Worker Fields'!E:E,A500,'All Worker Fields'!D:D,"Multi-instance")</f>
        <v>1</v>
      </c>
      <c r="E500" s="34" t="s">
        <v>1636</v>
      </c>
    </row>
    <row r="501" customFormat="false" ht="15" hidden="false" customHeight="false" outlineLevel="0" collapsed="false">
      <c r="A501" s="33" t="s">
        <v>1637</v>
      </c>
      <c r="B501" s="32" t="n">
        <v>1</v>
      </c>
      <c r="C501" s="32" t="n">
        <f aca="false">COUNTIFS('All Worker Fields'!E:E,A501,'All Worker Fields'!D:D,"Single instance")</f>
        <v>1</v>
      </c>
      <c r="D501" s="32" t="n">
        <f aca="false">COUNTIFS('All Worker Fields'!E:E,A501,'All Worker Fields'!D:D,"Multi-instance")</f>
        <v>0</v>
      </c>
      <c r="E501" s="34" t="s">
        <v>1638</v>
      </c>
    </row>
    <row r="502" customFormat="false" ht="15" hidden="false" customHeight="false" outlineLevel="0" collapsed="false">
      <c r="A502" s="33" t="s">
        <v>1639</v>
      </c>
      <c r="B502" s="32" t="n">
        <v>1</v>
      </c>
      <c r="C502" s="32" t="n">
        <f aca="false">COUNTIFS('All Worker Fields'!E:E,A502,'All Worker Fields'!D:D,"Single instance")</f>
        <v>1</v>
      </c>
      <c r="D502" s="32" t="n">
        <f aca="false">COUNTIFS('All Worker Fields'!E:E,A502,'All Worker Fields'!D:D,"Multi-instance")</f>
        <v>0</v>
      </c>
      <c r="E502" s="34" t="s">
        <v>1639</v>
      </c>
    </row>
    <row r="503" customFormat="false" ht="15" hidden="false" customHeight="false" outlineLevel="0" collapsed="false">
      <c r="A503" s="33" t="s">
        <v>1640</v>
      </c>
      <c r="B503" s="32" t="n">
        <v>1</v>
      </c>
      <c r="C503" s="32" t="n">
        <f aca="false">COUNTIFS('All Worker Fields'!E:E,A503,'All Worker Fields'!D:D,"Single instance")</f>
        <v>0</v>
      </c>
      <c r="D503" s="32" t="n">
        <f aca="false">COUNTIFS('All Worker Fields'!E:E,A503,'All Worker Fields'!D:D,"Multi-instance")</f>
        <v>1</v>
      </c>
      <c r="E503" s="34" t="s">
        <v>1641</v>
      </c>
    </row>
    <row r="504" customFormat="false" ht="15" hidden="false" customHeight="false" outlineLevel="0" collapsed="false">
      <c r="A504" s="33" t="s">
        <v>1642</v>
      </c>
      <c r="B504" s="32" t="n">
        <v>1</v>
      </c>
      <c r="C504" s="32" t="n">
        <f aca="false">COUNTIFS('All Worker Fields'!E:E,A504,'All Worker Fields'!D:D,"Single instance")</f>
        <v>1</v>
      </c>
      <c r="D504" s="32" t="n">
        <f aca="false">COUNTIFS('All Worker Fields'!E:E,A504,'All Worker Fields'!D:D,"Multi-instance")</f>
        <v>0</v>
      </c>
      <c r="E504" s="34" t="s">
        <v>1643</v>
      </c>
    </row>
    <row r="505" customFormat="false" ht="15" hidden="false" customHeight="false" outlineLevel="0" collapsed="false">
      <c r="A505" s="33" t="s">
        <v>1644</v>
      </c>
      <c r="B505" s="32" t="n">
        <v>1</v>
      </c>
      <c r="C505" s="32" t="n">
        <f aca="false">COUNTIFS('All Worker Fields'!E:E,A505,'All Worker Fields'!D:D,"Single instance")</f>
        <v>0</v>
      </c>
      <c r="D505" s="32" t="n">
        <f aca="false">COUNTIFS('All Worker Fields'!E:E,A505,'All Worker Fields'!D:D,"Multi-instance")</f>
        <v>1</v>
      </c>
      <c r="E505" s="34" t="s">
        <v>1645</v>
      </c>
    </row>
    <row r="506" customFormat="false" ht="15" hidden="false" customHeight="false" outlineLevel="0" collapsed="false">
      <c r="A506" s="33" t="s">
        <v>1646</v>
      </c>
      <c r="B506" s="32" t="n">
        <v>1</v>
      </c>
      <c r="C506" s="32" t="n">
        <f aca="false">COUNTIFS('All Worker Fields'!E:E,A506,'All Worker Fields'!D:D,"Single instance")</f>
        <v>0</v>
      </c>
      <c r="D506" s="32" t="n">
        <f aca="false">COUNTIFS('All Worker Fields'!E:E,A506,'All Worker Fields'!D:D,"Multi-instance")</f>
        <v>1</v>
      </c>
      <c r="E506" s="34" t="s">
        <v>1647</v>
      </c>
    </row>
    <row r="507" customFormat="false" ht="15" hidden="false" customHeight="false" outlineLevel="0" collapsed="false">
      <c r="A507" s="33" t="s">
        <v>1648</v>
      </c>
      <c r="B507" s="32" t="n">
        <v>1</v>
      </c>
      <c r="C507" s="32" t="n">
        <f aca="false">COUNTIFS('All Worker Fields'!E:E,A507,'All Worker Fields'!D:D,"Single instance")</f>
        <v>0</v>
      </c>
      <c r="D507" s="32" t="n">
        <f aca="false">COUNTIFS('All Worker Fields'!E:E,A507,'All Worker Fields'!D:D,"Multi-instance")</f>
        <v>1</v>
      </c>
      <c r="E507" s="34" t="s">
        <v>1649</v>
      </c>
    </row>
    <row r="508" customFormat="false" ht="15" hidden="false" customHeight="false" outlineLevel="0" collapsed="false">
      <c r="A508" s="33" t="s">
        <v>1650</v>
      </c>
      <c r="B508" s="32" t="n">
        <v>1</v>
      </c>
      <c r="C508" s="32" t="n">
        <f aca="false">COUNTIFS('All Worker Fields'!E:E,A508,'All Worker Fields'!D:D,"Single instance")</f>
        <v>0</v>
      </c>
      <c r="D508" s="32" t="n">
        <f aca="false">COUNTIFS('All Worker Fields'!E:E,A508,'All Worker Fields'!D:D,"Multi-instance")</f>
        <v>1</v>
      </c>
      <c r="E508" s="34" t="s">
        <v>1651</v>
      </c>
    </row>
    <row r="509" customFormat="false" ht="15" hidden="false" customHeight="false" outlineLevel="0" collapsed="false">
      <c r="A509" s="33" t="s">
        <v>1652</v>
      </c>
      <c r="B509" s="32" t="n">
        <v>1</v>
      </c>
      <c r="C509" s="32" t="n">
        <f aca="false">COUNTIFS('All Worker Fields'!E:E,A509,'All Worker Fields'!D:D,"Single instance")</f>
        <v>0</v>
      </c>
      <c r="D509" s="32" t="n">
        <f aca="false">COUNTIFS('All Worker Fields'!E:E,A509,'All Worker Fields'!D:D,"Multi-instance")</f>
        <v>1</v>
      </c>
      <c r="E509" s="34" t="s">
        <v>1653</v>
      </c>
    </row>
    <row r="510" customFormat="false" ht="15" hidden="false" customHeight="false" outlineLevel="0" collapsed="false">
      <c r="A510" s="33" t="s">
        <v>1654</v>
      </c>
      <c r="B510" s="32" t="n">
        <v>1</v>
      </c>
      <c r="C510" s="32" t="n">
        <f aca="false">COUNTIFS('All Worker Fields'!E:E,A510,'All Worker Fields'!D:D,"Single instance")</f>
        <v>0</v>
      </c>
      <c r="D510" s="32" t="n">
        <f aca="false">COUNTIFS('All Worker Fields'!E:E,A510,'All Worker Fields'!D:D,"Multi-instance")</f>
        <v>1</v>
      </c>
      <c r="E510" s="34" t="s">
        <v>1655</v>
      </c>
    </row>
    <row r="511" customFormat="false" ht="15" hidden="false" customHeight="false" outlineLevel="0" collapsed="false">
      <c r="A511" s="33" t="s">
        <v>1656</v>
      </c>
      <c r="B511" s="32" t="n">
        <v>1</v>
      </c>
      <c r="C511" s="32" t="n">
        <f aca="false">COUNTIFS('All Worker Fields'!E:E,A511,'All Worker Fields'!D:D,"Single instance")</f>
        <v>0</v>
      </c>
      <c r="D511" s="32" t="n">
        <f aca="false">COUNTIFS('All Worker Fields'!E:E,A511,'All Worker Fields'!D:D,"Multi-instance")</f>
        <v>1</v>
      </c>
      <c r="E511" s="34" t="s">
        <v>1657</v>
      </c>
    </row>
    <row r="512" customFormat="false" ht="15" hidden="false" customHeight="false" outlineLevel="0" collapsed="false">
      <c r="A512" s="33" t="s">
        <v>1658</v>
      </c>
      <c r="B512" s="32" t="n">
        <v>1</v>
      </c>
      <c r="C512" s="32" t="n">
        <f aca="false">COUNTIFS('All Worker Fields'!E:E,A512,'All Worker Fields'!D:D,"Single instance")</f>
        <v>0</v>
      </c>
      <c r="D512" s="32" t="n">
        <f aca="false">COUNTIFS('All Worker Fields'!E:E,A512,'All Worker Fields'!D:D,"Multi-instance")</f>
        <v>1</v>
      </c>
      <c r="E512" s="34" t="s">
        <v>1659</v>
      </c>
    </row>
    <row r="513" customFormat="false" ht="15" hidden="false" customHeight="false" outlineLevel="0" collapsed="false">
      <c r="A513" s="33" t="s">
        <v>1660</v>
      </c>
      <c r="B513" s="32" t="n">
        <v>1</v>
      </c>
      <c r="C513" s="32" t="n">
        <f aca="false">COUNTIFS('All Worker Fields'!E:E,A513,'All Worker Fields'!D:D,"Single instance")</f>
        <v>0</v>
      </c>
      <c r="D513" s="32" t="n">
        <f aca="false">COUNTIFS('All Worker Fields'!E:E,A513,'All Worker Fields'!D:D,"Multi-instance")</f>
        <v>1</v>
      </c>
      <c r="E513" s="34" t="s">
        <v>1661</v>
      </c>
    </row>
    <row r="514" customFormat="false" ht="15" hidden="false" customHeight="false" outlineLevel="0" collapsed="false">
      <c r="A514" s="33" t="s">
        <v>1662</v>
      </c>
      <c r="B514" s="32" t="n">
        <v>1</v>
      </c>
      <c r="C514" s="32" t="n">
        <f aca="false">COUNTIFS('All Worker Fields'!E:E,A514,'All Worker Fields'!D:D,"Single instance")</f>
        <v>1</v>
      </c>
      <c r="D514" s="32" t="n">
        <f aca="false">COUNTIFS('All Worker Fields'!E:E,A514,'All Worker Fields'!D:D,"Multi-instance")</f>
        <v>0</v>
      </c>
      <c r="E514" s="34" t="s">
        <v>1663</v>
      </c>
    </row>
    <row r="515" customFormat="false" ht="15" hidden="false" customHeight="false" outlineLevel="0" collapsed="false">
      <c r="A515" s="33" t="s">
        <v>1664</v>
      </c>
      <c r="B515" s="32" t="n">
        <v>1</v>
      </c>
      <c r="C515" s="32" t="n">
        <f aca="false">COUNTIFS('All Worker Fields'!E:E,A515,'All Worker Fields'!D:D,"Single instance")</f>
        <v>0</v>
      </c>
      <c r="D515" s="32" t="n">
        <f aca="false">COUNTIFS('All Worker Fields'!E:E,A515,'All Worker Fields'!D:D,"Multi-instance")</f>
        <v>1</v>
      </c>
      <c r="E515" s="34" t="s">
        <v>1665</v>
      </c>
    </row>
    <row r="516" customFormat="false" ht="15" hidden="false" customHeight="false" outlineLevel="0" collapsed="false">
      <c r="A516" s="33" t="s">
        <v>1666</v>
      </c>
      <c r="B516" s="32" t="n">
        <v>1</v>
      </c>
      <c r="C516" s="32" t="n">
        <f aca="false">COUNTIFS('All Worker Fields'!E:E,A516,'All Worker Fields'!D:D,"Single instance")</f>
        <v>0</v>
      </c>
      <c r="D516" s="32" t="n">
        <f aca="false">COUNTIFS('All Worker Fields'!E:E,A516,'All Worker Fields'!D:D,"Multi-instance")</f>
        <v>1</v>
      </c>
      <c r="E516" s="34" t="s">
        <v>1667</v>
      </c>
    </row>
    <row r="517" customFormat="false" ht="15" hidden="false" customHeight="false" outlineLevel="0" collapsed="false">
      <c r="A517" s="33" t="s">
        <v>1668</v>
      </c>
      <c r="B517" s="32" t="n">
        <v>1</v>
      </c>
      <c r="C517" s="32" t="n">
        <f aca="false">COUNTIFS('All Worker Fields'!E:E,A517,'All Worker Fields'!D:D,"Single instance")</f>
        <v>1</v>
      </c>
      <c r="D517" s="32" t="n">
        <f aca="false">COUNTIFS('All Worker Fields'!E:E,A517,'All Worker Fields'!D:D,"Multi-instance")</f>
        <v>0</v>
      </c>
      <c r="E517" s="34" t="s">
        <v>1669</v>
      </c>
    </row>
    <row r="518" customFormat="false" ht="15" hidden="false" customHeight="false" outlineLevel="0" collapsed="false">
      <c r="A518" s="33" t="s">
        <v>1670</v>
      </c>
      <c r="B518" s="32" t="n">
        <v>1</v>
      </c>
      <c r="C518" s="32" t="n">
        <f aca="false">COUNTIFS('All Worker Fields'!E:E,A518,'All Worker Fields'!D:D,"Single instance")</f>
        <v>0</v>
      </c>
      <c r="D518" s="32" t="n">
        <f aca="false">COUNTIFS('All Worker Fields'!E:E,A518,'All Worker Fields'!D:D,"Multi-instance")</f>
        <v>0</v>
      </c>
      <c r="E518" s="34" t="s">
        <v>1671</v>
      </c>
    </row>
    <row r="519" customFormat="false" ht="15" hidden="false" customHeight="false" outlineLevel="0" collapsed="false">
      <c r="A519" s="33" t="s">
        <v>1672</v>
      </c>
      <c r="B519" s="32" t="n">
        <v>1</v>
      </c>
      <c r="C519" s="32" t="n">
        <f aca="false">COUNTIFS('All Worker Fields'!E:E,A519,'All Worker Fields'!D:D,"Single instance")</f>
        <v>0</v>
      </c>
      <c r="D519" s="32" t="n">
        <f aca="false">COUNTIFS('All Worker Fields'!E:E,A519,'All Worker Fields'!D:D,"Multi-instance")</f>
        <v>1</v>
      </c>
      <c r="E519" s="34" t="s">
        <v>1673</v>
      </c>
    </row>
    <row r="520" customFormat="false" ht="15" hidden="false" customHeight="false" outlineLevel="0" collapsed="false">
      <c r="A520" s="33" t="s">
        <v>612</v>
      </c>
      <c r="B520" s="32" t="n">
        <v>1</v>
      </c>
      <c r="C520" s="32" t="n">
        <f aca="false">COUNTIFS('All Worker Fields'!E:E,A520,'All Worker Fields'!D:D,"Single instance")</f>
        <v>0</v>
      </c>
      <c r="D520" s="32" t="n">
        <f aca="false">COUNTIFS('All Worker Fields'!E:E,A520,'All Worker Fields'!D:D,"Multi-instance")</f>
        <v>1</v>
      </c>
      <c r="E520" s="34" t="s">
        <v>611</v>
      </c>
    </row>
    <row r="521" customFormat="false" ht="15" hidden="false" customHeight="false" outlineLevel="0" collapsed="false">
      <c r="A521" s="33" t="s">
        <v>1674</v>
      </c>
      <c r="B521" s="32" t="n">
        <v>1</v>
      </c>
      <c r="C521" s="32" t="n">
        <f aca="false">COUNTIFS('All Worker Fields'!E:E,A521,'All Worker Fields'!D:D,"Single instance")</f>
        <v>0</v>
      </c>
      <c r="D521" s="32" t="n">
        <f aca="false">COUNTIFS('All Worker Fields'!E:E,A521,'All Worker Fields'!D:D,"Multi-instance")</f>
        <v>1</v>
      </c>
      <c r="E521" s="34" t="s">
        <v>1675</v>
      </c>
    </row>
    <row r="522" customFormat="false" ht="15" hidden="false" customHeight="false" outlineLevel="0" collapsed="false">
      <c r="A522" s="33" t="s">
        <v>1676</v>
      </c>
      <c r="B522" s="32" t="n">
        <v>1</v>
      </c>
      <c r="C522" s="32" t="n">
        <f aca="false">COUNTIFS('All Worker Fields'!E:E,A522,'All Worker Fields'!D:D,"Single instance")</f>
        <v>0</v>
      </c>
      <c r="D522" s="32" t="n">
        <f aca="false">COUNTIFS('All Worker Fields'!E:E,A522,'All Worker Fields'!D:D,"Multi-instance")</f>
        <v>0</v>
      </c>
      <c r="E522" s="34" t="s">
        <v>1677</v>
      </c>
    </row>
    <row r="523" customFormat="false" ht="15" hidden="false" customHeight="false" outlineLevel="0" collapsed="false">
      <c r="A523" s="33" t="s">
        <v>1678</v>
      </c>
      <c r="B523" s="32" t="n">
        <v>1</v>
      </c>
      <c r="C523" s="32" t="n">
        <f aca="false">COUNTIFS('All Worker Fields'!E:E,A523,'All Worker Fields'!D:D,"Single instance")</f>
        <v>0</v>
      </c>
      <c r="D523" s="32" t="n">
        <f aca="false">COUNTIFS('All Worker Fields'!E:E,A523,'All Worker Fields'!D:D,"Multi-instance")</f>
        <v>1</v>
      </c>
      <c r="E523" s="34" t="s">
        <v>1679</v>
      </c>
    </row>
    <row r="524" customFormat="false" ht="15" hidden="false" customHeight="false" outlineLevel="0" collapsed="false">
      <c r="A524" s="33" t="s">
        <v>1680</v>
      </c>
      <c r="B524" s="32" t="n">
        <v>1</v>
      </c>
      <c r="C524" s="32" t="n">
        <f aca="false">COUNTIFS('All Worker Fields'!E:E,A524,'All Worker Fields'!D:D,"Single instance")</f>
        <v>0</v>
      </c>
      <c r="D524" s="32" t="n">
        <f aca="false">COUNTIFS('All Worker Fields'!E:E,A524,'All Worker Fields'!D:D,"Multi-instance")</f>
        <v>1</v>
      </c>
      <c r="E524" s="34" t="s">
        <v>1681</v>
      </c>
    </row>
    <row r="525" customFormat="false" ht="15" hidden="false" customHeight="false" outlineLevel="0" collapsed="false">
      <c r="A525" s="33" t="s">
        <v>1682</v>
      </c>
      <c r="B525" s="32" t="n">
        <v>1</v>
      </c>
      <c r="C525" s="32" t="n">
        <f aca="false">COUNTIFS('All Worker Fields'!E:E,A525,'All Worker Fields'!D:D,"Single instance")</f>
        <v>0</v>
      </c>
      <c r="D525" s="32" t="n">
        <f aca="false">COUNTIFS('All Worker Fields'!E:E,A525,'All Worker Fields'!D:D,"Multi-instance")</f>
        <v>0</v>
      </c>
      <c r="E525" s="34" t="s">
        <v>1683</v>
      </c>
    </row>
    <row r="526" customFormat="false" ht="15" hidden="false" customHeight="false" outlineLevel="0" collapsed="false">
      <c r="A526" s="33" t="s">
        <v>1684</v>
      </c>
      <c r="B526" s="32" t="n">
        <v>1</v>
      </c>
      <c r="C526" s="32" t="n">
        <f aca="false">COUNTIFS('All Worker Fields'!E:E,A526,'All Worker Fields'!D:D,"Single instance")</f>
        <v>0</v>
      </c>
      <c r="D526" s="32" t="n">
        <f aca="false">COUNTIFS('All Worker Fields'!E:E,A526,'All Worker Fields'!D:D,"Multi-instance")</f>
        <v>0</v>
      </c>
      <c r="E526" s="34" t="s">
        <v>1685</v>
      </c>
    </row>
    <row r="527" customFormat="false" ht="15" hidden="false" customHeight="false" outlineLevel="0" collapsed="false">
      <c r="A527" s="33" t="s">
        <v>1686</v>
      </c>
      <c r="B527" s="32" t="n">
        <v>1</v>
      </c>
      <c r="C527" s="32" t="n">
        <f aca="false">COUNTIFS('All Worker Fields'!E:E,A527,'All Worker Fields'!D:D,"Single instance")</f>
        <v>0</v>
      </c>
      <c r="D527" s="32" t="n">
        <f aca="false">COUNTIFS('All Worker Fields'!E:E,A527,'All Worker Fields'!D:D,"Multi-instance")</f>
        <v>1</v>
      </c>
      <c r="E527" s="34" t="s">
        <v>1687</v>
      </c>
    </row>
    <row r="528" customFormat="false" ht="15" hidden="false" customHeight="false" outlineLevel="0" collapsed="false">
      <c r="A528" s="33" t="s">
        <v>1688</v>
      </c>
      <c r="B528" s="32" t="n">
        <v>1</v>
      </c>
      <c r="C528" s="32" t="n">
        <f aca="false">COUNTIFS('All Worker Fields'!E:E,A528,'All Worker Fields'!D:D,"Single instance")</f>
        <v>0</v>
      </c>
      <c r="D528" s="32" t="n">
        <f aca="false">COUNTIFS('All Worker Fields'!E:E,A528,'All Worker Fields'!D:D,"Multi-instance")</f>
        <v>0</v>
      </c>
      <c r="E528" s="34" t="s">
        <v>1689</v>
      </c>
    </row>
    <row r="529" customFormat="false" ht="15" hidden="false" customHeight="false" outlineLevel="0" collapsed="false">
      <c r="A529" s="33" t="s">
        <v>1690</v>
      </c>
      <c r="B529" s="32" t="n">
        <v>1</v>
      </c>
      <c r="C529" s="32" t="n">
        <f aca="false">COUNTIFS('All Worker Fields'!E:E,A529,'All Worker Fields'!D:D,"Single instance")</f>
        <v>0</v>
      </c>
      <c r="D529" s="32" t="n">
        <f aca="false">COUNTIFS('All Worker Fields'!E:E,A529,'All Worker Fields'!D:D,"Multi-instance")</f>
        <v>0</v>
      </c>
      <c r="E529" s="34" t="s">
        <v>1691</v>
      </c>
    </row>
    <row r="530" customFormat="false" ht="15" hidden="false" customHeight="false" outlineLevel="0" collapsed="false">
      <c r="A530" s="33" t="s">
        <v>1692</v>
      </c>
      <c r="B530" s="32" t="n">
        <v>1</v>
      </c>
      <c r="C530" s="32" t="n">
        <f aca="false">COUNTIFS('All Worker Fields'!E:E,A530,'All Worker Fields'!D:D,"Single instance")</f>
        <v>0</v>
      </c>
      <c r="D530" s="32" t="n">
        <f aca="false">COUNTIFS('All Worker Fields'!E:E,A530,'All Worker Fields'!D:D,"Multi-instance")</f>
        <v>0</v>
      </c>
      <c r="E530" s="34" t="s">
        <v>1693</v>
      </c>
    </row>
    <row r="531" customFormat="false" ht="15" hidden="false" customHeight="false" outlineLevel="0" collapsed="false">
      <c r="A531" s="33" t="s">
        <v>1694</v>
      </c>
      <c r="B531" s="32" t="n">
        <v>1</v>
      </c>
      <c r="C531" s="32" t="n">
        <f aca="false">COUNTIFS('All Worker Fields'!E:E,A531,'All Worker Fields'!D:D,"Single instance")</f>
        <v>0</v>
      </c>
      <c r="D531" s="32" t="n">
        <f aca="false">COUNTIFS('All Worker Fields'!E:E,A531,'All Worker Fields'!D:D,"Multi-instance")</f>
        <v>1</v>
      </c>
      <c r="E531" s="34" t="s">
        <v>1695</v>
      </c>
    </row>
    <row r="532" customFormat="false" ht="15" hidden="false" customHeight="false" outlineLevel="0" collapsed="false">
      <c r="A532" s="33" t="s">
        <v>1696</v>
      </c>
      <c r="B532" s="32" t="n">
        <v>1</v>
      </c>
      <c r="C532" s="32" t="n">
        <f aca="false">COUNTIFS('All Worker Fields'!E:E,A532,'All Worker Fields'!D:D,"Single instance")</f>
        <v>1</v>
      </c>
      <c r="D532" s="32" t="n">
        <f aca="false">COUNTIFS('All Worker Fields'!E:E,A532,'All Worker Fields'!D:D,"Multi-instance")</f>
        <v>0</v>
      </c>
      <c r="E532" s="34" t="s">
        <v>1696</v>
      </c>
    </row>
    <row r="533" customFormat="false" ht="15" hidden="false" customHeight="false" outlineLevel="0" collapsed="false">
      <c r="A533" s="33" t="s">
        <v>1697</v>
      </c>
      <c r="B533" s="32" t="n">
        <v>1</v>
      </c>
      <c r="C533" s="32" t="n">
        <f aca="false">COUNTIFS('All Worker Fields'!E:E,A533,'All Worker Fields'!D:D,"Single instance")</f>
        <v>0</v>
      </c>
      <c r="D533" s="32" t="n">
        <f aca="false">COUNTIFS('All Worker Fields'!E:E,A533,'All Worker Fields'!D:D,"Multi-instance")</f>
        <v>1</v>
      </c>
      <c r="E533" s="34" t="s">
        <v>1698</v>
      </c>
    </row>
    <row r="534" customFormat="false" ht="15" hidden="false" customHeight="false" outlineLevel="0" collapsed="false">
      <c r="A534" s="33" t="s">
        <v>725</v>
      </c>
      <c r="B534" s="32" t="n">
        <v>1</v>
      </c>
      <c r="C534" s="32" t="n">
        <f aca="false">COUNTIFS('All Worker Fields'!E:E,A534,'All Worker Fields'!D:D,"Single instance")</f>
        <v>1</v>
      </c>
      <c r="D534" s="32" t="n">
        <f aca="false">COUNTIFS('All Worker Fields'!E:E,A534,'All Worker Fields'!D:D,"Multi-instance")</f>
        <v>0</v>
      </c>
      <c r="E534" s="34" t="s">
        <v>1208</v>
      </c>
    </row>
    <row r="535" customFormat="false" ht="15" hidden="false" customHeight="false" outlineLevel="0" collapsed="false">
      <c r="A535" s="33" t="s">
        <v>1699</v>
      </c>
      <c r="B535" s="32" t="n">
        <v>1</v>
      </c>
      <c r="C535" s="32" t="n">
        <f aca="false">COUNTIFS('All Worker Fields'!E:E,A535,'All Worker Fields'!D:D,"Single instance")</f>
        <v>1</v>
      </c>
      <c r="D535" s="32" t="n">
        <f aca="false">COUNTIFS('All Worker Fields'!E:E,A535,'All Worker Fields'!D:D,"Multi-instance")</f>
        <v>0</v>
      </c>
      <c r="E535" s="34" t="s">
        <v>1699</v>
      </c>
    </row>
    <row r="536" customFormat="false" ht="15" hidden="false" customHeight="false" outlineLevel="0" collapsed="false">
      <c r="A536" s="33" t="s">
        <v>1700</v>
      </c>
      <c r="B536" s="32" t="n">
        <v>1</v>
      </c>
      <c r="C536" s="32" t="n">
        <f aca="false">COUNTIFS('All Worker Fields'!E:E,A536,'All Worker Fields'!D:D,"Single instance")</f>
        <v>1</v>
      </c>
      <c r="D536" s="32" t="n">
        <f aca="false">COUNTIFS('All Worker Fields'!E:E,A536,'All Worker Fields'!D:D,"Multi-instance")</f>
        <v>0</v>
      </c>
      <c r="E536" s="34" t="s">
        <v>1700</v>
      </c>
    </row>
    <row r="537" customFormat="false" ht="15" hidden="false" customHeight="false" outlineLevel="0" collapsed="false">
      <c r="A537" s="33" t="s">
        <v>1701</v>
      </c>
      <c r="B537" s="32" t="n">
        <v>1</v>
      </c>
      <c r="C537" s="32" t="n">
        <f aca="false">COUNTIFS('All Worker Fields'!E:E,A537,'All Worker Fields'!D:D,"Single instance")</f>
        <v>1</v>
      </c>
      <c r="D537" s="32" t="n">
        <f aca="false">COUNTIFS('All Worker Fields'!E:E,A537,'All Worker Fields'!D:D,"Multi-instance")</f>
        <v>0</v>
      </c>
      <c r="E537" s="34" t="s">
        <v>1701</v>
      </c>
    </row>
    <row r="538" customFormat="false" ht="15" hidden="false" customHeight="false" outlineLevel="0" collapsed="false">
      <c r="A538" s="33" t="s">
        <v>1702</v>
      </c>
      <c r="B538" s="32" t="n">
        <v>1</v>
      </c>
      <c r="C538" s="32" t="n">
        <f aca="false">COUNTIFS('All Worker Fields'!E:E,A538,'All Worker Fields'!D:D,"Single instance")</f>
        <v>0</v>
      </c>
      <c r="D538" s="32" t="n">
        <f aca="false">COUNTIFS('All Worker Fields'!E:E,A538,'All Worker Fields'!D:D,"Multi-instance")</f>
        <v>1</v>
      </c>
      <c r="E538" s="34" t="s">
        <v>1703</v>
      </c>
    </row>
    <row r="539" customFormat="false" ht="15" hidden="false" customHeight="false" outlineLevel="0" collapsed="false">
      <c r="A539" s="33" t="s">
        <v>1704</v>
      </c>
      <c r="B539" s="32" t="n">
        <v>1</v>
      </c>
      <c r="C539" s="32" t="n">
        <f aca="false">COUNTIFS('All Worker Fields'!E:E,A539,'All Worker Fields'!D:D,"Single instance")</f>
        <v>0</v>
      </c>
      <c r="D539" s="32" t="n">
        <f aca="false">COUNTIFS('All Worker Fields'!E:E,A539,'All Worker Fields'!D:D,"Multi-instance")</f>
        <v>1</v>
      </c>
      <c r="E539" s="34" t="s">
        <v>1705</v>
      </c>
    </row>
    <row r="540" customFormat="false" ht="15" hidden="false" customHeight="false" outlineLevel="0" collapsed="false">
      <c r="A540" s="33" t="s">
        <v>1706</v>
      </c>
      <c r="B540" s="32" t="n">
        <v>1</v>
      </c>
      <c r="C540" s="32" t="n">
        <f aca="false">COUNTIFS('All Worker Fields'!E:E,A540,'All Worker Fields'!D:D,"Single instance")</f>
        <v>0</v>
      </c>
      <c r="D540" s="32" t="n">
        <f aca="false">COUNTIFS('All Worker Fields'!E:E,A540,'All Worker Fields'!D:D,"Multi-instance")</f>
        <v>1</v>
      </c>
      <c r="E540" s="34" t="s">
        <v>1707</v>
      </c>
    </row>
    <row r="541" customFormat="false" ht="15" hidden="false" customHeight="false" outlineLevel="0" collapsed="false">
      <c r="A541" s="33" t="s">
        <v>1708</v>
      </c>
      <c r="B541" s="32" t="n">
        <v>1</v>
      </c>
      <c r="C541" s="32" t="n">
        <f aca="false">COUNTIFS('All Worker Fields'!E:E,A541,'All Worker Fields'!D:D,"Single instance")</f>
        <v>0</v>
      </c>
      <c r="D541" s="32" t="n">
        <f aca="false">COUNTIFS('All Worker Fields'!E:E,A541,'All Worker Fields'!D:D,"Multi-instance")</f>
        <v>1</v>
      </c>
      <c r="E541" s="34" t="s">
        <v>1709</v>
      </c>
    </row>
    <row r="542" customFormat="false" ht="15" hidden="false" customHeight="false" outlineLevel="0" collapsed="false">
      <c r="A542" s="33" t="s">
        <v>1710</v>
      </c>
      <c r="B542" s="32" t="n">
        <v>1</v>
      </c>
      <c r="C542" s="32" t="n">
        <f aca="false">COUNTIFS('All Worker Fields'!E:E,A542,'All Worker Fields'!D:D,"Single instance")</f>
        <v>1</v>
      </c>
      <c r="D542" s="32" t="n">
        <f aca="false">COUNTIFS('All Worker Fields'!E:E,A542,'All Worker Fields'!D:D,"Multi-instance")</f>
        <v>0</v>
      </c>
      <c r="E542" s="34" t="s">
        <v>1711</v>
      </c>
    </row>
    <row r="543" customFormat="false" ht="15" hidden="false" customHeight="false" outlineLevel="0" collapsed="false">
      <c r="A543" s="33" t="s">
        <v>1712</v>
      </c>
      <c r="B543" s="32" t="n">
        <v>1</v>
      </c>
      <c r="C543" s="32" t="n">
        <f aca="false">COUNTIFS('All Worker Fields'!E:E,A543,'All Worker Fields'!D:D,"Single instance")</f>
        <v>1</v>
      </c>
      <c r="D543" s="32" t="n">
        <f aca="false">COUNTIFS('All Worker Fields'!E:E,A543,'All Worker Fields'!D:D,"Multi-instance")</f>
        <v>0</v>
      </c>
      <c r="E543" s="34" t="s">
        <v>1712</v>
      </c>
    </row>
    <row r="544" customFormat="false" ht="15" hidden="false" customHeight="false" outlineLevel="0" collapsed="false">
      <c r="A544" s="33" t="s">
        <v>1713</v>
      </c>
      <c r="B544" s="32" t="n">
        <v>1</v>
      </c>
      <c r="C544" s="32" t="n">
        <f aca="false">COUNTIFS('All Worker Fields'!E:E,A544,'All Worker Fields'!D:D,"Single instance")</f>
        <v>0</v>
      </c>
      <c r="D544" s="32" t="n">
        <f aca="false">COUNTIFS('All Worker Fields'!E:E,A544,'All Worker Fields'!D:D,"Multi-instance")</f>
        <v>1</v>
      </c>
      <c r="E544" s="34" t="s">
        <v>1714</v>
      </c>
    </row>
    <row r="545" customFormat="false" ht="15" hidden="false" customHeight="false" outlineLevel="0" collapsed="false">
      <c r="A545" s="33" t="s">
        <v>1715</v>
      </c>
      <c r="B545" s="32" t="n">
        <v>1</v>
      </c>
      <c r="C545" s="32" t="n">
        <f aca="false">COUNTIFS('All Worker Fields'!E:E,A545,'All Worker Fields'!D:D,"Single instance")</f>
        <v>0</v>
      </c>
      <c r="D545" s="32" t="n">
        <f aca="false">COUNTIFS('All Worker Fields'!E:E,A545,'All Worker Fields'!D:D,"Multi-instance")</f>
        <v>1</v>
      </c>
      <c r="E545" s="34" t="s">
        <v>1716</v>
      </c>
    </row>
    <row r="546" customFormat="false" ht="15" hidden="false" customHeight="false" outlineLevel="0" collapsed="false">
      <c r="A546" s="33" t="s">
        <v>1717</v>
      </c>
      <c r="B546" s="32" t="n">
        <v>1</v>
      </c>
      <c r="C546" s="32" t="n">
        <f aca="false">COUNTIFS('All Worker Fields'!E:E,A546,'All Worker Fields'!D:D,"Single instance")</f>
        <v>0</v>
      </c>
      <c r="D546" s="32" t="n">
        <f aca="false">COUNTIFS('All Worker Fields'!E:E,A546,'All Worker Fields'!D:D,"Multi-instance")</f>
        <v>1</v>
      </c>
      <c r="E546" s="34" t="s">
        <v>1718</v>
      </c>
    </row>
    <row r="547" customFormat="false" ht="15" hidden="false" customHeight="false" outlineLevel="0" collapsed="false">
      <c r="A547" s="33" t="s">
        <v>1719</v>
      </c>
      <c r="B547" s="32" t="n">
        <v>1</v>
      </c>
      <c r="C547" s="32" t="n">
        <f aca="false">COUNTIFS('All Worker Fields'!E:E,A547,'All Worker Fields'!D:D,"Single instance")</f>
        <v>0</v>
      </c>
      <c r="D547" s="32" t="n">
        <f aca="false">COUNTIFS('All Worker Fields'!E:E,A547,'All Worker Fields'!D:D,"Multi-instance")</f>
        <v>1</v>
      </c>
      <c r="E547" s="34" t="s">
        <v>1720</v>
      </c>
    </row>
    <row r="548" customFormat="false" ht="15" hidden="false" customHeight="false" outlineLevel="0" collapsed="false">
      <c r="A548" s="33" t="s">
        <v>1721</v>
      </c>
      <c r="B548" s="32" t="n">
        <v>1</v>
      </c>
      <c r="C548" s="32" t="n">
        <f aca="false">COUNTIFS('All Worker Fields'!E:E,A548,'All Worker Fields'!D:D,"Single instance")</f>
        <v>1</v>
      </c>
      <c r="D548" s="32" t="n">
        <f aca="false">COUNTIFS('All Worker Fields'!E:E,A548,'All Worker Fields'!D:D,"Multi-instance")</f>
        <v>0</v>
      </c>
      <c r="E548" s="34" t="s">
        <v>1722</v>
      </c>
    </row>
    <row r="549" customFormat="false" ht="15" hidden="false" customHeight="false" outlineLevel="0" collapsed="false">
      <c r="A549" s="33" t="s">
        <v>1723</v>
      </c>
      <c r="B549" s="32" t="n">
        <v>1</v>
      </c>
      <c r="C549" s="32" t="n">
        <f aca="false">COUNTIFS('All Worker Fields'!E:E,A549,'All Worker Fields'!D:D,"Single instance")</f>
        <v>1</v>
      </c>
      <c r="D549" s="32" t="n">
        <f aca="false">COUNTIFS('All Worker Fields'!E:E,A549,'All Worker Fields'!D:D,"Multi-instance")</f>
        <v>0</v>
      </c>
      <c r="E549" s="34" t="s">
        <v>1724</v>
      </c>
    </row>
    <row r="550" customFormat="false" ht="15" hidden="false" customHeight="false" outlineLevel="0" collapsed="false">
      <c r="A550" s="33" t="s">
        <v>768</v>
      </c>
      <c r="B550" s="32" t="n">
        <v>1</v>
      </c>
      <c r="C550" s="32" t="n">
        <f aca="false">COUNTIFS('All Worker Fields'!E:E,A550,'All Worker Fields'!D:D,"Single instance")</f>
        <v>0</v>
      </c>
      <c r="D550" s="32" t="n">
        <f aca="false">COUNTIFS('All Worker Fields'!E:E,A550,'All Worker Fields'!D:D,"Multi-instance")</f>
        <v>1</v>
      </c>
      <c r="E550" s="34" t="s">
        <v>1725</v>
      </c>
    </row>
    <row r="551" customFormat="false" ht="15" hidden="false" customHeight="false" outlineLevel="0" collapsed="false">
      <c r="A551" s="33" t="s">
        <v>1726</v>
      </c>
      <c r="B551" s="32" t="n">
        <v>1</v>
      </c>
      <c r="C551" s="32" t="n">
        <f aca="false">COUNTIFS('All Worker Fields'!E:E,A551,'All Worker Fields'!D:D,"Single instance")</f>
        <v>0</v>
      </c>
      <c r="D551" s="32" t="n">
        <f aca="false">COUNTIFS('All Worker Fields'!E:E,A551,'All Worker Fields'!D:D,"Multi-instance")</f>
        <v>1</v>
      </c>
      <c r="E551" s="34" t="s">
        <v>1727</v>
      </c>
    </row>
    <row r="552" customFormat="false" ht="15" hidden="false" customHeight="false" outlineLevel="0" collapsed="false">
      <c r="A552" s="33" t="s">
        <v>1728</v>
      </c>
      <c r="B552" s="32" t="n">
        <v>1</v>
      </c>
      <c r="C552" s="32" t="n">
        <f aca="false">COUNTIFS('All Worker Fields'!E:E,A552,'All Worker Fields'!D:D,"Single instance")</f>
        <v>1</v>
      </c>
      <c r="D552" s="32" t="n">
        <f aca="false">COUNTIFS('All Worker Fields'!E:E,A552,'All Worker Fields'!D:D,"Multi-instance")</f>
        <v>0</v>
      </c>
      <c r="E552" s="34" t="s">
        <v>1728</v>
      </c>
    </row>
    <row r="553" customFormat="false" ht="15" hidden="false" customHeight="false" outlineLevel="0" collapsed="false">
      <c r="A553" s="33" t="s">
        <v>1729</v>
      </c>
      <c r="B553" s="32" t="n">
        <v>1</v>
      </c>
      <c r="C553" s="32" t="n">
        <f aca="false">COUNTIFS('All Worker Fields'!E:E,A553,'All Worker Fields'!D:D,"Single instance")</f>
        <v>0</v>
      </c>
      <c r="D553" s="32" t="n">
        <f aca="false">COUNTIFS('All Worker Fields'!E:E,A553,'All Worker Fields'!D:D,"Multi-instance")</f>
        <v>1</v>
      </c>
      <c r="E553" s="34" t="s">
        <v>1730</v>
      </c>
    </row>
    <row r="554" customFormat="false" ht="15" hidden="false" customHeight="false" outlineLevel="0" collapsed="false">
      <c r="A554" s="33" t="s">
        <v>1731</v>
      </c>
      <c r="B554" s="32" t="n">
        <v>1</v>
      </c>
      <c r="C554" s="32" t="n">
        <f aca="false">COUNTIFS('All Worker Fields'!E:E,A554,'All Worker Fields'!D:D,"Single instance")</f>
        <v>0</v>
      </c>
      <c r="D554" s="32" t="n">
        <f aca="false">COUNTIFS('All Worker Fields'!E:E,A554,'All Worker Fields'!D:D,"Multi-instance")</f>
        <v>0</v>
      </c>
      <c r="E554" s="34" t="s">
        <v>1732</v>
      </c>
    </row>
    <row r="555" customFormat="false" ht="15" hidden="false" customHeight="false" outlineLevel="0" collapsed="false">
      <c r="A555" s="33" t="s">
        <v>1733</v>
      </c>
      <c r="B555" s="32" t="n">
        <v>1</v>
      </c>
      <c r="C555" s="32" t="n">
        <f aca="false">COUNTIFS('All Worker Fields'!E:E,A555,'All Worker Fields'!D:D,"Single instance")</f>
        <v>0</v>
      </c>
      <c r="D555" s="32" t="n">
        <f aca="false">COUNTIFS('All Worker Fields'!E:E,A555,'All Worker Fields'!D:D,"Multi-instance")</f>
        <v>0</v>
      </c>
      <c r="E555" s="34" t="s">
        <v>1734</v>
      </c>
    </row>
    <row r="556" customFormat="false" ht="15" hidden="false" customHeight="false" outlineLevel="0" collapsed="false">
      <c r="A556" s="33" t="s">
        <v>1735</v>
      </c>
      <c r="B556" s="32" t="n">
        <v>1</v>
      </c>
      <c r="C556" s="32" t="n">
        <f aca="false">COUNTIFS('All Worker Fields'!E:E,A556,'All Worker Fields'!D:D,"Single instance")</f>
        <v>0</v>
      </c>
      <c r="D556" s="32" t="n">
        <f aca="false">COUNTIFS('All Worker Fields'!E:E,A556,'All Worker Fields'!D:D,"Multi-instance")</f>
        <v>1</v>
      </c>
      <c r="E556" s="34" t="s">
        <v>1736</v>
      </c>
    </row>
    <row r="557" customFormat="false" ht="15" hidden="false" customHeight="false" outlineLevel="0" collapsed="false">
      <c r="A557" s="33" t="s">
        <v>1737</v>
      </c>
      <c r="B557" s="32" t="n">
        <v>1</v>
      </c>
      <c r="C557" s="32" t="n">
        <f aca="false">COUNTIFS('All Worker Fields'!E:E,A557,'All Worker Fields'!D:D,"Single instance")</f>
        <v>0</v>
      </c>
      <c r="D557" s="32" t="n">
        <f aca="false">COUNTIFS('All Worker Fields'!E:E,A557,'All Worker Fields'!D:D,"Multi-instance")</f>
        <v>1</v>
      </c>
      <c r="E557" s="34" t="s">
        <v>1737</v>
      </c>
    </row>
    <row r="558" customFormat="false" ht="15" hidden="false" customHeight="false" outlineLevel="0" collapsed="false">
      <c r="A558" s="33" t="s">
        <v>1738</v>
      </c>
      <c r="B558" s="32" t="n">
        <v>1</v>
      </c>
      <c r="C558" s="32" t="n">
        <f aca="false">COUNTIFS('All Worker Fields'!E:E,A558,'All Worker Fields'!D:D,"Single instance")</f>
        <v>0</v>
      </c>
      <c r="D558" s="32" t="n">
        <f aca="false">COUNTIFS('All Worker Fields'!E:E,A558,'All Worker Fields'!D:D,"Multi-instance")</f>
        <v>1</v>
      </c>
      <c r="E558" s="34" t="s">
        <v>1739</v>
      </c>
    </row>
    <row r="559" customFormat="false" ht="15" hidden="false" customHeight="false" outlineLevel="0" collapsed="false">
      <c r="A559" s="33" t="s">
        <v>770</v>
      </c>
      <c r="B559" s="32" t="n">
        <v>1</v>
      </c>
      <c r="C559" s="32" t="n">
        <f aca="false">COUNTIFS('All Worker Fields'!E:E,A559,'All Worker Fields'!D:D,"Single instance")</f>
        <v>0</v>
      </c>
      <c r="D559" s="32" t="n">
        <f aca="false">COUNTIFS('All Worker Fields'!E:E,A559,'All Worker Fields'!D:D,"Multi-instance")</f>
        <v>1</v>
      </c>
      <c r="E559" s="34" t="s">
        <v>1740</v>
      </c>
    </row>
    <row r="560" customFormat="false" ht="15" hidden="false" customHeight="false" outlineLevel="0" collapsed="false">
      <c r="A560" s="33" t="s">
        <v>771</v>
      </c>
      <c r="B560" s="32" t="n">
        <v>1</v>
      </c>
      <c r="C560" s="32" t="n">
        <f aca="false">COUNTIFS('All Worker Fields'!E:E,A560,'All Worker Fields'!D:D,"Single instance")</f>
        <v>0</v>
      </c>
      <c r="D560" s="32" t="n">
        <f aca="false">COUNTIFS('All Worker Fields'!E:E,A560,'All Worker Fields'!D:D,"Multi-instance")</f>
        <v>1</v>
      </c>
      <c r="E560" s="34" t="s">
        <v>1741</v>
      </c>
    </row>
    <row r="561" customFormat="false" ht="15" hidden="false" customHeight="false" outlineLevel="0" collapsed="false">
      <c r="A561" s="33" t="s">
        <v>1742</v>
      </c>
      <c r="B561" s="32" t="n">
        <v>1</v>
      </c>
      <c r="C561" s="32" t="n">
        <f aca="false">COUNTIFS('All Worker Fields'!E:E,A561,'All Worker Fields'!D:D,"Single instance")</f>
        <v>1</v>
      </c>
      <c r="D561" s="32" t="n">
        <f aca="false">COUNTIFS('All Worker Fields'!E:E,A561,'All Worker Fields'!D:D,"Multi-instance")</f>
        <v>0</v>
      </c>
      <c r="E561" s="34" t="s">
        <v>1743</v>
      </c>
    </row>
    <row r="562" customFormat="false" ht="15" hidden="false" customHeight="false" outlineLevel="0" collapsed="false">
      <c r="A562" s="33" t="s">
        <v>1744</v>
      </c>
      <c r="B562" s="32" t="n">
        <v>1</v>
      </c>
      <c r="C562" s="32" t="n">
        <f aca="false">COUNTIFS('All Worker Fields'!E:E,A562,'All Worker Fields'!D:D,"Single instance")</f>
        <v>0</v>
      </c>
      <c r="D562" s="32" t="n">
        <f aca="false">COUNTIFS('All Worker Fields'!E:E,A562,'All Worker Fields'!D:D,"Multi-instance")</f>
        <v>0</v>
      </c>
      <c r="E562" s="34" t="s">
        <v>1745</v>
      </c>
    </row>
    <row r="563" customFormat="false" ht="15" hidden="false" customHeight="false" outlineLevel="0" collapsed="false">
      <c r="A563" s="33" t="s">
        <v>1746</v>
      </c>
      <c r="B563" s="32" t="n">
        <v>1</v>
      </c>
      <c r="C563" s="32" t="n">
        <f aca="false">COUNTIFS('All Worker Fields'!E:E,A563,'All Worker Fields'!D:D,"Single instance")</f>
        <v>0</v>
      </c>
      <c r="D563" s="32" t="n">
        <f aca="false">COUNTIFS('All Worker Fields'!E:E,A563,'All Worker Fields'!D:D,"Multi-instance")</f>
        <v>0</v>
      </c>
      <c r="E563" s="34" t="s">
        <v>1747</v>
      </c>
    </row>
    <row r="564" customFormat="false" ht="15" hidden="false" customHeight="false" outlineLevel="0" collapsed="false">
      <c r="A564" s="33" t="s">
        <v>1748</v>
      </c>
      <c r="B564" s="32" t="n">
        <v>1</v>
      </c>
      <c r="C564" s="32" t="n">
        <f aca="false">COUNTIFS('All Worker Fields'!E:E,A564,'All Worker Fields'!D:D,"Single instance")</f>
        <v>0</v>
      </c>
      <c r="D564" s="32" t="n">
        <f aca="false">COUNTIFS('All Worker Fields'!E:E,A564,'All Worker Fields'!D:D,"Multi-instance")</f>
        <v>1</v>
      </c>
      <c r="E564" s="34" t="s">
        <v>1749</v>
      </c>
    </row>
    <row r="565" customFormat="false" ht="15" hidden="false" customHeight="false" outlineLevel="0" collapsed="false">
      <c r="A565" s="33" t="s">
        <v>1750</v>
      </c>
      <c r="B565" s="32" t="n">
        <v>1</v>
      </c>
      <c r="C565" s="32" t="n">
        <f aca="false">COUNTIFS('All Worker Fields'!E:E,A565,'All Worker Fields'!D:D,"Single instance")</f>
        <v>0</v>
      </c>
      <c r="D565" s="32" t="n">
        <f aca="false">COUNTIFS('All Worker Fields'!E:E,A565,'All Worker Fields'!D:D,"Multi-instance")</f>
        <v>1</v>
      </c>
      <c r="E565" s="34" t="s">
        <v>1751</v>
      </c>
    </row>
    <row r="566" customFormat="false" ht="15" hidden="false" customHeight="false" outlineLevel="0" collapsed="false">
      <c r="A566" s="33" t="s">
        <v>1752</v>
      </c>
      <c r="B566" s="32" t="n">
        <v>1</v>
      </c>
      <c r="C566" s="32" t="n">
        <f aca="false">COUNTIFS('All Worker Fields'!E:E,A566,'All Worker Fields'!D:D,"Single instance")</f>
        <v>0</v>
      </c>
      <c r="D566" s="32" t="n">
        <f aca="false">COUNTIFS('All Worker Fields'!E:E,A566,'All Worker Fields'!D:D,"Multi-instance")</f>
        <v>0</v>
      </c>
      <c r="E566" s="34" t="s">
        <v>1753</v>
      </c>
    </row>
    <row r="567" customFormat="false" ht="15" hidden="false" customHeight="false" outlineLevel="0" collapsed="false">
      <c r="A567" s="33" t="s">
        <v>1754</v>
      </c>
      <c r="B567" s="32" t="n">
        <v>1</v>
      </c>
      <c r="C567" s="32" t="n">
        <f aca="false">COUNTIFS('All Worker Fields'!E:E,A567,'All Worker Fields'!D:D,"Single instance")</f>
        <v>0</v>
      </c>
      <c r="D567" s="32" t="n">
        <f aca="false">COUNTIFS('All Worker Fields'!E:E,A567,'All Worker Fields'!D:D,"Multi-instance")</f>
        <v>1</v>
      </c>
      <c r="E567" s="34" t="s">
        <v>1755</v>
      </c>
    </row>
    <row r="568" customFormat="false" ht="15" hidden="false" customHeight="false" outlineLevel="0" collapsed="false">
      <c r="A568" s="33" t="s">
        <v>1756</v>
      </c>
      <c r="B568" s="32" t="n">
        <v>1</v>
      </c>
      <c r="C568" s="32" t="n">
        <f aca="false">COUNTIFS('All Worker Fields'!E:E,A568,'All Worker Fields'!D:D,"Single instance")</f>
        <v>0</v>
      </c>
      <c r="D568" s="32" t="n">
        <f aca="false">COUNTIFS('All Worker Fields'!E:E,A568,'All Worker Fields'!D:D,"Multi-instance")</f>
        <v>0</v>
      </c>
      <c r="E568" s="34"/>
    </row>
    <row r="569" customFormat="false" ht="15" hidden="false" customHeight="false" outlineLevel="0" collapsed="false">
      <c r="A569" s="33" t="s">
        <v>1757</v>
      </c>
      <c r="B569" s="32" t="n">
        <v>1</v>
      </c>
      <c r="C569" s="32" t="n">
        <f aca="false">COUNTIFS('All Worker Fields'!E:E,A569,'All Worker Fields'!D:D,"Single instance")</f>
        <v>0</v>
      </c>
      <c r="D569" s="32" t="n">
        <f aca="false">COUNTIFS('All Worker Fields'!E:E,A569,'All Worker Fields'!D:D,"Multi-instance")</f>
        <v>0</v>
      </c>
      <c r="E569" s="34"/>
    </row>
    <row r="570" customFormat="false" ht="15" hidden="false" customHeight="false" outlineLevel="0" collapsed="false">
      <c r="A570" s="33" t="s">
        <v>1758</v>
      </c>
      <c r="B570" s="32" t="n">
        <v>1</v>
      </c>
      <c r="C570" s="32" t="n">
        <f aca="false">COUNTIFS('All Worker Fields'!E:E,A570,'All Worker Fields'!D:D,"Single instance")</f>
        <v>0</v>
      </c>
      <c r="D570" s="32" t="n">
        <f aca="false">COUNTIFS('All Worker Fields'!E:E,A570,'All Worker Fields'!D:D,"Multi-instance")</f>
        <v>0</v>
      </c>
      <c r="E570" s="34"/>
    </row>
    <row r="571" customFormat="false" ht="15" hidden="false" customHeight="false" outlineLevel="0" collapsed="false">
      <c r="A571" s="33" t="s">
        <v>1759</v>
      </c>
      <c r="B571" s="32" t="n">
        <v>1</v>
      </c>
      <c r="C571" s="32" t="n">
        <f aca="false">COUNTIFS('All Worker Fields'!E:E,A571,'All Worker Fields'!D:D,"Single instance")</f>
        <v>0</v>
      </c>
      <c r="D571" s="32" t="n">
        <f aca="false">COUNTIFS('All Worker Fields'!E:E,A571,'All Worker Fields'!D:D,"Multi-instance")</f>
        <v>0</v>
      </c>
      <c r="E571" s="34"/>
    </row>
    <row r="572" customFormat="false" ht="15" hidden="false" customHeight="false" outlineLevel="0" collapsed="false">
      <c r="A572" s="33" t="s">
        <v>1760</v>
      </c>
      <c r="B572" s="32" t="n">
        <v>1</v>
      </c>
      <c r="C572" s="32" t="n">
        <f aca="false">COUNTIFS('All Worker Fields'!E:E,A572,'All Worker Fields'!D:D,"Single instance")</f>
        <v>1</v>
      </c>
      <c r="D572" s="32" t="n">
        <f aca="false">COUNTIFS('All Worker Fields'!E:E,A572,'All Worker Fields'!D:D,"Multi-instance")</f>
        <v>0</v>
      </c>
      <c r="E572" s="34" t="s">
        <v>1761</v>
      </c>
    </row>
    <row r="573" customFormat="false" ht="15" hidden="false" customHeight="false" outlineLevel="0" collapsed="false">
      <c r="A573" s="33" t="s">
        <v>1762</v>
      </c>
      <c r="B573" s="32" t="n">
        <v>1</v>
      </c>
      <c r="C573" s="32" t="n">
        <f aca="false">COUNTIFS('All Worker Fields'!E:E,A573,'All Worker Fields'!D:D,"Single instance")</f>
        <v>1</v>
      </c>
      <c r="D573" s="32" t="n">
        <f aca="false">COUNTIFS('All Worker Fields'!E:E,A573,'All Worker Fields'!D:D,"Multi-instance")</f>
        <v>0</v>
      </c>
      <c r="E573" s="34" t="s">
        <v>1763</v>
      </c>
    </row>
    <row r="574" customFormat="false" ht="15" hidden="false" customHeight="false" outlineLevel="0" collapsed="false">
      <c r="A574" s="33" t="s">
        <v>1764</v>
      </c>
      <c r="B574" s="32" t="n">
        <v>1</v>
      </c>
      <c r="C574" s="32" t="n">
        <f aca="false">COUNTIFS('All Worker Fields'!E:E,A574,'All Worker Fields'!D:D,"Single instance")</f>
        <v>0</v>
      </c>
      <c r="D574" s="32" t="n">
        <f aca="false">COUNTIFS('All Worker Fields'!E:E,A574,'All Worker Fields'!D:D,"Multi-instance")</f>
        <v>1</v>
      </c>
      <c r="E574" s="34" t="s">
        <v>1765</v>
      </c>
    </row>
    <row r="575" customFormat="false" ht="15" hidden="false" customHeight="false" outlineLevel="0" collapsed="false">
      <c r="A575" s="33" t="s">
        <v>1766</v>
      </c>
      <c r="B575" s="32" t="n">
        <v>1</v>
      </c>
      <c r="C575" s="32" t="n">
        <f aca="false">COUNTIFS('All Worker Fields'!E:E,A575,'All Worker Fields'!D:D,"Single instance")</f>
        <v>0</v>
      </c>
      <c r="D575" s="32" t="n">
        <f aca="false">COUNTIFS('All Worker Fields'!E:E,A575,'All Worker Fields'!D:D,"Multi-instance")</f>
        <v>1</v>
      </c>
      <c r="E575" s="34" t="s">
        <v>1767</v>
      </c>
    </row>
    <row r="576" customFormat="false" ht="15" hidden="false" customHeight="false" outlineLevel="0" collapsed="false">
      <c r="A576" s="33" t="s">
        <v>1768</v>
      </c>
      <c r="B576" s="32" t="n">
        <v>1</v>
      </c>
      <c r="C576" s="32" t="n">
        <f aca="false">COUNTIFS('All Worker Fields'!E:E,A576,'All Worker Fields'!D:D,"Single instance")</f>
        <v>0</v>
      </c>
      <c r="D576" s="32" t="n">
        <f aca="false">COUNTIFS('All Worker Fields'!E:E,A576,'All Worker Fields'!D:D,"Multi-instance")</f>
        <v>1</v>
      </c>
      <c r="E576" s="34" t="s">
        <v>1769</v>
      </c>
    </row>
    <row r="577" customFormat="false" ht="15" hidden="false" customHeight="false" outlineLevel="0" collapsed="false">
      <c r="A577" s="33" t="s">
        <v>1770</v>
      </c>
      <c r="B577" s="32" t="n">
        <v>1</v>
      </c>
      <c r="C577" s="32" t="n">
        <f aca="false">COUNTIFS('All Worker Fields'!E:E,A577,'All Worker Fields'!D:D,"Single instance")</f>
        <v>0</v>
      </c>
      <c r="D577" s="32" t="n">
        <f aca="false">COUNTIFS('All Worker Fields'!E:E,A577,'All Worker Fields'!D:D,"Multi-instance")</f>
        <v>1</v>
      </c>
      <c r="E577" s="34" t="s">
        <v>1771</v>
      </c>
    </row>
    <row r="578" customFormat="false" ht="15" hidden="false" customHeight="false" outlineLevel="0" collapsed="false">
      <c r="A578" s="33" t="s">
        <v>1772</v>
      </c>
      <c r="B578" s="32" t="n">
        <v>1</v>
      </c>
      <c r="C578" s="32" t="n">
        <f aca="false">COUNTIFS('All Worker Fields'!E:E,A578,'All Worker Fields'!D:D,"Single instance")</f>
        <v>0</v>
      </c>
      <c r="D578" s="32" t="n">
        <f aca="false">COUNTIFS('All Worker Fields'!E:E,A578,'All Worker Fields'!D:D,"Multi-instance")</f>
        <v>1</v>
      </c>
      <c r="E578" s="34" t="s">
        <v>1773</v>
      </c>
    </row>
    <row r="579" customFormat="false" ht="15" hidden="false" customHeight="false" outlineLevel="0" collapsed="false">
      <c r="A579" s="33" t="s">
        <v>1774</v>
      </c>
      <c r="B579" s="32" t="n">
        <v>1</v>
      </c>
      <c r="C579" s="32" t="n">
        <f aca="false">COUNTIFS('All Worker Fields'!E:E,A579,'All Worker Fields'!D:D,"Single instance")</f>
        <v>0</v>
      </c>
      <c r="D579" s="32" t="n">
        <f aca="false">COUNTIFS('All Worker Fields'!E:E,A579,'All Worker Fields'!D:D,"Multi-instance")</f>
        <v>1</v>
      </c>
      <c r="E579" s="34" t="s">
        <v>1775</v>
      </c>
    </row>
    <row r="580" customFormat="false" ht="15" hidden="false" customHeight="false" outlineLevel="0" collapsed="false">
      <c r="A580" s="33" t="s">
        <v>1776</v>
      </c>
      <c r="B580" s="32" t="n">
        <v>1</v>
      </c>
      <c r="C580" s="32" t="n">
        <f aca="false">COUNTIFS('All Worker Fields'!E:E,A580,'All Worker Fields'!D:D,"Single instance")</f>
        <v>0</v>
      </c>
      <c r="D580" s="32" t="n">
        <f aca="false">COUNTIFS('All Worker Fields'!E:E,A580,'All Worker Fields'!D:D,"Multi-instance")</f>
        <v>0</v>
      </c>
      <c r="E580" s="34"/>
    </row>
    <row r="581" customFormat="false" ht="15" hidden="false" customHeight="false" outlineLevel="0" collapsed="false">
      <c r="A581" s="33" t="s">
        <v>1777</v>
      </c>
      <c r="B581" s="32" t="n">
        <v>1</v>
      </c>
      <c r="C581" s="32" t="n">
        <f aca="false">COUNTIFS('All Worker Fields'!E:E,A581,'All Worker Fields'!D:D,"Single instance")</f>
        <v>0</v>
      </c>
      <c r="D581" s="32" t="n">
        <f aca="false">COUNTIFS('All Worker Fields'!E:E,A581,'All Worker Fields'!D:D,"Multi-instance")</f>
        <v>1</v>
      </c>
      <c r="E581" s="34" t="s">
        <v>1777</v>
      </c>
    </row>
    <row r="582" customFormat="false" ht="15" hidden="false" customHeight="false" outlineLevel="0" collapsed="false">
      <c r="A582" s="33" t="s">
        <v>1778</v>
      </c>
      <c r="B582" s="32" t="n">
        <v>1</v>
      </c>
      <c r="C582" s="32" t="n">
        <f aca="false">COUNTIFS('All Worker Fields'!E:E,A582,'All Worker Fields'!D:D,"Single instance")</f>
        <v>0</v>
      </c>
      <c r="D582" s="32" t="n">
        <f aca="false">COUNTIFS('All Worker Fields'!E:E,A582,'All Worker Fields'!D:D,"Multi-instance")</f>
        <v>1</v>
      </c>
      <c r="E582" s="34" t="s">
        <v>1779</v>
      </c>
    </row>
    <row r="583" customFormat="false" ht="15" hidden="false" customHeight="false" outlineLevel="0" collapsed="false">
      <c r="A583" s="33" t="s">
        <v>1780</v>
      </c>
      <c r="B583" s="32" t="n">
        <v>1</v>
      </c>
      <c r="C583" s="32" t="n">
        <f aca="false">COUNTIFS('All Worker Fields'!E:E,A583,'All Worker Fields'!D:D,"Single instance")</f>
        <v>0</v>
      </c>
      <c r="D583" s="32" t="n">
        <f aca="false">COUNTIFS('All Worker Fields'!E:E,A583,'All Worker Fields'!D:D,"Multi-instance")</f>
        <v>0</v>
      </c>
      <c r="E583" s="34" t="s">
        <v>1781</v>
      </c>
    </row>
    <row r="584" customFormat="false" ht="15" hidden="false" customHeight="false" outlineLevel="0" collapsed="false">
      <c r="A584" s="33" t="s">
        <v>1782</v>
      </c>
      <c r="B584" s="32" t="n">
        <v>1</v>
      </c>
      <c r="C584" s="32" t="n">
        <f aca="false">COUNTIFS('All Worker Fields'!E:E,A584,'All Worker Fields'!D:D,"Single instance")</f>
        <v>0</v>
      </c>
      <c r="D584" s="32" t="n">
        <f aca="false">COUNTIFS('All Worker Fields'!E:E,A584,'All Worker Fields'!D:D,"Multi-instance")</f>
        <v>0</v>
      </c>
      <c r="E584" s="34" t="s">
        <v>1783</v>
      </c>
    </row>
    <row r="585" customFormat="false" ht="15" hidden="false" customHeight="false" outlineLevel="0" collapsed="false">
      <c r="A585" s="33" t="s">
        <v>1784</v>
      </c>
      <c r="B585" s="32" t="n">
        <v>1</v>
      </c>
      <c r="C585" s="32" t="n">
        <f aca="false">COUNTIFS('All Worker Fields'!E:E,A585,'All Worker Fields'!D:D,"Single instance")</f>
        <v>0</v>
      </c>
      <c r="D585" s="32" t="n">
        <f aca="false">COUNTIFS('All Worker Fields'!E:E,A585,'All Worker Fields'!D:D,"Multi-instance")</f>
        <v>1</v>
      </c>
      <c r="E585" s="34" t="s">
        <v>1785</v>
      </c>
    </row>
    <row r="586" customFormat="false" ht="15" hidden="false" customHeight="false" outlineLevel="0" collapsed="false">
      <c r="A586" s="33" t="s">
        <v>1786</v>
      </c>
      <c r="B586" s="32" t="n">
        <v>1</v>
      </c>
      <c r="C586" s="32" t="n">
        <f aca="false">COUNTIFS('All Worker Fields'!E:E,A586,'All Worker Fields'!D:D,"Single instance")</f>
        <v>0</v>
      </c>
      <c r="D586" s="32" t="n">
        <f aca="false">COUNTIFS('All Worker Fields'!E:E,A586,'All Worker Fields'!D:D,"Multi-instance")</f>
        <v>0</v>
      </c>
      <c r="E586" s="34" t="s">
        <v>1787</v>
      </c>
    </row>
    <row r="587" customFormat="false" ht="15" hidden="false" customHeight="false" outlineLevel="0" collapsed="false">
      <c r="A587" s="33" t="s">
        <v>1788</v>
      </c>
      <c r="B587" s="32" t="n">
        <v>1</v>
      </c>
      <c r="C587" s="32" t="n">
        <f aca="false">COUNTIFS('All Worker Fields'!E:E,A587,'All Worker Fields'!D:D,"Single instance")</f>
        <v>0</v>
      </c>
      <c r="D587" s="32" t="n">
        <f aca="false">COUNTIFS('All Worker Fields'!E:E,A587,'All Worker Fields'!D:D,"Multi-instance")</f>
        <v>1</v>
      </c>
      <c r="E587" s="34" t="s">
        <v>1789</v>
      </c>
    </row>
    <row r="588" customFormat="false" ht="15" hidden="false" customHeight="false" outlineLevel="0" collapsed="false">
      <c r="A588" s="33" t="s">
        <v>1790</v>
      </c>
      <c r="B588" s="32" t="n">
        <v>1</v>
      </c>
      <c r="C588" s="32" t="n">
        <f aca="false">COUNTIFS('All Worker Fields'!E:E,A588,'All Worker Fields'!D:D,"Single instance")</f>
        <v>0</v>
      </c>
      <c r="D588" s="32" t="n">
        <f aca="false">COUNTIFS('All Worker Fields'!E:E,A588,'All Worker Fields'!D:D,"Multi-instance")</f>
        <v>1</v>
      </c>
      <c r="E588" s="34" t="s">
        <v>1791</v>
      </c>
    </row>
    <row r="589" customFormat="false" ht="15" hidden="false" customHeight="false" outlineLevel="0" collapsed="false">
      <c r="A589" s="33" t="s">
        <v>1792</v>
      </c>
      <c r="B589" s="32" t="n">
        <v>1</v>
      </c>
      <c r="C589" s="32" t="n">
        <f aca="false">COUNTIFS('All Worker Fields'!E:E,A589,'All Worker Fields'!D:D,"Single instance")</f>
        <v>0</v>
      </c>
      <c r="D589" s="32" t="n">
        <f aca="false">COUNTIFS('All Worker Fields'!E:E,A589,'All Worker Fields'!D:D,"Multi-instance")</f>
        <v>1</v>
      </c>
      <c r="E589" s="34" t="s">
        <v>1792</v>
      </c>
    </row>
    <row r="590" customFormat="false" ht="15" hidden="false" customHeight="false" outlineLevel="0" collapsed="false">
      <c r="A590" s="33" t="s">
        <v>1793</v>
      </c>
      <c r="B590" s="32" t="n">
        <v>1</v>
      </c>
      <c r="C590" s="32" t="n">
        <f aca="false">COUNTIFS('All Worker Fields'!E:E,A590,'All Worker Fields'!D:D,"Single instance")</f>
        <v>0</v>
      </c>
      <c r="D590" s="32" t="n">
        <f aca="false">COUNTIFS('All Worker Fields'!E:E,A590,'All Worker Fields'!D:D,"Multi-instance")</f>
        <v>1</v>
      </c>
      <c r="E590" s="34" t="s">
        <v>1794</v>
      </c>
    </row>
    <row r="591" customFormat="false" ht="15" hidden="false" customHeight="false" outlineLevel="0" collapsed="false">
      <c r="A591" s="33" t="s">
        <v>1795</v>
      </c>
      <c r="B591" s="32" t="n">
        <v>1</v>
      </c>
      <c r="C591" s="32" t="n">
        <f aca="false">COUNTIFS('All Worker Fields'!E:E,A591,'All Worker Fields'!D:D,"Single instance")</f>
        <v>1</v>
      </c>
      <c r="D591" s="32" t="n">
        <f aca="false">COUNTIFS('All Worker Fields'!E:E,A591,'All Worker Fields'!D:D,"Multi-instance")</f>
        <v>0</v>
      </c>
      <c r="E591" s="34" t="s">
        <v>1796</v>
      </c>
    </row>
    <row r="592" customFormat="false" ht="15" hidden="false" customHeight="false" outlineLevel="0" collapsed="false">
      <c r="A592" s="33" t="s">
        <v>1797</v>
      </c>
      <c r="B592" s="32" t="n">
        <v>1</v>
      </c>
      <c r="C592" s="32" t="n">
        <f aca="false">COUNTIFS('All Worker Fields'!E:E,A592,'All Worker Fields'!D:D,"Single instance")</f>
        <v>1</v>
      </c>
      <c r="D592" s="32" t="n">
        <f aca="false">COUNTIFS('All Worker Fields'!E:E,A592,'All Worker Fields'!D:D,"Multi-instance")</f>
        <v>0</v>
      </c>
      <c r="E592" s="34" t="s">
        <v>1798</v>
      </c>
    </row>
    <row r="593" customFormat="false" ht="15" hidden="false" customHeight="false" outlineLevel="0" collapsed="false">
      <c r="A593" s="33" t="s">
        <v>1799</v>
      </c>
      <c r="B593" s="32" t="n">
        <v>1</v>
      </c>
      <c r="C593" s="32" t="n">
        <f aca="false">COUNTIFS('All Worker Fields'!E:E,A593,'All Worker Fields'!D:D,"Single instance")</f>
        <v>0</v>
      </c>
      <c r="D593" s="32" t="n">
        <f aca="false">COUNTIFS('All Worker Fields'!E:E,A593,'All Worker Fields'!D:D,"Multi-instance")</f>
        <v>1</v>
      </c>
      <c r="E593" s="34" t="s">
        <v>1800</v>
      </c>
    </row>
    <row r="594" customFormat="false" ht="15" hidden="false" customHeight="false" outlineLevel="0" collapsed="false">
      <c r="A594" s="33" t="s">
        <v>1801</v>
      </c>
      <c r="B594" s="32" t="n">
        <v>1</v>
      </c>
      <c r="C594" s="32" t="n">
        <f aca="false">COUNTIFS('All Worker Fields'!E:E,A594,'All Worker Fields'!D:D,"Single instance")</f>
        <v>1</v>
      </c>
      <c r="D594" s="32" t="n">
        <f aca="false">COUNTIFS('All Worker Fields'!E:E,A594,'All Worker Fields'!D:D,"Multi-instance")</f>
        <v>0</v>
      </c>
      <c r="E594" s="34" t="s">
        <v>1802</v>
      </c>
    </row>
    <row r="595" customFormat="false" ht="15" hidden="false" customHeight="false" outlineLevel="0" collapsed="false">
      <c r="A595" s="33" t="s">
        <v>1803</v>
      </c>
      <c r="B595" s="32" t="n">
        <v>1</v>
      </c>
      <c r="C595" s="32" t="n">
        <f aca="false">COUNTIFS('All Worker Fields'!E:E,A595,'All Worker Fields'!D:D,"Single instance")</f>
        <v>0</v>
      </c>
      <c r="D595" s="32" t="n">
        <f aca="false">COUNTIFS('All Worker Fields'!E:E,A595,'All Worker Fields'!D:D,"Multi-instance")</f>
        <v>1</v>
      </c>
      <c r="E595" s="34" t="s">
        <v>1804</v>
      </c>
    </row>
    <row r="596" customFormat="false" ht="15" hidden="false" customHeight="false" outlineLevel="0" collapsed="false">
      <c r="A596" s="33" t="s">
        <v>1805</v>
      </c>
      <c r="B596" s="32" t="n">
        <v>1</v>
      </c>
      <c r="C596" s="32" t="n">
        <f aca="false">COUNTIFS('All Worker Fields'!E:E,A596,'All Worker Fields'!D:D,"Single instance")</f>
        <v>0</v>
      </c>
      <c r="D596" s="32" t="n">
        <f aca="false">COUNTIFS('All Worker Fields'!E:E,A596,'All Worker Fields'!D:D,"Multi-instance")</f>
        <v>1</v>
      </c>
      <c r="E596" s="34" t="s">
        <v>1806</v>
      </c>
    </row>
    <row r="597" customFormat="false" ht="15" hidden="false" customHeight="false" outlineLevel="0" collapsed="false">
      <c r="A597" s="33" t="s">
        <v>1807</v>
      </c>
      <c r="B597" s="32" t="n">
        <v>1</v>
      </c>
      <c r="C597" s="32" t="n">
        <f aca="false">COUNTIFS('All Worker Fields'!E:E,A597,'All Worker Fields'!D:D,"Single instance")</f>
        <v>0</v>
      </c>
      <c r="D597" s="32" t="n">
        <f aca="false">COUNTIFS('All Worker Fields'!E:E,A597,'All Worker Fields'!D:D,"Multi-instance")</f>
        <v>1</v>
      </c>
      <c r="E597" s="34" t="s">
        <v>1808</v>
      </c>
    </row>
    <row r="598" customFormat="false" ht="15" hidden="false" customHeight="false" outlineLevel="0" collapsed="false">
      <c r="A598" s="33" t="s">
        <v>780</v>
      </c>
      <c r="B598" s="32" t="n">
        <v>1</v>
      </c>
      <c r="C598" s="32" t="n">
        <f aca="false">COUNTIFS('All Worker Fields'!E:E,A598,'All Worker Fields'!D:D,"Single instance")</f>
        <v>0</v>
      </c>
      <c r="D598" s="32" t="n">
        <f aca="false">COUNTIFS('All Worker Fields'!E:E,A598,'All Worker Fields'!D:D,"Multi-instance")</f>
        <v>1</v>
      </c>
      <c r="E598" s="34" t="s">
        <v>1809</v>
      </c>
    </row>
    <row r="599" customFormat="false" ht="15" hidden="false" customHeight="false" outlineLevel="0" collapsed="false">
      <c r="A599" s="33" t="s">
        <v>1810</v>
      </c>
      <c r="B599" s="32" t="n">
        <v>1</v>
      </c>
      <c r="C599" s="32" t="n">
        <f aca="false">COUNTIFS('All Worker Fields'!E:E,A599,'All Worker Fields'!D:D,"Single instance")</f>
        <v>0</v>
      </c>
      <c r="D599" s="32" t="n">
        <f aca="false">COUNTIFS('All Worker Fields'!E:E,A599,'All Worker Fields'!D:D,"Multi-instance")</f>
        <v>1</v>
      </c>
      <c r="E599" s="34" t="s">
        <v>1811</v>
      </c>
    </row>
    <row r="600" customFormat="false" ht="15" hidden="false" customHeight="false" outlineLevel="0" collapsed="false">
      <c r="A600" s="33" t="s">
        <v>1812</v>
      </c>
      <c r="B600" s="32" t="n">
        <v>1</v>
      </c>
      <c r="C600" s="32" t="n">
        <f aca="false">COUNTIFS('All Worker Fields'!E:E,A600,'All Worker Fields'!D:D,"Single instance")</f>
        <v>1</v>
      </c>
      <c r="D600" s="32" t="n">
        <f aca="false">COUNTIFS('All Worker Fields'!E:E,A600,'All Worker Fields'!D:D,"Multi-instance")</f>
        <v>0</v>
      </c>
      <c r="E600" s="34" t="s">
        <v>1813</v>
      </c>
    </row>
    <row r="601" customFormat="false" ht="15" hidden="false" customHeight="false" outlineLevel="0" collapsed="false">
      <c r="A601" s="33" t="s">
        <v>1814</v>
      </c>
      <c r="B601" s="32" t="n">
        <v>1</v>
      </c>
      <c r="C601" s="32" t="n">
        <f aca="false">COUNTIFS('All Worker Fields'!E:E,A601,'All Worker Fields'!D:D,"Single instance")</f>
        <v>0</v>
      </c>
      <c r="D601" s="32" t="n">
        <f aca="false">COUNTIFS('All Worker Fields'!E:E,A601,'All Worker Fields'!D:D,"Multi-instance")</f>
        <v>1</v>
      </c>
      <c r="E601" s="34" t="s">
        <v>1815</v>
      </c>
    </row>
    <row r="602" customFormat="false" ht="15" hidden="false" customHeight="false" outlineLevel="0" collapsed="false">
      <c r="A602" s="33" t="s">
        <v>545</v>
      </c>
      <c r="B602" s="32" t="n">
        <v>1</v>
      </c>
      <c r="C602" s="32" t="n">
        <f aca="false">COUNTIFS('All Worker Fields'!E:E,A602,'All Worker Fields'!D:D,"Single instance")</f>
        <v>0</v>
      </c>
      <c r="D602" s="32" t="n">
        <f aca="false">COUNTIFS('All Worker Fields'!E:E,A602,'All Worker Fields'!D:D,"Multi-instance")</f>
        <v>1</v>
      </c>
      <c r="E602" s="34" t="s">
        <v>1816</v>
      </c>
    </row>
    <row r="603" customFormat="false" ht="15" hidden="false" customHeight="false" outlineLevel="0" collapsed="false">
      <c r="A603" s="33" t="s">
        <v>1817</v>
      </c>
      <c r="B603" s="32" t="n">
        <v>1</v>
      </c>
      <c r="C603" s="32" t="n">
        <f aca="false">COUNTIFS('All Worker Fields'!E:E,A603,'All Worker Fields'!D:D,"Single instance")</f>
        <v>0</v>
      </c>
      <c r="D603" s="32" t="n">
        <f aca="false">COUNTIFS('All Worker Fields'!E:E,A603,'All Worker Fields'!D:D,"Multi-instance")</f>
        <v>1</v>
      </c>
      <c r="E603" s="34" t="s">
        <v>1818</v>
      </c>
    </row>
    <row r="604" customFormat="false" ht="15" hidden="false" customHeight="false" outlineLevel="0" collapsed="false">
      <c r="A604" s="33" t="s">
        <v>543</v>
      </c>
      <c r="B604" s="32" t="n">
        <v>1</v>
      </c>
      <c r="C604" s="32" t="n">
        <f aca="false">COUNTIFS('All Worker Fields'!E:E,A604,'All Worker Fields'!D:D,"Single instance")</f>
        <v>0</v>
      </c>
      <c r="D604" s="32" t="n">
        <f aca="false">COUNTIFS('All Worker Fields'!E:E,A604,'All Worker Fields'!D:D,"Multi-instance")</f>
        <v>1</v>
      </c>
      <c r="E604" s="34" t="s">
        <v>542</v>
      </c>
    </row>
    <row r="605" customFormat="false" ht="15" hidden="false" customHeight="false" outlineLevel="0" collapsed="false">
      <c r="A605" s="33" t="s">
        <v>1819</v>
      </c>
      <c r="B605" s="32" t="n">
        <v>1</v>
      </c>
      <c r="C605" s="32" t="n">
        <f aca="false">COUNTIFS('All Worker Fields'!E:E,A605,'All Worker Fields'!D:D,"Single instance")</f>
        <v>0</v>
      </c>
      <c r="D605" s="32" t="n">
        <f aca="false">COUNTIFS('All Worker Fields'!E:E,A605,'All Worker Fields'!D:D,"Multi-instance")</f>
        <v>1</v>
      </c>
      <c r="E605" s="34" t="s">
        <v>1820</v>
      </c>
    </row>
    <row r="606" customFormat="false" ht="15" hidden="false" customHeight="false" outlineLevel="0" collapsed="false">
      <c r="A606" s="33" t="s">
        <v>1821</v>
      </c>
      <c r="B606" s="32" t="n">
        <v>1</v>
      </c>
      <c r="C606" s="32" t="n">
        <f aca="false">COUNTIFS('All Worker Fields'!E:E,A606,'All Worker Fields'!D:D,"Single instance")</f>
        <v>0</v>
      </c>
      <c r="D606" s="32" t="n">
        <f aca="false">COUNTIFS('All Worker Fields'!E:E,A606,'All Worker Fields'!D:D,"Multi-instance")</f>
        <v>1</v>
      </c>
      <c r="E606" s="34" t="s">
        <v>1822</v>
      </c>
    </row>
    <row r="607" customFormat="false" ht="15" hidden="false" customHeight="false" outlineLevel="0" collapsed="false">
      <c r="A607" s="33" t="s">
        <v>1823</v>
      </c>
      <c r="B607" s="32" t="n">
        <v>1</v>
      </c>
      <c r="C607" s="32" t="n">
        <f aca="false">COUNTIFS('All Worker Fields'!E:E,A607,'All Worker Fields'!D:D,"Single instance")</f>
        <v>0</v>
      </c>
      <c r="D607" s="32" t="n">
        <f aca="false">COUNTIFS('All Worker Fields'!E:E,A607,'All Worker Fields'!D:D,"Multi-instance")</f>
        <v>1</v>
      </c>
      <c r="E607" s="34" t="s">
        <v>1823</v>
      </c>
    </row>
    <row r="608" customFormat="false" ht="15" hidden="false" customHeight="false" outlineLevel="0" collapsed="false">
      <c r="A608" s="33" t="s">
        <v>1824</v>
      </c>
      <c r="B608" s="32" t="n">
        <v>1</v>
      </c>
      <c r="C608" s="32" t="n">
        <f aca="false">COUNTIFS('All Worker Fields'!E:E,A608,'All Worker Fields'!D:D,"Single instance")</f>
        <v>1</v>
      </c>
      <c r="D608" s="32" t="n">
        <f aca="false">COUNTIFS('All Worker Fields'!E:E,A608,'All Worker Fields'!D:D,"Multi-instance")</f>
        <v>0</v>
      </c>
      <c r="E608" s="34" t="s">
        <v>1824</v>
      </c>
    </row>
    <row r="609" customFormat="false" ht="15" hidden="false" customHeight="false" outlineLevel="0" collapsed="false">
      <c r="A609" s="33" t="s">
        <v>1825</v>
      </c>
      <c r="B609" s="32" t="n">
        <v>1</v>
      </c>
      <c r="C609" s="32" t="n">
        <f aca="false">COUNTIFS('All Worker Fields'!E:E,A609,'All Worker Fields'!D:D,"Single instance")</f>
        <v>1</v>
      </c>
      <c r="D609" s="32" t="n">
        <f aca="false">COUNTIFS('All Worker Fields'!E:E,A609,'All Worker Fields'!D:D,"Multi-instance")</f>
        <v>0</v>
      </c>
      <c r="E609" s="34" t="s">
        <v>1826</v>
      </c>
    </row>
    <row r="610" customFormat="false" ht="15" hidden="false" customHeight="false" outlineLevel="0" collapsed="false">
      <c r="A610" s="33" t="s">
        <v>1827</v>
      </c>
      <c r="B610" s="32" t="n">
        <v>1</v>
      </c>
      <c r="C610" s="32" t="n">
        <f aca="false">COUNTIFS('All Worker Fields'!E:E,A610,'All Worker Fields'!D:D,"Single instance")</f>
        <v>0</v>
      </c>
      <c r="D610" s="32" t="n">
        <f aca="false">COUNTIFS('All Worker Fields'!E:E,A610,'All Worker Fields'!D:D,"Multi-instance")</f>
        <v>1</v>
      </c>
      <c r="E610" s="34" t="s">
        <v>1828</v>
      </c>
    </row>
    <row r="611" customFormat="false" ht="15" hidden="false" customHeight="false" outlineLevel="0" collapsed="false">
      <c r="A611" s="33" t="s">
        <v>1829</v>
      </c>
      <c r="B611" s="32" t="n">
        <v>1</v>
      </c>
      <c r="C611" s="32" t="n">
        <f aca="false">COUNTIFS('All Worker Fields'!E:E,A611,'All Worker Fields'!D:D,"Single instance")</f>
        <v>0</v>
      </c>
      <c r="D611" s="32" t="n">
        <f aca="false">COUNTIFS('All Worker Fields'!E:E,A611,'All Worker Fields'!D:D,"Multi-instance")</f>
        <v>1</v>
      </c>
      <c r="E611" s="34" t="s">
        <v>1829</v>
      </c>
    </row>
    <row r="612" customFormat="false" ht="15" hidden="false" customHeight="false" outlineLevel="0" collapsed="false">
      <c r="A612" s="33" t="s">
        <v>1830</v>
      </c>
      <c r="B612" s="32" t="n">
        <v>1</v>
      </c>
      <c r="C612" s="32" t="n">
        <f aca="false">COUNTIFS('All Worker Fields'!E:E,A612,'All Worker Fields'!D:D,"Single instance")</f>
        <v>0</v>
      </c>
      <c r="D612" s="32" t="n">
        <f aca="false">COUNTIFS('All Worker Fields'!E:E,A612,'All Worker Fields'!D:D,"Multi-instance")</f>
        <v>1</v>
      </c>
      <c r="E612" s="34" t="s">
        <v>1830</v>
      </c>
    </row>
    <row r="613" customFormat="false" ht="15" hidden="false" customHeight="false" outlineLevel="0" collapsed="false">
      <c r="A613" s="33" t="s">
        <v>1831</v>
      </c>
      <c r="B613" s="32" t="n">
        <v>1</v>
      </c>
      <c r="C613" s="32" t="n">
        <f aca="false">COUNTIFS('All Worker Fields'!E:E,A613,'All Worker Fields'!D:D,"Single instance")</f>
        <v>1</v>
      </c>
      <c r="D613" s="32" t="n">
        <f aca="false">COUNTIFS('All Worker Fields'!E:E,A613,'All Worker Fields'!D:D,"Multi-instance")</f>
        <v>0</v>
      </c>
      <c r="E613" s="34" t="s">
        <v>1831</v>
      </c>
    </row>
    <row r="614" customFormat="false" ht="15" hidden="false" customHeight="false" outlineLevel="0" collapsed="false">
      <c r="A614" s="33" t="s">
        <v>1832</v>
      </c>
      <c r="B614" s="32" t="n">
        <v>1</v>
      </c>
      <c r="C614" s="32" t="n">
        <f aca="false">COUNTIFS('All Worker Fields'!E:E,A614,'All Worker Fields'!D:D,"Single instance")</f>
        <v>0</v>
      </c>
      <c r="D614" s="32" t="n">
        <f aca="false">COUNTIFS('All Worker Fields'!E:E,A614,'All Worker Fields'!D:D,"Multi-instance")</f>
        <v>1</v>
      </c>
      <c r="E614" s="34" t="s">
        <v>1833</v>
      </c>
    </row>
    <row r="615" customFormat="false" ht="15" hidden="false" customHeight="false" outlineLevel="0" collapsed="false">
      <c r="A615" s="33" t="s">
        <v>1834</v>
      </c>
      <c r="B615" s="32" t="n">
        <v>1</v>
      </c>
      <c r="C615" s="32" t="n">
        <f aca="false">COUNTIFS('All Worker Fields'!E:E,A615,'All Worker Fields'!D:D,"Single instance")</f>
        <v>1</v>
      </c>
      <c r="D615" s="32" t="n">
        <f aca="false">COUNTIFS('All Worker Fields'!E:E,A615,'All Worker Fields'!D:D,"Multi-instance")</f>
        <v>0</v>
      </c>
      <c r="E615" s="34" t="s">
        <v>1835</v>
      </c>
    </row>
    <row r="616" customFormat="false" ht="15" hidden="false" customHeight="false" outlineLevel="0" collapsed="false">
      <c r="A616" s="33" t="s">
        <v>1836</v>
      </c>
      <c r="B616" s="32" t="n">
        <v>1</v>
      </c>
      <c r="C616" s="32" t="n">
        <f aca="false">COUNTIFS('All Worker Fields'!E:E,A616,'All Worker Fields'!D:D,"Single instance")</f>
        <v>0</v>
      </c>
      <c r="D616" s="32" t="n">
        <f aca="false">COUNTIFS('All Worker Fields'!E:E,A616,'All Worker Fields'!D:D,"Multi-instance")</f>
        <v>1</v>
      </c>
      <c r="E616" s="34" t="s">
        <v>1837</v>
      </c>
    </row>
    <row r="617" customFormat="false" ht="15" hidden="false" customHeight="false" outlineLevel="0" collapsed="false">
      <c r="A617" s="33" t="s">
        <v>1838</v>
      </c>
      <c r="B617" s="32" t="n">
        <v>1</v>
      </c>
      <c r="C617" s="32" t="n">
        <f aca="false">COUNTIFS('All Worker Fields'!E:E,A617,'All Worker Fields'!D:D,"Single instance")</f>
        <v>1</v>
      </c>
      <c r="D617" s="32" t="n">
        <f aca="false">COUNTIFS('All Worker Fields'!E:E,A617,'All Worker Fields'!D:D,"Multi-instance")</f>
        <v>0</v>
      </c>
      <c r="E617" s="34" t="s">
        <v>1839</v>
      </c>
    </row>
    <row r="618" customFormat="false" ht="15" hidden="false" customHeight="false" outlineLevel="0" collapsed="false">
      <c r="A618" s="33" t="s">
        <v>1840</v>
      </c>
      <c r="B618" s="32" t="n">
        <v>1</v>
      </c>
      <c r="C618" s="32" t="n">
        <f aca="false">COUNTIFS('All Worker Fields'!E:E,A618,'All Worker Fields'!D:D,"Single instance")</f>
        <v>1</v>
      </c>
      <c r="D618" s="32" t="n">
        <f aca="false">COUNTIFS('All Worker Fields'!E:E,A618,'All Worker Fields'!D:D,"Multi-instance")</f>
        <v>0</v>
      </c>
      <c r="E618" s="34" t="s">
        <v>1841</v>
      </c>
    </row>
    <row r="619" customFormat="false" ht="15" hidden="false" customHeight="false" outlineLevel="0" collapsed="false">
      <c r="A619" s="33" t="s">
        <v>1842</v>
      </c>
      <c r="B619" s="32" t="n">
        <v>1</v>
      </c>
      <c r="C619" s="32" t="n">
        <f aca="false">COUNTIFS('All Worker Fields'!E:E,A619,'All Worker Fields'!D:D,"Single instance")</f>
        <v>0</v>
      </c>
      <c r="D619" s="32" t="n">
        <f aca="false">COUNTIFS('All Worker Fields'!E:E,A619,'All Worker Fields'!D:D,"Multi-instance")</f>
        <v>1</v>
      </c>
      <c r="E619" s="34" t="s">
        <v>1843</v>
      </c>
    </row>
    <row r="620" customFormat="false" ht="15" hidden="false" customHeight="false" outlineLevel="0" collapsed="false">
      <c r="A620" s="33" t="s">
        <v>1844</v>
      </c>
      <c r="B620" s="32" t="n">
        <v>1</v>
      </c>
      <c r="C620" s="32" t="n">
        <f aca="false">COUNTIFS('All Worker Fields'!E:E,A620,'All Worker Fields'!D:D,"Single instance")</f>
        <v>0</v>
      </c>
      <c r="D620" s="32" t="n">
        <f aca="false">COUNTIFS('All Worker Fields'!E:E,A620,'All Worker Fields'!D:D,"Multi-instance")</f>
        <v>1</v>
      </c>
      <c r="E620" s="34" t="s">
        <v>1845</v>
      </c>
    </row>
    <row r="621" customFormat="false" ht="15" hidden="false" customHeight="false" outlineLevel="0" collapsed="false">
      <c r="A621" s="33" t="s">
        <v>1846</v>
      </c>
      <c r="B621" s="32" t="n">
        <v>1</v>
      </c>
      <c r="C621" s="32" t="n">
        <f aca="false">COUNTIFS('All Worker Fields'!E:E,A621,'All Worker Fields'!D:D,"Single instance")</f>
        <v>1</v>
      </c>
      <c r="D621" s="32" t="n">
        <f aca="false">COUNTIFS('All Worker Fields'!E:E,A621,'All Worker Fields'!D:D,"Multi-instance")</f>
        <v>0</v>
      </c>
      <c r="E621" s="34" t="s">
        <v>1847</v>
      </c>
    </row>
    <row r="622" customFormat="false" ht="15" hidden="false" customHeight="false" outlineLevel="0" collapsed="false">
      <c r="A622" s="33" t="s">
        <v>1848</v>
      </c>
      <c r="B622" s="32" t="n">
        <v>1</v>
      </c>
      <c r="C622" s="32" t="n">
        <f aca="false">COUNTIFS('All Worker Fields'!E:E,A622,'All Worker Fields'!D:D,"Single instance")</f>
        <v>1</v>
      </c>
      <c r="D622" s="32" t="n">
        <f aca="false">COUNTIFS('All Worker Fields'!E:E,A622,'All Worker Fields'!D:D,"Multi-instance")</f>
        <v>0</v>
      </c>
      <c r="E622" s="34" t="s">
        <v>1848</v>
      </c>
    </row>
    <row r="623" customFormat="false" ht="15" hidden="false" customHeight="false" outlineLevel="0" collapsed="false">
      <c r="A623" s="33" t="s">
        <v>1849</v>
      </c>
      <c r="B623" s="32" t="n">
        <v>1</v>
      </c>
      <c r="C623" s="32" t="n">
        <f aca="false">COUNTIFS('All Worker Fields'!E:E,A623,'All Worker Fields'!D:D,"Single instance")</f>
        <v>0</v>
      </c>
      <c r="D623" s="32" t="n">
        <f aca="false">COUNTIFS('All Worker Fields'!E:E,A623,'All Worker Fields'!D:D,"Multi-instance")</f>
        <v>2</v>
      </c>
      <c r="E623" s="34" t="s">
        <v>1850</v>
      </c>
    </row>
    <row r="624" customFormat="false" ht="15" hidden="false" customHeight="false" outlineLevel="0" collapsed="false">
      <c r="A624" s="33" t="s">
        <v>1849</v>
      </c>
      <c r="B624" s="32" t="n">
        <v>1</v>
      </c>
      <c r="C624" s="32" t="n">
        <f aca="false">COUNTIFS('All Worker Fields'!E:E,A624,'All Worker Fields'!D:D,"Single instance")</f>
        <v>0</v>
      </c>
      <c r="D624" s="32" t="n">
        <f aca="false">COUNTIFS('All Worker Fields'!E:E,A624,'All Worker Fields'!D:D,"Multi-instance")</f>
        <v>2</v>
      </c>
      <c r="E624" s="34" t="s">
        <v>1850</v>
      </c>
    </row>
    <row r="625" customFormat="false" ht="15" hidden="false" customHeight="false" outlineLevel="0" collapsed="false">
      <c r="A625" s="33" t="s">
        <v>1851</v>
      </c>
      <c r="B625" s="32" t="n">
        <v>1</v>
      </c>
      <c r="C625" s="32" t="n">
        <f aca="false">COUNTIFS('All Worker Fields'!E:E,A625,'All Worker Fields'!D:D,"Single instance")</f>
        <v>0</v>
      </c>
      <c r="D625" s="32" t="n">
        <f aca="false">COUNTIFS('All Worker Fields'!E:E,A625,'All Worker Fields'!D:D,"Multi-instance")</f>
        <v>1</v>
      </c>
      <c r="E625" s="34" t="s">
        <v>1851</v>
      </c>
    </row>
    <row r="626" customFormat="false" ht="15" hidden="false" customHeight="false" outlineLevel="0" collapsed="false">
      <c r="A626" s="33" t="s">
        <v>1852</v>
      </c>
      <c r="B626" s="32" t="n">
        <v>1</v>
      </c>
      <c r="C626" s="32" t="n">
        <f aca="false">COUNTIFS('All Worker Fields'!E:E,A626,'All Worker Fields'!D:D,"Single instance")</f>
        <v>0</v>
      </c>
      <c r="D626" s="32" t="n">
        <f aca="false">COUNTIFS('All Worker Fields'!E:E,A626,'All Worker Fields'!D:D,"Multi-instance")</f>
        <v>1</v>
      </c>
      <c r="E626" s="34" t="s">
        <v>1853</v>
      </c>
    </row>
    <row r="627" customFormat="false" ht="15" hidden="false" customHeight="false" outlineLevel="0" collapsed="false">
      <c r="A627" s="33" t="s">
        <v>1854</v>
      </c>
      <c r="B627" s="32" t="n">
        <v>1</v>
      </c>
      <c r="C627" s="32" t="n">
        <f aca="false">COUNTIFS('All Worker Fields'!E:E,A627,'All Worker Fields'!D:D,"Single instance")</f>
        <v>1</v>
      </c>
      <c r="D627" s="32" t="n">
        <f aca="false">COUNTIFS('All Worker Fields'!E:E,A627,'All Worker Fields'!D:D,"Multi-instance")</f>
        <v>0</v>
      </c>
      <c r="E627" s="34" t="s">
        <v>1855</v>
      </c>
    </row>
    <row r="628" customFormat="false" ht="15" hidden="false" customHeight="false" outlineLevel="0" collapsed="false">
      <c r="A628" s="33" t="s">
        <v>1856</v>
      </c>
      <c r="B628" s="32" t="n">
        <v>1</v>
      </c>
      <c r="C628" s="32" t="n">
        <f aca="false">COUNTIFS('All Worker Fields'!E:E,A628,'All Worker Fields'!D:D,"Single instance")</f>
        <v>0</v>
      </c>
      <c r="D628" s="32" t="n">
        <f aca="false">COUNTIFS('All Worker Fields'!E:E,A628,'All Worker Fields'!D:D,"Multi-instance")</f>
        <v>1</v>
      </c>
      <c r="E628" s="34" t="s">
        <v>1857</v>
      </c>
    </row>
    <row r="629" customFormat="false" ht="15" hidden="false" customHeight="false" outlineLevel="0" collapsed="false">
      <c r="A629" s="33" t="s">
        <v>1858</v>
      </c>
      <c r="B629" s="32" t="n">
        <v>1</v>
      </c>
      <c r="C629" s="32" t="n">
        <f aca="false">COUNTIFS('All Worker Fields'!E:E,A629,'All Worker Fields'!D:D,"Single instance")</f>
        <v>0</v>
      </c>
      <c r="D629" s="32" t="n">
        <f aca="false">COUNTIFS('All Worker Fields'!E:E,A629,'All Worker Fields'!D:D,"Multi-instance")</f>
        <v>0</v>
      </c>
      <c r="E629" s="34"/>
    </row>
    <row r="630" customFormat="false" ht="15" hidden="false" customHeight="false" outlineLevel="0" collapsed="false">
      <c r="A630" s="33" t="s">
        <v>1859</v>
      </c>
      <c r="B630" s="32" t="n">
        <v>1</v>
      </c>
      <c r="C630" s="32" t="n">
        <f aca="false">COUNTIFS('All Worker Fields'!E:E,A630,'All Worker Fields'!D:D,"Single instance")</f>
        <v>1</v>
      </c>
      <c r="D630" s="32" t="n">
        <f aca="false">COUNTIFS('All Worker Fields'!E:E,A630,'All Worker Fields'!D:D,"Multi-instance")</f>
        <v>0</v>
      </c>
      <c r="E630" s="34" t="s">
        <v>1859</v>
      </c>
    </row>
    <row r="631" customFormat="false" ht="15" hidden="false" customHeight="false" outlineLevel="0" collapsed="false">
      <c r="A631" s="33" t="s">
        <v>1860</v>
      </c>
      <c r="B631" s="32" t="n">
        <v>1</v>
      </c>
      <c r="C631" s="32" t="n">
        <f aca="false">COUNTIFS('All Worker Fields'!E:E,A631,'All Worker Fields'!D:D,"Single instance")</f>
        <v>0</v>
      </c>
      <c r="D631" s="32" t="n">
        <f aca="false">COUNTIFS('All Worker Fields'!E:E,A631,'All Worker Fields'!D:D,"Multi-instance")</f>
        <v>1</v>
      </c>
      <c r="E631" s="34" t="s">
        <v>1861</v>
      </c>
    </row>
    <row r="632" customFormat="false" ht="15" hidden="false" customHeight="false" outlineLevel="0" collapsed="false">
      <c r="A632" s="33" t="s">
        <v>1862</v>
      </c>
      <c r="B632" s="32" t="n">
        <v>1</v>
      </c>
      <c r="C632" s="32" t="n">
        <f aca="false">COUNTIFS('All Worker Fields'!E:E,A632,'All Worker Fields'!D:D,"Single instance")</f>
        <v>1</v>
      </c>
      <c r="D632" s="32" t="n">
        <f aca="false">COUNTIFS('All Worker Fields'!E:E,A632,'All Worker Fields'!D:D,"Multi-instance")</f>
        <v>0</v>
      </c>
      <c r="E632" s="34" t="s">
        <v>1863</v>
      </c>
    </row>
    <row r="633" customFormat="false" ht="15" hidden="false" customHeight="false" outlineLevel="0" collapsed="false">
      <c r="A633" s="33" t="s">
        <v>1864</v>
      </c>
      <c r="B633" s="32" t="n">
        <v>1</v>
      </c>
      <c r="C633" s="32" t="n">
        <f aca="false">COUNTIFS('All Worker Fields'!E:E,A633,'All Worker Fields'!D:D,"Single instance")</f>
        <v>0</v>
      </c>
      <c r="D633" s="32" t="n">
        <f aca="false">COUNTIFS('All Worker Fields'!E:E,A633,'All Worker Fields'!D:D,"Multi-instance")</f>
        <v>1</v>
      </c>
      <c r="E633" s="34" t="s">
        <v>1865</v>
      </c>
    </row>
    <row r="634" customFormat="false" ht="15" hidden="false" customHeight="false" outlineLevel="0" collapsed="false">
      <c r="A634" s="33" t="s">
        <v>1866</v>
      </c>
      <c r="B634" s="32" t="n">
        <v>1</v>
      </c>
      <c r="C634" s="32" t="n">
        <f aca="false">COUNTIFS('All Worker Fields'!E:E,A634,'All Worker Fields'!D:D,"Single instance")</f>
        <v>0</v>
      </c>
      <c r="D634" s="32" t="n">
        <f aca="false">COUNTIFS('All Worker Fields'!E:E,A634,'All Worker Fields'!D:D,"Multi-instance")</f>
        <v>1</v>
      </c>
      <c r="E634" s="34" t="s">
        <v>1866</v>
      </c>
    </row>
    <row r="635" customFormat="false" ht="15" hidden="false" customHeight="false" outlineLevel="0" collapsed="false">
      <c r="A635" s="33" t="s">
        <v>1867</v>
      </c>
      <c r="B635" s="32" t="n">
        <v>1</v>
      </c>
      <c r="C635" s="32" t="n">
        <f aca="false">COUNTIFS('All Worker Fields'!E:E,A635,'All Worker Fields'!D:D,"Single instance")</f>
        <v>1</v>
      </c>
      <c r="D635" s="32" t="n">
        <f aca="false">COUNTIFS('All Worker Fields'!E:E,A635,'All Worker Fields'!D:D,"Multi-instance")</f>
        <v>0</v>
      </c>
      <c r="E635" s="34" t="s">
        <v>1868</v>
      </c>
    </row>
    <row r="636" customFormat="false" ht="15" hidden="false" customHeight="false" outlineLevel="0" collapsed="false">
      <c r="A636" s="33" t="s">
        <v>1869</v>
      </c>
      <c r="B636" s="32" t="n">
        <v>1</v>
      </c>
      <c r="C636" s="32" t="n">
        <f aca="false">COUNTIFS('All Worker Fields'!E:E,A636,'All Worker Fields'!D:D,"Single instance")</f>
        <v>0</v>
      </c>
      <c r="D636" s="32" t="n">
        <f aca="false">COUNTIFS('All Worker Fields'!E:E,A636,'All Worker Fields'!D:D,"Multi-instance")</f>
        <v>1</v>
      </c>
      <c r="E636" s="34" t="s">
        <v>1870</v>
      </c>
    </row>
    <row r="637" customFormat="false" ht="15" hidden="false" customHeight="false" outlineLevel="0" collapsed="false">
      <c r="A637" s="33" t="s">
        <v>863</v>
      </c>
      <c r="B637" s="32" t="n">
        <v>0</v>
      </c>
      <c r="C637" s="32" t="n">
        <f aca="false">COUNTIFS('All Worker Fields'!E:E,A637,'All Worker Fields'!D:D,"Single instance")</f>
        <v>1</v>
      </c>
      <c r="D637" s="32" t="n">
        <f aca="false">COUNTIFS('All Worker Fields'!E:E,A637,'All Worker Fields'!D:D,"Multi-instance")</f>
        <v>4</v>
      </c>
      <c r="E637" s="34" t="s">
        <v>864</v>
      </c>
    </row>
    <row r="638" customFormat="false" ht="15" hidden="false" customHeight="false" outlineLevel="0" collapsed="false">
      <c r="A638" s="33" t="s">
        <v>1871</v>
      </c>
      <c r="B638" s="32" t="n">
        <v>0</v>
      </c>
      <c r="C638" s="32" t="n">
        <f aca="false">COUNTIFS('All Worker Fields'!E:E,A638,'All Worker Fields'!D:D,"Single instance")</f>
        <v>0</v>
      </c>
      <c r="D638" s="32" t="n">
        <f aca="false">COUNTIFS('All Worker Fields'!E:E,A638,'All Worker Fields'!D:D,"Multi-instance")</f>
        <v>0</v>
      </c>
      <c r="E638" s="34"/>
    </row>
    <row r="639" customFormat="false" ht="15" hidden="false" customHeight="false" outlineLevel="0" collapsed="false">
      <c r="A639" s="33" t="s">
        <v>1872</v>
      </c>
      <c r="B639" s="32" t="n">
        <v>0</v>
      </c>
      <c r="C639" s="32" t="n">
        <f aca="false">COUNTIFS('All Worker Fields'!E:E,A639,'All Worker Fields'!D:D,"Single instance")</f>
        <v>0</v>
      </c>
      <c r="D639" s="32" t="n">
        <f aca="false">COUNTIFS('All Worker Fields'!E:E,A639,'All Worker Fields'!D:D,"Multi-instance")</f>
        <v>0</v>
      </c>
      <c r="E639" s="34"/>
    </row>
  </sheetData>
  <autoFilter ref="A4:E6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I32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70"/>
    <col collapsed="false" customWidth="true" hidden="false" outlineLevel="0" max="3" min="3" style="0" width="17"/>
    <col collapsed="false" customWidth="true" hidden="false" outlineLevel="0" max="4" min="4" style="0" width="18"/>
    <col collapsed="false" customWidth="true" hidden="false" outlineLevel="0" max="5" min="5" style="0" width="30"/>
    <col collapsed="false" customWidth="true" hidden="false" outlineLevel="0" max="6" min="6" style="0" width="26"/>
    <col collapsed="false" customWidth="true" hidden="false" outlineLevel="0" max="7" min="7" style="0" width="24"/>
    <col collapsed="false" customWidth="true" hidden="false" outlineLevel="0" max="8" min="8" style="0" width="26"/>
    <col collapsed="false" customWidth="true" hidden="false" outlineLevel="0" max="9" min="9" style="0" width="10"/>
  </cols>
  <sheetData>
    <row r="1" customFormat="false" ht="30" hidden="false" customHeight="true" outlineLevel="0" collapsed="false">
      <c r="A1" s="8" t="s">
        <v>21</v>
      </c>
      <c r="B1" s="8" t="s">
        <v>43</v>
      </c>
      <c r="C1" s="8" t="s">
        <v>27</v>
      </c>
      <c r="D1" s="8" t="s">
        <v>23</v>
      </c>
      <c r="E1" s="8" t="s">
        <v>25</v>
      </c>
      <c r="F1" s="8" t="s">
        <v>29</v>
      </c>
      <c r="G1" s="8" t="s">
        <v>31</v>
      </c>
      <c r="H1" s="8" t="s">
        <v>33</v>
      </c>
      <c r="I1" s="8" t="s">
        <v>1873</v>
      </c>
    </row>
    <row r="2" customFormat="false" ht="15" hidden="false" customHeight="false" outlineLevel="0" collapsed="false">
      <c r="A2" s="35" t="s">
        <v>1874</v>
      </c>
      <c r="B2" s="35" t="s">
        <v>1875</v>
      </c>
      <c r="C2" s="35" t="s">
        <v>48</v>
      </c>
      <c r="D2" s="35" t="s">
        <v>107</v>
      </c>
      <c r="E2" s="35" t="s">
        <v>944</v>
      </c>
      <c r="F2" s="35"/>
      <c r="G2" s="35" t="s">
        <v>687</v>
      </c>
      <c r="H2" s="35" t="s">
        <v>61</v>
      </c>
      <c r="I2" s="4"/>
    </row>
    <row r="3" customFormat="false" ht="15" hidden="false" customHeight="false" outlineLevel="0" collapsed="false">
      <c r="A3" s="35" t="s">
        <v>1876</v>
      </c>
      <c r="B3" s="35" t="s">
        <v>1877</v>
      </c>
      <c r="C3" s="35" t="s">
        <v>48</v>
      </c>
      <c r="D3" s="35" t="s">
        <v>107</v>
      </c>
      <c r="E3" s="35" t="s">
        <v>944</v>
      </c>
      <c r="F3" s="35"/>
      <c r="G3" s="35" t="s">
        <v>687</v>
      </c>
      <c r="H3" s="35" t="s">
        <v>61</v>
      </c>
      <c r="I3" s="4"/>
    </row>
    <row r="4" customFormat="false" ht="15" hidden="false" customHeight="false" outlineLevel="0" collapsed="false">
      <c r="A4" s="35" t="s">
        <v>1276</v>
      </c>
      <c r="B4" s="35" t="s">
        <v>1878</v>
      </c>
      <c r="C4" s="35" t="s">
        <v>48</v>
      </c>
      <c r="D4" s="35" t="s">
        <v>57</v>
      </c>
      <c r="E4" s="35" t="s">
        <v>1275</v>
      </c>
      <c r="F4" s="35"/>
      <c r="G4" s="35" t="s">
        <v>87</v>
      </c>
      <c r="H4" s="35" t="s">
        <v>61</v>
      </c>
      <c r="I4" s="4"/>
    </row>
    <row r="5" customFormat="false" ht="15" hidden="false" customHeight="false" outlineLevel="0" collapsed="false">
      <c r="A5" s="35" t="s">
        <v>1274</v>
      </c>
      <c r="B5" s="35" t="s">
        <v>1879</v>
      </c>
      <c r="C5" s="35" t="s">
        <v>48</v>
      </c>
      <c r="D5" s="35" t="s">
        <v>107</v>
      </c>
      <c r="E5" s="35" t="s">
        <v>1274</v>
      </c>
      <c r="F5" s="35"/>
      <c r="G5" s="35" t="s">
        <v>87</v>
      </c>
      <c r="H5" s="35" t="s">
        <v>61</v>
      </c>
      <c r="I5" s="4"/>
    </row>
    <row r="6" customFormat="false" ht="15" hidden="false" customHeight="false" outlineLevel="0" collapsed="false">
      <c r="A6" s="35" t="s">
        <v>1880</v>
      </c>
      <c r="B6" s="35"/>
      <c r="C6" s="35" t="s">
        <v>632</v>
      </c>
      <c r="D6" s="35" t="s">
        <v>57</v>
      </c>
      <c r="E6" s="35" t="s">
        <v>45</v>
      </c>
      <c r="F6" s="35"/>
      <c r="G6" s="35" t="s">
        <v>421</v>
      </c>
      <c r="H6" s="35" t="s">
        <v>369</v>
      </c>
      <c r="I6" s="4"/>
    </row>
    <row r="7" customFormat="false" ht="15" hidden="false" customHeight="false" outlineLevel="0" collapsed="false">
      <c r="A7" s="35" t="s">
        <v>1881</v>
      </c>
      <c r="B7" s="35"/>
      <c r="C7" s="35" t="s">
        <v>632</v>
      </c>
      <c r="D7" s="35" t="s">
        <v>146</v>
      </c>
      <c r="E7" s="35"/>
      <c r="F7" s="35"/>
      <c r="G7" s="35" t="s">
        <v>421</v>
      </c>
      <c r="H7" s="35" t="s">
        <v>61</v>
      </c>
      <c r="I7" s="4"/>
    </row>
    <row r="8" customFormat="false" ht="15" hidden="false" customHeight="false" outlineLevel="0" collapsed="false">
      <c r="A8" s="35" t="s">
        <v>1882</v>
      </c>
      <c r="B8" s="35"/>
      <c r="C8" s="35" t="s">
        <v>632</v>
      </c>
      <c r="D8" s="35" t="s">
        <v>114</v>
      </c>
      <c r="E8" s="35"/>
      <c r="F8" s="35"/>
      <c r="G8" s="35" t="s">
        <v>727</v>
      </c>
      <c r="H8" s="35" t="s">
        <v>369</v>
      </c>
      <c r="I8" s="4"/>
    </row>
    <row r="9" customFormat="false" ht="15" hidden="false" customHeight="false" outlineLevel="0" collapsed="false">
      <c r="A9" s="35" t="s">
        <v>1883</v>
      </c>
      <c r="B9" s="35"/>
      <c r="C9" s="35" t="s">
        <v>632</v>
      </c>
      <c r="D9" s="35" t="s">
        <v>114</v>
      </c>
      <c r="E9" s="35"/>
      <c r="F9" s="35"/>
      <c r="G9" s="35" t="s">
        <v>535</v>
      </c>
      <c r="H9" s="35" t="s">
        <v>369</v>
      </c>
      <c r="I9" s="4"/>
    </row>
    <row r="10" customFormat="false" ht="15" hidden="false" customHeight="false" outlineLevel="0" collapsed="false">
      <c r="A10" s="35" t="s">
        <v>1884</v>
      </c>
      <c r="B10" s="35"/>
      <c r="C10" s="35" t="s">
        <v>632</v>
      </c>
      <c r="D10" s="35" t="s">
        <v>114</v>
      </c>
      <c r="E10" s="35"/>
      <c r="F10" s="35"/>
      <c r="G10" s="35" t="s">
        <v>421</v>
      </c>
      <c r="H10" s="35" t="s">
        <v>369</v>
      </c>
      <c r="I10" s="4"/>
    </row>
    <row r="11" customFormat="false" ht="15" hidden="false" customHeight="false" outlineLevel="0" collapsed="false">
      <c r="A11" s="35" t="s">
        <v>1885</v>
      </c>
      <c r="B11" s="35"/>
      <c r="C11" s="35" t="s">
        <v>632</v>
      </c>
      <c r="D11" s="35" t="s">
        <v>146</v>
      </c>
      <c r="E11" s="35"/>
      <c r="F11" s="35"/>
      <c r="G11" s="35" t="s">
        <v>421</v>
      </c>
      <c r="H11" s="35" t="s">
        <v>61</v>
      </c>
      <c r="I11" s="4"/>
    </row>
    <row r="12" customFormat="false" ht="15" hidden="false" customHeight="false" outlineLevel="0" collapsed="false">
      <c r="A12" s="35" t="s">
        <v>1886</v>
      </c>
      <c r="B12" s="35"/>
      <c r="C12" s="35" t="s">
        <v>632</v>
      </c>
      <c r="D12" s="35" t="s">
        <v>146</v>
      </c>
      <c r="E12" s="35"/>
      <c r="F12" s="35"/>
      <c r="G12" s="35" t="s">
        <v>421</v>
      </c>
      <c r="H12" s="35" t="s">
        <v>61</v>
      </c>
      <c r="I12" s="4"/>
    </row>
    <row r="13" customFormat="false" ht="15" hidden="false" customHeight="false" outlineLevel="0" collapsed="false">
      <c r="A13" s="35" t="s">
        <v>1277</v>
      </c>
      <c r="B13" s="35" t="s">
        <v>1887</v>
      </c>
      <c r="C13" s="35" t="s">
        <v>48</v>
      </c>
      <c r="D13" s="35" t="s">
        <v>107</v>
      </c>
      <c r="E13" s="35" t="s">
        <v>1277</v>
      </c>
      <c r="F13" s="35"/>
      <c r="G13" s="35" t="s">
        <v>45</v>
      </c>
      <c r="H13" s="35" t="s">
        <v>61</v>
      </c>
      <c r="I13" s="4"/>
    </row>
    <row r="14" customFormat="false" ht="15" hidden="false" customHeight="false" outlineLevel="0" collapsed="false">
      <c r="A14" s="35" t="s">
        <v>1279</v>
      </c>
      <c r="B14" s="35" t="s">
        <v>1888</v>
      </c>
      <c r="C14" s="35" t="s">
        <v>48</v>
      </c>
      <c r="D14" s="35" t="s">
        <v>107</v>
      </c>
      <c r="E14" s="35" t="s">
        <v>1278</v>
      </c>
      <c r="F14" s="35" t="s">
        <v>1889</v>
      </c>
      <c r="G14" s="35" t="s">
        <v>545</v>
      </c>
      <c r="H14" s="35" t="s">
        <v>61</v>
      </c>
      <c r="I14" s="4"/>
    </row>
    <row r="15" customFormat="false" ht="15" hidden="false" customHeight="false" outlineLevel="0" collapsed="false">
      <c r="A15" s="35" t="s">
        <v>1890</v>
      </c>
      <c r="B15" s="35" t="s">
        <v>1891</v>
      </c>
      <c r="C15" s="35" t="s">
        <v>48</v>
      </c>
      <c r="D15" s="35" t="s">
        <v>114</v>
      </c>
      <c r="E15" s="35"/>
      <c r="F15" s="35" t="s">
        <v>1892</v>
      </c>
      <c r="G15" s="35" t="s">
        <v>688</v>
      </c>
      <c r="H15" s="35" t="s">
        <v>61</v>
      </c>
      <c r="I15" s="4"/>
    </row>
    <row r="16" customFormat="false" ht="15" hidden="false" customHeight="false" outlineLevel="0" collapsed="false">
      <c r="A16" s="35" t="s">
        <v>1893</v>
      </c>
      <c r="B16" s="35" t="s">
        <v>1894</v>
      </c>
      <c r="C16" s="35" t="s">
        <v>48</v>
      </c>
      <c r="D16" s="35" t="s">
        <v>114</v>
      </c>
      <c r="E16" s="35"/>
      <c r="F16" s="35" t="s">
        <v>1892</v>
      </c>
      <c r="G16" s="35" t="s">
        <v>688</v>
      </c>
      <c r="H16" s="35" t="s">
        <v>61</v>
      </c>
      <c r="I16" s="4"/>
    </row>
    <row r="17" customFormat="false" ht="15" hidden="false" customHeight="false" outlineLevel="0" collapsed="false">
      <c r="A17" s="35" t="s">
        <v>1895</v>
      </c>
      <c r="B17" s="35" t="s">
        <v>1896</v>
      </c>
      <c r="C17" s="35" t="s">
        <v>48</v>
      </c>
      <c r="D17" s="35" t="s">
        <v>114</v>
      </c>
      <c r="E17" s="35"/>
      <c r="F17" s="35" t="s">
        <v>1892</v>
      </c>
      <c r="G17" s="35" t="s">
        <v>688</v>
      </c>
      <c r="H17" s="35" t="s">
        <v>61</v>
      </c>
      <c r="I17" s="4"/>
    </row>
    <row r="18" customFormat="false" ht="15" hidden="false" customHeight="false" outlineLevel="0" collapsed="false">
      <c r="A18" s="35" t="s">
        <v>1897</v>
      </c>
      <c r="B18" s="35" t="s">
        <v>1898</v>
      </c>
      <c r="C18" s="35" t="s">
        <v>48</v>
      </c>
      <c r="D18" s="35" t="s">
        <v>114</v>
      </c>
      <c r="E18" s="35"/>
      <c r="F18" s="35" t="s">
        <v>1892</v>
      </c>
      <c r="G18" s="35" t="s">
        <v>688</v>
      </c>
      <c r="H18" s="35" t="s">
        <v>61</v>
      </c>
      <c r="I18" s="4"/>
    </row>
    <row r="19" customFormat="false" ht="15" hidden="false" customHeight="false" outlineLevel="0" collapsed="false">
      <c r="A19" s="35" t="s">
        <v>1899</v>
      </c>
      <c r="B19" s="35" t="s">
        <v>1900</v>
      </c>
      <c r="C19" s="35" t="s">
        <v>48</v>
      </c>
      <c r="D19" s="35" t="s">
        <v>114</v>
      </c>
      <c r="E19" s="35"/>
      <c r="F19" s="35" t="s">
        <v>1892</v>
      </c>
      <c r="G19" s="35" t="s">
        <v>688</v>
      </c>
      <c r="H19" s="35" t="s">
        <v>61</v>
      </c>
      <c r="I19" s="4"/>
    </row>
    <row r="20" customFormat="false" ht="15" hidden="false" customHeight="false" outlineLevel="0" collapsed="false">
      <c r="A20" s="35" t="s">
        <v>1901</v>
      </c>
      <c r="B20" s="35" t="s">
        <v>1902</v>
      </c>
      <c r="C20" s="35" t="s">
        <v>48</v>
      </c>
      <c r="D20" s="35" t="s">
        <v>114</v>
      </c>
      <c r="E20" s="35"/>
      <c r="F20" s="35" t="s">
        <v>1892</v>
      </c>
      <c r="G20" s="35" t="s">
        <v>688</v>
      </c>
      <c r="H20" s="35" t="s">
        <v>61</v>
      </c>
      <c r="I20" s="4"/>
    </row>
    <row r="21" customFormat="false" ht="15" hidden="false" customHeight="false" outlineLevel="0" collapsed="false">
      <c r="A21" s="35" t="s">
        <v>1903</v>
      </c>
      <c r="B21" s="35" t="s">
        <v>1904</v>
      </c>
      <c r="C21" s="35" t="s">
        <v>48</v>
      </c>
      <c r="D21" s="35" t="s">
        <v>114</v>
      </c>
      <c r="E21" s="35"/>
      <c r="F21" s="35" t="s">
        <v>1892</v>
      </c>
      <c r="G21" s="35" t="s">
        <v>688</v>
      </c>
      <c r="H21" s="35" t="s">
        <v>61</v>
      </c>
      <c r="I21" s="4"/>
    </row>
    <row r="22" customFormat="false" ht="15" hidden="false" customHeight="false" outlineLevel="0" collapsed="false">
      <c r="A22" s="35" t="s">
        <v>1905</v>
      </c>
      <c r="B22" s="35" t="s">
        <v>1906</v>
      </c>
      <c r="C22" s="35" t="s">
        <v>48</v>
      </c>
      <c r="D22" s="35" t="s">
        <v>114</v>
      </c>
      <c r="E22" s="35"/>
      <c r="F22" s="35" t="s">
        <v>1892</v>
      </c>
      <c r="G22" s="35" t="s">
        <v>688</v>
      </c>
      <c r="H22" s="35" t="s">
        <v>61</v>
      </c>
      <c r="I22" s="4"/>
    </row>
    <row r="23" customFormat="false" ht="15" hidden="false" customHeight="false" outlineLevel="0" collapsed="false">
      <c r="A23" s="35" t="s">
        <v>1907</v>
      </c>
      <c r="B23" s="35" t="s">
        <v>1908</v>
      </c>
      <c r="C23" s="35" t="s">
        <v>48</v>
      </c>
      <c r="D23" s="35" t="s">
        <v>114</v>
      </c>
      <c r="E23" s="35"/>
      <c r="F23" s="35" t="s">
        <v>1892</v>
      </c>
      <c r="G23" s="35" t="s">
        <v>688</v>
      </c>
      <c r="H23" s="35" t="s">
        <v>61</v>
      </c>
      <c r="I23" s="4"/>
    </row>
    <row r="24" customFormat="false" ht="15" hidden="false" customHeight="false" outlineLevel="0" collapsed="false">
      <c r="A24" s="35" t="s">
        <v>1909</v>
      </c>
      <c r="B24" s="35" t="s">
        <v>1910</v>
      </c>
      <c r="C24" s="35" t="s">
        <v>48</v>
      </c>
      <c r="D24" s="35" t="s">
        <v>114</v>
      </c>
      <c r="E24" s="35"/>
      <c r="F24" s="35" t="s">
        <v>1892</v>
      </c>
      <c r="G24" s="35" t="s">
        <v>688</v>
      </c>
      <c r="H24" s="35" t="s">
        <v>61</v>
      </c>
      <c r="I24" s="4"/>
    </row>
    <row r="25" customFormat="false" ht="15" hidden="false" customHeight="false" outlineLevel="0" collapsed="false">
      <c r="A25" s="35" t="s">
        <v>1911</v>
      </c>
      <c r="B25" s="35" t="s">
        <v>1912</v>
      </c>
      <c r="C25" s="35" t="s">
        <v>48</v>
      </c>
      <c r="D25" s="35" t="s">
        <v>114</v>
      </c>
      <c r="E25" s="35"/>
      <c r="F25" s="35" t="s">
        <v>1892</v>
      </c>
      <c r="G25" s="35" t="s">
        <v>688</v>
      </c>
      <c r="H25" s="35" t="s">
        <v>61</v>
      </c>
      <c r="I25" s="4"/>
    </row>
    <row r="26" customFormat="false" ht="15" hidden="false" customHeight="false" outlineLevel="0" collapsed="false">
      <c r="A26" s="35" t="s">
        <v>1913</v>
      </c>
      <c r="B26" s="35" t="s">
        <v>1914</v>
      </c>
      <c r="C26" s="35" t="s">
        <v>48</v>
      </c>
      <c r="D26" s="35" t="s">
        <v>114</v>
      </c>
      <c r="E26" s="35"/>
      <c r="F26" s="35" t="s">
        <v>1892</v>
      </c>
      <c r="G26" s="35" t="s">
        <v>688</v>
      </c>
      <c r="H26" s="35" t="s">
        <v>61</v>
      </c>
      <c r="I26" s="4"/>
    </row>
    <row r="27" customFormat="false" ht="15" hidden="false" customHeight="false" outlineLevel="0" collapsed="false">
      <c r="A27" s="35" t="s">
        <v>1915</v>
      </c>
      <c r="B27" s="35" t="s">
        <v>1916</v>
      </c>
      <c r="C27" s="35" t="s">
        <v>48</v>
      </c>
      <c r="D27" s="35" t="s">
        <v>114</v>
      </c>
      <c r="E27" s="35"/>
      <c r="F27" s="35" t="s">
        <v>1892</v>
      </c>
      <c r="G27" s="35" t="s">
        <v>688</v>
      </c>
      <c r="H27" s="35" t="s">
        <v>61</v>
      </c>
      <c r="I27" s="4"/>
    </row>
    <row r="28" customFormat="false" ht="15" hidden="false" customHeight="false" outlineLevel="0" collapsed="false">
      <c r="A28" s="35" t="s">
        <v>1917</v>
      </c>
      <c r="B28" s="35" t="s">
        <v>1918</v>
      </c>
      <c r="C28" s="35" t="s">
        <v>48</v>
      </c>
      <c r="D28" s="35" t="s">
        <v>114</v>
      </c>
      <c r="E28" s="35"/>
      <c r="F28" s="35" t="s">
        <v>1892</v>
      </c>
      <c r="G28" s="35" t="s">
        <v>688</v>
      </c>
      <c r="H28" s="35" t="s">
        <v>61</v>
      </c>
      <c r="I28" s="4"/>
    </row>
    <row r="29" customFormat="false" ht="15" hidden="false" customHeight="false" outlineLevel="0" collapsed="false">
      <c r="A29" s="35" t="s">
        <v>1919</v>
      </c>
      <c r="B29" s="35" t="s">
        <v>1920</v>
      </c>
      <c r="C29" s="35" t="s">
        <v>48</v>
      </c>
      <c r="D29" s="35" t="s">
        <v>114</v>
      </c>
      <c r="E29" s="35"/>
      <c r="F29" s="35" t="s">
        <v>1892</v>
      </c>
      <c r="G29" s="35" t="s">
        <v>688</v>
      </c>
      <c r="H29" s="35" t="s">
        <v>61</v>
      </c>
      <c r="I29" s="4"/>
    </row>
    <row r="30" customFormat="false" ht="15" hidden="false" customHeight="false" outlineLevel="0" collapsed="false">
      <c r="A30" s="35" t="s">
        <v>1921</v>
      </c>
      <c r="B30" s="35" t="s">
        <v>1922</v>
      </c>
      <c r="C30" s="35" t="s">
        <v>48</v>
      </c>
      <c r="D30" s="35" t="s">
        <v>114</v>
      </c>
      <c r="E30" s="35"/>
      <c r="F30" s="35" t="s">
        <v>1892</v>
      </c>
      <c r="G30" s="35" t="s">
        <v>688</v>
      </c>
      <c r="H30" s="35" t="s">
        <v>61</v>
      </c>
      <c r="I30" s="4"/>
    </row>
    <row r="31" customFormat="false" ht="15" hidden="false" customHeight="false" outlineLevel="0" collapsed="false">
      <c r="A31" s="35" t="s">
        <v>1923</v>
      </c>
      <c r="B31" s="35" t="s">
        <v>1924</v>
      </c>
      <c r="C31" s="35" t="s">
        <v>48</v>
      </c>
      <c r="D31" s="35" t="s">
        <v>114</v>
      </c>
      <c r="E31" s="35"/>
      <c r="F31" s="35" t="s">
        <v>1892</v>
      </c>
      <c r="G31" s="35" t="s">
        <v>688</v>
      </c>
      <c r="H31" s="35" t="s">
        <v>61</v>
      </c>
      <c r="I31" s="4"/>
    </row>
    <row r="32" customFormat="false" ht="15" hidden="false" customHeight="false" outlineLevel="0" collapsed="false">
      <c r="A32" s="35" t="s">
        <v>1925</v>
      </c>
      <c r="B32" s="35" t="s">
        <v>1926</v>
      </c>
      <c r="C32" s="35" t="s">
        <v>48</v>
      </c>
      <c r="D32" s="35" t="s">
        <v>114</v>
      </c>
      <c r="E32" s="35"/>
      <c r="F32" s="35" t="s">
        <v>1892</v>
      </c>
      <c r="G32" s="35" t="s">
        <v>688</v>
      </c>
      <c r="H32" s="35" t="s">
        <v>61</v>
      </c>
      <c r="I32" s="4"/>
    </row>
    <row r="33" customFormat="false" ht="15" hidden="false" customHeight="false" outlineLevel="0" collapsed="false">
      <c r="A33" s="35" t="s">
        <v>1927</v>
      </c>
      <c r="B33" s="35" t="s">
        <v>1928</v>
      </c>
      <c r="C33" s="35" t="s">
        <v>48</v>
      </c>
      <c r="D33" s="35" t="s">
        <v>114</v>
      </c>
      <c r="E33" s="35"/>
      <c r="F33" s="35" t="s">
        <v>1892</v>
      </c>
      <c r="G33" s="35" t="s">
        <v>688</v>
      </c>
      <c r="H33" s="35" t="s">
        <v>61</v>
      </c>
      <c r="I33" s="4"/>
    </row>
    <row r="34" customFormat="false" ht="15" hidden="false" customHeight="false" outlineLevel="0" collapsed="false">
      <c r="A34" s="35" t="s">
        <v>1929</v>
      </c>
      <c r="B34" s="35" t="s">
        <v>1930</v>
      </c>
      <c r="C34" s="35" t="s">
        <v>48</v>
      </c>
      <c r="D34" s="35" t="s">
        <v>114</v>
      </c>
      <c r="E34" s="35"/>
      <c r="F34" s="35" t="s">
        <v>1892</v>
      </c>
      <c r="G34" s="35" t="s">
        <v>688</v>
      </c>
      <c r="H34" s="35" t="s">
        <v>61</v>
      </c>
      <c r="I34" s="4"/>
    </row>
    <row r="35" customFormat="false" ht="15" hidden="false" customHeight="false" outlineLevel="0" collapsed="false">
      <c r="A35" s="35" t="s">
        <v>1931</v>
      </c>
      <c r="B35" s="35" t="s">
        <v>1932</v>
      </c>
      <c r="C35" s="35" t="s">
        <v>48</v>
      </c>
      <c r="D35" s="35" t="s">
        <v>114</v>
      </c>
      <c r="E35" s="35"/>
      <c r="F35" s="35" t="s">
        <v>1892</v>
      </c>
      <c r="G35" s="35" t="s">
        <v>688</v>
      </c>
      <c r="H35" s="35" t="s">
        <v>61</v>
      </c>
      <c r="I35" s="4"/>
    </row>
    <row r="36" customFormat="false" ht="15" hidden="false" customHeight="false" outlineLevel="0" collapsed="false">
      <c r="A36" s="35" t="s">
        <v>1933</v>
      </c>
      <c r="B36" s="35" t="s">
        <v>1934</v>
      </c>
      <c r="C36" s="35" t="s">
        <v>48</v>
      </c>
      <c r="D36" s="35" t="s">
        <v>114</v>
      </c>
      <c r="E36" s="35"/>
      <c r="F36" s="35" t="s">
        <v>1892</v>
      </c>
      <c r="G36" s="35" t="s">
        <v>688</v>
      </c>
      <c r="H36" s="35" t="s">
        <v>61</v>
      </c>
      <c r="I36" s="4"/>
    </row>
    <row r="37" customFormat="false" ht="15" hidden="false" customHeight="false" outlineLevel="0" collapsed="false">
      <c r="A37" s="35" t="s">
        <v>1935</v>
      </c>
      <c r="B37" s="35" t="s">
        <v>1936</v>
      </c>
      <c r="C37" s="35" t="s">
        <v>48</v>
      </c>
      <c r="D37" s="35" t="s">
        <v>114</v>
      </c>
      <c r="E37" s="35"/>
      <c r="F37" s="35" t="s">
        <v>1892</v>
      </c>
      <c r="G37" s="35" t="s">
        <v>688</v>
      </c>
      <c r="H37" s="35" t="s">
        <v>61</v>
      </c>
      <c r="I37" s="4"/>
    </row>
    <row r="38" customFormat="false" ht="15" hidden="false" customHeight="false" outlineLevel="0" collapsed="false">
      <c r="A38" s="35" t="s">
        <v>1937</v>
      </c>
      <c r="B38" s="35" t="s">
        <v>1938</v>
      </c>
      <c r="C38" s="35" t="s">
        <v>48</v>
      </c>
      <c r="D38" s="35" t="s">
        <v>114</v>
      </c>
      <c r="E38" s="35"/>
      <c r="F38" s="35" t="s">
        <v>1892</v>
      </c>
      <c r="G38" s="35" t="s">
        <v>688</v>
      </c>
      <c r="H38" s="35" t="s">
        <v>61</v>
      </c>
      <c r="I38" s="4"/>
    </row>
    <row r="39" customFormat="false" ht="15" hidden="false" customHeight="false" outlineLevel="0" collapsed="false">
      <c r="A39" s="35" t="s">
        <v>1285</v>
      </c>
      <c r="B39" s="35" t="s">
        <v>1939</v>
      </c>
      <c r="C39" s="35" t="s">
        <v>48</v>
      </c>
      <c r="D39" s="35" t="s">
        <v>107</v>
      </c>
      <c r="E39" s="35" t="s">
        <v>1284</v>
      </c>
      <c r="F39" s="35"/>
      <c r="G39" s="35" t="s">
        <v>681</v>
      </c>
      <c r="H39" s="35" t="s">
        <v>61</v>
      </c>
      <c r="I39" s="4"/>
    </row>
    <row r="40" customFormat="false" ht="15" hidden="false" customHeight="false" outlineLevel="0" collapsed="false">
      <c r="A40" s="35" t="s">
        <v>1317</v>
      </c>
      <c r="B40" s="35" t="s">
        <v>1940</v>
      </c>
      <c r="C40" s="35" t="s">
        <v>48</v>
      </c>
      <c r="D40" s="35" t="s">
        <v>107</v>
      </c>
      <c r="E40" s="35" t="s">
        <v>1316</v>
      </c>
      <c r="F40" s="35"/>
      <c r="G40" s="35" t="s">
        <v>49</v>
      </c>
      <c r="H40" s="35" t="s">
        <v>49</v>
      </c>
      <c r="I40" s="4"/>
    </row>
    <row r="41" customFormat="false" ht="15" hidden="false" customHeight="false" outlineLevel="0" collapsed="false">
      <c r="A41" s="35" t="s">
        <v>1286</v>
      </c>
      <c r="B41" s="35" t="s">
        <v>1941</v>
      </c>
      <c r="C41" s="35" t="s">
        <v>48</v>
      </c>
      <c r="D41" s="35" t="s">
        <v>57</v>
      </c>
      <c r="E41" s="35" t="s">
        <v>1286</v>
      </c>
      <c r="F41" s="35"/>
      <c r="G41" s="35" t="s">
        <v>703</v>
      </c>
      <c r="H41" s="35" t="s">
        <v>61</v>
      </c>
      <c r="I41" s="4"/>
    </row>
    <row r="42" customFormat="false" ht="15" hidden="false" customHeight="false" outlineLevel="0" collapsed="false">
      <c r="A42" s="35" t="s">
        <v>1323</v>
      </c>
      <c r="B42" s="35" t="s">
        <v>1942</v>
      </c>
      <c r="C42" s="35" t="s">
        <v>48</v>
      </c>
      <c r="D42" s="35" t="s">
        <v>107</v>
      </c>
      <c r="E42" s="35" t="s">
        <v>1322</v>
      </c>
      <c r="F42" s="35"/>
      <c r="G42" s="35" t="s">
        <v>690</v>
      </c>
      <c r="H42" s="35" t="s">
        <v>61</v>
      </c>
      <c r="I42" s="4"/>
    </row>
    <row r="43" customFormat="false" ht="15" hidden="false" customHeight="false" outlineLevel="0" collapsed="false">
      <c r="A43" s="35" t="s">
        <v>1943</v>
      </c>
      <c r="B43" s="35" t="s">
        <v>1944</v>
      </c>
      <c r="C43" s="35" t="s">
        <v>48</v>
      </c>
      <c r="D43" s="35" t="s">
        <v>114</v>
      </c>
      <c r="E43" s="35"/>
      <c r="F43" s="35"/>
      <c r="G43" s="35" t="s">
        <v>690</v>
      </c>
      <c r="H43" s="35" t="s">
        <v>61</v>
      </c>
      <c r="I43" s="4"/>
    </row>
    <row r="44" customFormat="false" ht="15" hidden="false" customHeight="false" outlineLevel="0" collapsed="false">
      <c r="A44" s="35" t="s">
        <v>1945</v>
      </c>
      <c r="B44" s="35" t="s">
        <v>1946</v>
      </c>
      <c r="C44" s="35" t="s">
        <v>48</v>
      </c>
      <c r="D44" s="35" t="s">
        <v>107</v>
      </c>
      <c r="E44" s="35" t="s">
        <v>899</v>
      </c>
      <c r="F44" s="35"/>
      <c r="G44" s="35" t="s">
        <v>690</v>
      </c>
      <c r="H44" s="35" t="s">
        <v>61</v>
      </c>
      <c r="I44" s="4"/>
    </row>
    <row r="45" customFormat="false" ht="15" hidden="false" customHeight="false" outlineLevel="0" collapsed="false">
      <c r="A45" s="35" t="s">
        <v>690</v>
      </c>
      <c r="B45" s="35" t="s">
        <v>1947</v>
      </c>
      <c r="C45" s="35" t="s">
        <v>48</v>
      </c>
      <c r="D45" s="35" t="s">
        <v>107</v>
      </c>
      <c r="E45" s="35" t="s">
        <v>899</v>
      </c>
      <c r="F45" s="35"/>
      <c r="G45" s="35" t="s">
        <v>690</v>
      </c>
      <c r="H45" s="35" t="s">
        <v>61</v>
      </c>
      <c r="I45" s="4"/>
    </row>
    <row r="46" customFormat="false" ht="15" hidden="false" customHeight="false" outlineLevel="0" collapsed="false">
      <c r="A46" s="35" t="s">
        <v>1948</v>
      </c>
      <c r="B46" s="35" t="s">
        <v>1949</v>
      </c>
      <c r="C46" s="35" t="s">
        <v>48</v>
      </c>
      <c r="D46" s="35" t="s">
        <v>107</v>
      </c>
      <c r="E46" s="35" t="s">
        <v>899</v>
      </c>
      <c r="F46" s="35"/>
      <c r="G46" s="35" t="s">
        <v>690</v>
      </c>
      <c r="H46" s="35" t="s">
        <v>49</v>
      </c>
      <c r="I46" s="4"/>
    </row>
    <row r="47" customFormat="false" ht="15" hidden="false" customHeight="false" outlineLevel="0" collapsed="false">
      <c r="A47" s="35" t="s">
        <v>1290</v>
      </c>
      <c r="B47" s="35" t="s">
        <v>1950</v>
      </c>
      <c r="C47" s="35" t="s">
        <v>48</v>
      </c>
      <c r="D47" s="35" t="s">
        <v>107</v>
      </c>
      <c r="E47" s="35" t="s">
        <v>1289</v>
      </c>
      <c r="F47" s="35"/>
      <c r="G47" s="35" t="s">
        <v>686</v>
      </c>
      <c r="H47" s="35" t="s">
        <v>61</v>
      </c>
      <c r="I47" s="4"/>
    </row>
    <row r="48" customFormat="false" ht="15" hidden="false" customHeight="false" outlineLevel="0" collapsed="false">
      <c r="A48" s="35" t="s">
        <v>1951</v>
      </c>
      <c r="B48" s="35" t="s">
        <v>1952</v>
      </c>
      <c r="C48" s="35" t="s">
        <v>48</v>
      </c>
      <c r="D48" s="35" t="s">
        <v>107</v>
      </c>
      <c r="E48" s="35" t="s">
        <v>1019</v>
      </c>
      <c r="F48" s="35"/>
      <c r="G48" s="35" t="s">
        <v>686</v>
      </c>
      <c r="H48" s="35" t="s">
        <v>61</v>
      </c>
      <c r="I48" s="4"/>
    </row>
    <row r="49" customFormat="false" ht="15" hidden="false" customHeight="false" outlineLevel="0" collapsed="false">
      <c r="A49" s="35" t="s">
        <v>1953</v>
      </c>
      <c r="B49" s="35" t="s">
        <v>1954</v>
      </c>
      <c r="C49" s="35" t="s">
        <v>48</v>
      </c>
      <c r="D49" s="35" t="s">
        <v>57</v>
      </c>
      <c r="E49" s="35" t="s">
        <v>1019</v>
      </c>
      <c r="F49" s="35"/>
      <c r="G49" s="35" t="s">
        <v>690</v>
      </c>
      <c r="H49" s="35" t="s">
        <v>61</v>
      </c>
      <c r="I49" s="4"/>
    </row>
    <row r="50" customFormat="false" ht="15" hidden="false" customHeight="false" outlineLevel="0" collapsed="false">
      <c r="A50" s="35" t="s">
        <v>1955</v>
      </c>
      <c r="B50" s="35" t="s">
        <v>1956</v>
      </c>
      <c r="C50" s="35" t="s">
        <v>48</v>
      </c>
      <c r="D50" s="35" t="s">
        <v>107</v>
      </c>
      <c r="E50" s="35" t="s">
        <v>1019</v>
      </c>
      <c r="F50" s="35"/>
      <c r="G50" s="35" t="s">
        <v>690</v>
      </c>
      <c r="H50" s="35" t="s">
        <v>49</v>
      </c>
      <c r="I50" s="4"/>
    </row>
    <row r="51" customFormat="false" ht="15" hidden="false" customHeight="false" outlineLevel="0" collapsed="false">
      <c r="A51" s="35" t="s">
        <v>1957</v>
      </c>
      <c r="B51" s="35" t="s">
        <v>1958</v>
      </c>
      <c r="C51" s="35" t="s">
        <v>48</v>
      </c>
      <c r="D51" s="35" t="s">
        <v>157</v>
      </c>
      <c r="E51" s="35"/>
      <c r="F51" s="35"/>
      <c r="G51" s="35" t="s">
        <v>104</v>
      </c>
      <c r="H51" s="35" t="s">
        <v>49</v>
      </c>
      <c r="I51" s="4"/>
    </row>
    <row r="52" customFormat="false" ht="15" hidden="false" customHeight="false" outlineLevel="0" collapsed="false">
      <c r="A52" s="35" t="s">
        <v>1959</v>
      </c>
      <c r="B52" s="35" t="s">
        <v>1960</v>
      </c>
      <c r="C52" s="35" t="s">
        <v>48</v>
      </c>
      <c r="D52" s="35" t="s">
        <v>107</v>
      </c>
      <c r="E52" s="35" t="s">
        <v>1060</v>
      </c>
      <c r="F52" s="35"/>
      <c r="G52" s="35" t="s">
        <v>686</v>
      </c>
      <c r="H52" s="35" t="s">
        <v>61</v>
      </c>
      <c r="I52" s="4"/>
    </row>
    <row r="53" customFormat="false" ht="15" hidden="false" customHeight="false" outlineLevel="0" collapsed="false">
      <c r="A53" s="35" t="s">
        <v>1961</v>
      </c>
      <c r="B53" s="35" t="s">
        <v>1962</v>
      </c>
      <c r="C53" s="35" t="s">
        <v>48</v>
      </c>
      <c r="D53" s="35" t="s">
        <v>107</v>
      </c>
      <c r="E53" s="35" t="s">
        <v>1060</v>
      </c>
      <c r="F53" s="35"/>
      <c r="G53" s="35" t="s">
        <v>690</v>
      </c>
      <c r="H53" s="35" t="s">
        <v>61</v>
      </c>
      <c r="I53" s="4"/>
    </row>
    <row r="54" customFormat="false" ht="15" hidden="false" customHeight="false" outlineLevel="0" collapsed="false">
      <c r="A54" s="35" t="s">
        <v>1963</v>
      </c>
      <c r="B54" s="35" t="s">
        <v>1964</v>
      </c>
      <c r="C54" s="35" t="s">
        <v>48</v>
      </c>
      <c r="D54" s="35" t="s">
        <v>157</v>
      </c>
      <c r="E54" s="35"/>
      <c r="F54" s="35"/>
      <c r="G54" s="35" t="s">
        <v>690</v>
      </c>
      <c r="H54" s="35" t="s">
        <v>61</v>
      </c>
      <c r="I54" s="4"/>
    </row>
    <row r="55" customFormat="false" ht="15" hidden="false" customHeight="false" outlineLevel="0" collapsed="false">
      <c r="A55" s="35" t="s">
        <v>1965</v>
      </c>
      <c r="B55" s="35" t="s">
        <v>1966</v>
      </c>
      <c r="C55" s="35" t="s">
        <v>48</v>
      </c>
      <c r="D55" s="35" t="s">
        <v>107</v>
      </c>
      <c r="E55" s="35" t="s">
        <v>1252</v>
      </c>
      <c r="F55" s="35"/>
      <c r="G55" s="35" t="s">
        <v>690</v>
      </c>
      <c r="H55" s="35" t="s">
        <v>49</v>
      </c>
      <c r="I55" s="4"/>
    </row>
    <row r="56" customFormat="false" ht="15" hidden="false" customHeight="false" outlineLevel="0" collapsed="false">
      <c r="A56" s="35" t="s">
        <v>1967</v>
      </c>
      <c r="B56" s="35" t="s">
        <v>1968</v>
      </c>
      <c r="C56" s="35" t="s">
        <v>48</v>
      </c>
      <c r="D56" s="35" t="s">
        <v>57</v>
      </c>
      <c r="E56" s="35" t="s">
        <v>1252</v>
      </c>
      <c r="F56" s="35"/>
      <c r="G56" s="35" t="s">
        <v>690</v>
      </c>
      <c r="H56" s="35" t="s">
        <v>61</v>
      </c>
      <c r="I56" s="4"/>
    </row>
    <row r="57" customFormat="false" ht="15" hidden="false" customHeight="false" outlineLevel="0" collapsed="false">
      <c r="A57" s="35" t="s">
        <v>1969</v>
      </c>
      <c r="B57" s="35" t="s">
        <v>1970</v>
      </c>
      <c r="C57" s="35" t="s">
        <v>48</v>
      </c>
      <c r="D57" s="35" t="s">
        <v>107</v>
      </c>
      <c r="E57" s="35" t="s">
        <v>1052</v>
      </c>
      <c r="F57" s="35"/>
      <c r="G57" s="35" t="s">
        <v>686</v>
      </c>
      <c r="H57" s="35" t="s">
        <v>61</v>
      </c>
      <c r="I57" s="4"/>
    </row>
    <row r="58" customFormat="false" ht="15" hidden="false" customHeight="false" outlineLevel="0" collapsed="false">
      <c r="A58" s="35" t="s">
        <v>1971</v>
      </c>
      <c r="B58" s="35" t="s">
        <v>1972</v>
      </c>
      <c r="C58" s="35" t="s">
        <v>48</v>
      </c>
      <c r="D58" s="35" t="s">
        <v>107</v>
      </c>
      <c r="E58" s="35" t="s">
        <v>1052</v>
      </c>
      <c r="F58" s="35"/>
      <c r="G58" s="35" t="s">
        <v>690</v>
      </c>
      <c r="H58" s="35" t="s">
        <v>49</v>
      </c>
      <c r="I58" s="4"/>
    </row>
    <row r="59" customFormat="false" ht="15" hidden="false" customHeight="false" outlineLevel="0" collapsed="false">
      <c r="A59" s="35" t="s">
        <v>1973</v>
      </c>
      <c r="B59" s="35" t="s">
        <v>1974</v>
      </c>
      <c r="C59" s="35" t="s">
        <v>48</v>
      </c>
      <c r="D59" s="35" t="s">
        <v>107</v>
      </c>
      <c r="E59" s="35" t="s">
        <v>859</v>
      </c>
      <c r="F59" s="35"/>
      <c r="G59" s="35" t="s">
        <v>686</v>
      </c>
      <c r="H59" s="35" t="s">
        <v>61</v>
      </c>
      <c r="I59" s="4"/>
    </row>
    <row r="60" customFormat="false" ht="15" hidden="false" customHeight="false" outlineLevel="0" collapsed="false">
      <c r="A60" s="35" t="s">
        <v>1975</v>
      </c>
      <c r="B60" s="35" t="s">
        <v>1976</v>
      </c>
      <c r="C60" s="35" t="s">
        <v>48</v>
      </c>
      <c r="D60" s="35" t="s">
        <v>57</v>
      </c>
      <c r="E60" s="35" t="s">
        <v>859</v>
      </c>
      <c r="F60" s="35"/>
      <c r="G60" s="35" t="s">
        <v>690</v>
      </c>
      <c r="H60" s="35" t="s">
        <v>61</v>
      </c>
      <c r="I60" s="4"/>
    </row>
    <row r="61" customFormat="false" ht="15" hidden="false" customHeight="false" outlineLevel="0" collapsed="false">
      <c r="A61" s="35" t="s">
        <v>1292</v>
      </c>
      <c r="B61" s="35" t="s">
        <v>1977</v>
      </c>
      <c r="C61" s="35" t="s">
        <v>48</v>
      </c>
      <c r="D61" s="35" t="s">
        <v>107</v>
      </c>
      <c r="E61" s="35" t="s">
        <v>1291</v>
      </c>
      <c r="F61" s="35"/>
      <c r="G61" s="35" t="s">
        <v>686</v>
      </c>
      <c r="H61" s="35" t="s">
        <v>61</v>
      </c>
      <c r="I61" s="4"/>
    </row>
    <row r="62" customFormat="false" ht="15" hidden="false" customHeight="false" outlineLevel="0" collapsed="false">
      <c r="A62" s="35" t="s">
        <v>1978</v>
      </c>
      <c r="B62" s="35" t="s">
        <v>1979</v>
      </c>
      <c r="C62" s="35" t="s">
        <v>48</v>
      </c>
      <c r="D62" s="35" t="s">
        <v>57</v>
      </c>
      <c r="E62" s="35" t="s">
        <v>859</v>
      </c>
      <c r="F62" s="35"/>
      <c r="G62" s="35" t="s">
        <v>713</v>
      </c>
      <c r="H62" s="35" t="s">
        <v>61</v>
      </c>
      <c r="I62" s="4"/>
    </row>
    <row r="63" customFormat="false" ht="15" hidden="false" customHeight="false" outlineLevel="0" collapsed="false">
      <c r="A63" s="35" t="s">
        <v>1980</v>
      </c>
      <c r="B63" s="35" t="s">
        <v>1981</v>
      </c>
      <c r="C63" s="35" t="s">
        <v>48</v>
      </c>
      <c r="D63" s="35" t="s">
        <v>107</v>
      </c>
      <c r="E63" s="35" t="s">
        <v>859</v>
      </c>
      <c r="F63" s="35"/>
      <c r="G63" s="35" t="s">
        <v>690</v>
      </c>
      <c r="H63" s="35" t="s">
        <v>267</v>
      </c>
      <c r="I63" s="4"/>
    </row>
    <row r="64" customFormat="false" ht="15" hidden="false" customHeight="false" outlineLevel="0" collapsed="false">
      <c r="A64" s="35" t="s">
        <v>1295</v>
      </c>
      <c r="B64" s="35" t="s">
        <v>1295</v>
      </c>
      <c r="C64" s="35" t="s">
        <v>48</v>
      </c>
      <c r="D64" s="35" t="s">
        <v>107</v>
      </c>
      <c r="E64" s="35" t="s">
        <v>1294</v>
      </c>
      <c r="F64" s="35"/>
      <c r="G64" s="35" t="s">
        <v>715</v>
      </c>
      <c r="H64" s="35" t="s">
        <v>61</v>
      </c>
      <c r="I64" s="4"/>
    </row>
    <row r="65" customFormat="false" ht="15" hidden="false" customHeight="false" outlineLevel="0" collapsed="false">
      <c r="A65" s="35" t="s">
        <v>1064</v>
      </c>
      <c r="B65" s="35" t="s">
        <v>1064</v>
      </c>
      <c r="C65" s="35" t="s">
        <v>48</v>
      </c>
      <c r="D65" s="35" t="s">
        <v>107</v>
      </c>
      <c r="E65" s="35" t="s">
        <v>1064</v>
      </c>
      <c r="F65" s="35"/>
      <c r="G65" s="35" t="s">
        <v>715</v>
      </c>
      <c r="H65" s="35" t="s">
        <v>61</v>
      </c>
      <c r="I65" s="4"/>
    </row>
    <row r="66" customFormat="false" ht="15" hidden="false" customHeight="false" outlineLevel="0" collapsed="false">
      <c r="A66" s="35" t="s">
        <v>1982</v>
      </c>
      <c r="B66" s="35" t="s">
        <v>1982</v>
      </c>
      <c r="C66" s="35" t="s">
        <v>48</v>
      </c>
      <c r="D66" s="35" t="s">
        <v>107</v>
      </c>
      <c r="E66" s="35" t="s">
        <v>1064</v>
      </c>
      <c r="F66" s="35"/>
      <c r="G66" s="35" t="s">
        <v>715</v>
      </c>
      <c r="H66" s="35" t="s">
        <v>61</v>
      </c>
      <c r="I66" s="4"/>
    </row>
    <row r="67" customFormat="false" ht="15" hidden="false" customHeight="false" outlineLevel="0" collapsed="false">
      <c r="A67" s="35" t="s">
        <v>1297</v>
      </c>
      <c r="B67" s="35" t="s">
        <v>1983</v>
      </c>
      <c r="C67" s="35" t="s">
        <v>48</v>
      </c>
      <c r="D67" s="35" t="s">
        <v>107</v>
      </c>
      <c r="E67" s="35" t="s">
        <v>1296</v>
      </c>
      <c r="F67" s="35"/>
      <c r="G67" s="35" t="s">
        <v>262</v>
      </c>
      <c r="H67" s="35" t="s">
        <v>61</v>
      </c>
      <c r="I67" s="4"/>
    </row>
    <row r="68" customFormat="false" ht="15" hidden="false" customHeight="false" outlineLevel="0" collapsed="false">
      <c r="A68" s="35" t="s">
        <v>1984</v>
      </c>
      <c r="B68" s="35" t="s">
        <v>1985</v>
      </c>
      <c r="C68" s="35" t="s">
        <v>48</v>
      </c>
      <c r="D68" s="35" t="s">
        <v>107</v>
      </c>
      <c r="E68" s="35" t="s">
        <v>901</v>
      </c>
      <c r="F68" s="35"/>
      <c r="G68" s="35" t="s">
        <v>721</v>
      </c>
      <c r="H68" s="35" t="s">
        <v>61</v>
      </c>
      <c r="I68" s="4"/>
    </row>
    <row r="69" customFormat="false" ht="15" hidden="false" customHeight="false" outlineLevel="0" collapsed="false">
      <c r="A69" s="35" t="s">
        <v>1986</v>
      </c>
      <c r="B69" s="35" t="s">
        <v>1987</v>
      </c>
      <c r="C69" s="35" t="s">
        <v>48</v>
      </c>
      <c r="D69" s="35" t="s">
        <v>57</v>
      </c>
      <c r="E69" s="35" t="s">
        <v>1174</v>
      </c>
      <c r="F69" s="35"/>
      <c r="G69" s="35" t="s">
        <v>721</v>
      </c>
      <c r="H69" s="35" t="s">
        <v>61</v>
      </c>
      <c r="I69" s="4"/>
    </row>
    <row r="70" customFormat="false" ht="15" hidden="false" customHeight="false" outlineLevel="0" collapsed="false">
      <c r="A70" s="35" t="s">
        <v>1988</v>
      </c>
      <c r="B70" s="35" t="s">
        <v>1989</v>
      </c>
      <c r="C70" s="35" t="s">
        <v>48</v>
      </c>
      <c r="D70" s="35" t="s">
        <v>57</v>
      </c>
      <c r="E70" s="35" t="s">
        <v>876</v>
      </c>
      <c r="F70" s="35"/>
      <c r="G70" s="35" t="s">
        <v>721</v>
      </c>
      <c r="H70" s="35" t="s">
        <v>61</v>
      </c>
      <c r="I70" s="4"/>
    </row>
    <row r="71" customFormat="false" ht="15" hidden="false" customHeight="false" outlineLevel="0" collapsed="false">
      <c r="A71" s="35" t="s">
        <v>1068</v>
      </c>
      <c r="B71" s="35" t="s">
        <v>1990</v>
      </c>
      <c r="C71" s="35" t="s">
        <v>48</v>
      </c>
      <c r="D71" s="35" t="s">
        <v>57</v>
      </c>
      <c r="E71" s="35" t="s">
        <v>1068</v>
      </c>
      <c r="F71" s="35"/>
      <c r="G71" s="35" t="s">
        <v>571</v>
      </c>
      <c r="H71" s="35" t="s">
        <v>245</v>
      </c>
      <c r="I71" s="4"/>
    </row>
    <row r="72" customFormat="false" ht="15" hidden="false" customHeight="false" outlineLevel="0" collapsed="false">
      <c r="A72" s="35" t="s">
        <v>1991</v>
      </c>
      <c r="B72" s="35" t="s">
        <v>1992</v>
      </c>
      <c r="C72" s="35" t="s">
        <v>48</v>
      </c>
      <c r="D72" s="35" t="s">
        <v>107</v>
      </c>
      <c r="E72" s="35" t="s">
        <v>944</v>
      </c>
      <c r="F72" s="35"/>
      <c r="G72" s="35" t="s">
        <v>687</v>
      </c>
      <c r="H72" s="35" t="s">
        <v>61</v>
      </c>
      <c r="I72" s="4"/>
    </row>
    <row r="73" customFormat="false" ht="15" hidden="false" customHeight="false" outlineLevel="0" collapsed="false">
      <c r="A73" s="35" t="s">
        <v>1993</v>
      </c>
      <c r="B73" s="35" t="s">
        <v>1994</v>
      </c>
      <c r="C73" s="35" t="s">
        <v>48</v>
      </c>
      <c r="D73" s="35" t="s">
        <v>107</v>
      </c>
      <c r="E73" s="35" t="s">
        <v>944</v>
      </c>
      <c r="F73" s="35"/>
      <c r="G73" s="35" t="s">
        <v>687</v>
      </c>
      <c r="H73" s="35" t="s">
        <v>61</v>
      </c>
      <c r="I73" s="4"/>
    </row>
    <row r="74" customFormat="false" ht="15" hidden="false" customHeight="false" outlineLevel="0" collapsed="false">
      <c r="A74" s="35" t="s">
        <v>1995</v>
      </c>
      <c r="B74" s="35" t="s">
        <v>1996</v>
      </c>
      <c r="C74" s="35" t="s">
        <v>48</v>
      </c>
      <c r="D74" s="35" t="s">
        <v>107</v>
      </c>
      <c r="E74" s="35" t="s">
        <v>1209</v>
      </c>
      <c r="F74" s="35"/>
      <c r="G74" s="35" t="s">
        <v>49</v>
      </c>
      <c r="H74" s="35" t="s">
        <v>61</v>
      </c>
      <c r="I74" s="4"/>
    </row>
    <row r="75" customFormat="false" ht="15" hidden="false" customHeight="false" outlineLevel="0" collapsed="false">
      <c r="A75" s="35" t="s">
        <v>1997</v>
      </c>
      <c r="B75" s="35" t="s">
        <v>1998</v>
      </c>
      <c r="C75" s="35" t="s">
        <v>48</v>
      </c>
      <c r="D75" s="35" t="s">
        <v>107</v>
      </c>
      <c r="E75" s="35" t="s">
        <v>967</v>
      </c>
      <c r="F75" s="35"/>
      <c r="G75" s="35" t="s">
        <v>417</v>
      </c>
      <c r="H75" s="35" t="s">
        <v>245</v>
      </c>
      <c r="I75" s="4"/>
    </row>
    <row r="76" customFormat="false" ht="15" hidden="false" customHeight="false" outlineLevel="0" collapsed="false">
      <c r="A76" s="35" t="s">
        <v>1999</v>
      </c>
      <c r="B76" s="35" t="s">
        <v>2000</v>
      </c>
      <c r="C76" s="35" t="s">
        <v>48</v>
      </c>
      <c r="D76" s="35" t="s">
        <v>107</v>
      </c>
      <c r="E76" s="35" t="s">
        <v>1209</v>
      </c>
      <c r="F76" s="35"/>
      <c r="G76" s="35" t="s">
        <v>49</v>
      </c>
      <c r="H76" s="35" t="s">
        <v>61</v>
      </c>
      <c r="I76" s="4"/>
    </row>
    <row r="77" customFormat="false" ht="15" hidden="false" customHeight="false" outlineLevel="0" collapsed="false">
      <c r="A77" s="35" t="s">
        <v>2001</v>
      </c>
      <c r="B77" s="35" t="s">
        <v>2002</v>
      </c>
      <c r="C77" s="35" t="s">
        <v>48</v>
      </c>
      <c r="D77" s="35" t="s">
        <v>107</v>
      </c>
      <c r="E77" s="35" t="s">
        <v>331</v>
      </c>
      <c r="F77" s="35"/>
      <c r="G77" s="35" t="s">
        <v>328</v>
      </c>
      <c r="H77" s="35" t="s">
        <v>369</v>
      </c>
      <c r="I77" s="4"/>
    </row>
    <row r="78" customFormat="false" ht="15" hidden="false" customHeight="false" outlineLevel="0" collapsed="false">
      <c r="A78" s="35" t="s">
        <v>2003</v>
      </c>
      <c r="B78" s="35" t="s">
        <v>2004</v>
      </c>
      <c r="C78" s="35" t="s">
        <v>48</v>
      </c>
      <c r="D78" s="35" t="s">
        <v>107</v>
      </c>
      <c r="E78" s="35" t="s">
        <v>331</v>
      </c>
      <c r="F78" s="35"/>
      <c r="G78" s="35" t="s">
        <v>328</v>
      </c>
      <c r="H78" s="35" t="s">
        <v>369</v>
      </c>
      <c r="I78" s="4"/>
    </row>
    <row r="79" customFormat="false" ht="15" hidden="false" customHeight="false" outlineLevel="0" collapsed="false">
      <c r="A79" s="35" t="s">
        <v>2005</v>
      </c>
      <c r="B79" s="35" t="s">
        <v>2006</v>
      </c>
      <c r="C79" s="35" t="s">
        <v>48</v>
      </c>
      <c r="D79" s="35" t="s">
        <v>107</v>
      </c>
      <c r="E79" s="35" t="s">
        <v>920</v>
      </c>
      <c r="F79" s="35"/>
      <c r="G79" s="35" t="s">
        <v>705</v>
      </c>
      <c r="H79" s="35" t="s">
        <v>61</v>
      </c>
      <c r="I79" s="4"/>
    </row>
    <row r="80" customFormat="false" ht="15" hidden="false" customHeight="false" outlineLevel="0" collapsed="false">
      <c r="A80" s="35" t="s">
        <v>2007</v>
      </c>
      <c r="B80" s="35" t="s">
        <v>2008</v>
      </c>
      <c r="C80" s="35" t="s">
        <v>48</v>
      </c>
      <c r="D80" s="35" t="s">
        <v>107</v>
      </c>
      <c r="E80" s="35" t="s">
        <v>530</v>
      </c>
      <c r="F80" s="35"/>
      <c r="G80" s="35" t="s">
        <v>535</v>
      </c>
      <c r="H80" s="35" t="s">
        <v>61</v>
      </c>
      <c r="I80" s="4"/>
    </row>
    <row r="81" customFormat="false" ht="15" hidden="false" customHeight="false" outlineLevel="0" collapsed="false">
      <c r="A81" s="35" t="s">
        <v>2009</v>
      </c>
      <c r="B81" s="35" t="s">
        <v>2010</v>
      </c>
      <c r="C81" s="35" t="s">
        <v>48</v>
      </c>
      <c r="D81" s="35" t="s">
        <v>57</v>
      </c>
      <c r="E81" s="35" t="s">
        <v>824</v>
      </c>
      <c r="F81" s="35"/>
      <c r="G81" s="35" t="s">
        <v>417</v>
      </c>
      <c r="H81" s="35" t="s">
        <v>61</v>
      </c>
      <c r="I81" s="4"/>
    </row>
    <row r="82" customFormat="false" ht="15" hidden="false" customHeight="false" outlineLevel="0" collapsed="false">
      <c r="A82" s="35" t="s">
        <v>2011</v>
      </c>
      <c r="B82" s="35" t="s">
        <v>2012</v>
      </c>
      <c r="C82" s="35" t="s">
        <v>48</v>
      </c>
      <c r="D82" s="35" t="s">
        <v>57</v>
      </c>
      <c r="E82" s="35" t="s">
        <v>824</v>
      </c>
      <c r="F82" s="35" t="s">
        <v>2013</v>
      </c>
      <c r="G82" s="35" t="s">
        <v>417</v>
      </c>
      <c r="H82" s="35" t="s">
        <v>61</v>
      </c>
      <c r="I82" s="4"/>
    </row>
    <row r="83" customFormat="false" ht="15" hidden="false" customHeight="false" outlineLevel="0" collapsed="false">
      <c r="A83" s="35" t="s">
        <v>2014</v>
      </c>
      <c r="B83" s="35" t="s">
        <v>2015</v>
      </c>
      <c r="C83" s="35" t="s">
        <v>48</v>
      </c>
      <c r="D83" s="35" t="s">
        <v>57</v>
      </c>
      <c r="E83" s="35" t="s">
        <v>930</v>
      </c>
      <c r="F83" s="35"/>
      <c r="G83" s="35" t="s">
        <v>708</v>
      </c>
      <c r="H83" s="35" t="s">
        <v>258</v>
      </c>
      <c r="I83" s="4"/>
    </row>
    <row r="84" customFormat="false" ht="15" hidden="false" customHeight="false" outlineLevel="0" collapsed="false">
      <c r="A84" s="35" t="s">
        <v>2016</v>
      </c>
      <c r="B84" s="35" t="s">
        <v>2017</v>
      </c>
      <c r="C84" s="35" t="s">
        <v>48</v>
      </c>
      <c r="D84" s="35" t="s">
        <v>57</v>
      </c>
      <c r="E84" s="35" t="s">
        <v>930</v>
      </c>
      <c r="F84" s="35"/>
      <c r="G84" s="35" t="s">
        <v>708</v>
      </c>
      <c r="H84" s="35" t="s">
        <v>258</v>
      </c>
      <c r="I84" s="4"/>
    </row>
    <row r="85" customFormat="false" ht="15" hidden="false" customHeight="false" outlineLevel="0" collapsed="false">
      <c r="A85" s="35" t="s">
        <v>1730</v>
      </c>
      <c r="B85" s="35" t="s">
        <v>2018</v>
      </c>
      <c r="C85" s="35" t="s">
        <v>48</v>
      </c>
      <c r="D85" s="35" t="s">
        <v>107</v>
      </c>
      <c r="E85" s="35" t="s">
        <v>1729</v>
      </c>
      <c r="F85" s="35"/>
      <c r="G85" s="35" t="s">
        <v>99</v>
      </c>
      <c r="H85" s="35" t="s">
        <v>61</v>
      </c>
      <c r="I85" s="4"/>
    </row>
    <row r="86" customFormat="false" ht="15" hidden="false" customHeight="false" outlineLevel="0" collapsed="false">
      <c r="A86" s="35" t="s">
        <v>2019</v>
      </c>
      <c r="B86" s="35" t="s">
        <v>2020</v>
      </c>
      <c r="C86" s="35" t="s">
        <v>48</v>
      </c>
      <c r="D86" s="35" t="s">
        <v>107</v>
      </c>
      <c r="E86" s="35" t="s">
        <v>591</v>
      </c>
      <c r="F86" s="35"/>
      <c r="G86" s="35" t="s">
        <v>417</v>
      </c>
      <c r="H86" s="35" t="s">
        <v>61</v>
      </c>
      <c r="I86" s="4"/>
    </row>
    <row r="87" customFormat="false" ht="15" hidden="false" customHeight="false" outlineLevel="0" collapsed="false">
      <c r="A87" s="35" t="s">
        <v>1304</v>
      </c>
      <c r="B87" s="35" t="s">
        <v>2021</v>
      </c>
      <c r="C87" s="35" t="s">
        <v>48</v>
      </c>
      <c r="D87" s="35" t="s">
        <v>114</v>
      </c>
      <c r="E87" s="35"/>
      <c r="F87" s="35" t="s">
        <v>2022</v>
      </c>
      <c r="G87" s="35" t="s">
        <v>119</v>
      </c>
      <c r="H87" s="35" t="s">
        <v>50</v>
      </c>
      <c r="I87" s="4"/>
    </row>
    <row r="88" customFormat="false" ht="15" hidden="false" customHeight="false" outlineLevel="0" collapsed="false">
      <c r="A88" s="35" t="s">
        <v>2023</v>
      </c>
      <c r="B88" s="35" t="s">
        <v>2024</v>
      </c>
      <c r="C88" s="35" t="s">
        <v>48</v>
      </c>
      <c r="D88" s="35" t="s">
        <v>114</v>
      </c>
      <c r="E88" s="35"/>
      <c r="F88" s="35"/>
      <c r="G88" s="35" t="s">
        <v>49</v>
      </c>
      <c r="H88" s="35" t="s">
        <v>49</v>
      </c>
      <c r="I88" s="4"/>
    </row>
    <row r="89" customFormat="false" ht="15" hidden="false" customHeight="false" outlineLevel="0" collapsed="false">
      <c r="A89" s="35" t="s">
        <v>117</v>
      </c>
      <c r="B89" s="35" t="s">
        <v>118</v>
      </c>
      <c r="C89" s="35" t="s">
        <v>48</v>
      </c>
      <c r="D89" s="35" t="s">
        <v>114</v>
      </c>
      <c r="E89" s="35"/>
      <c r="F89" s="35"/>
      <c r="G89" s="35" t="s">
        <v>119</v>
      </c>
      <c r="H89" s="35" t="s">
        <v>61</v>
      </c>
      <c r="I89" s="4" t="s">
        <v>2025</v>
      </c>
    </row>
    <row r="90" customFormat="false" ht="15" hidden="false" customHeight="false" outlineLevel="0" collapsed="false">
      <c r="A90" s="35" t="s">
        <v>1305</v>
      </c>
      <c r="B90" s="35" t="s">
        <v>2026</v>
      </c>
      <c r="C90" s="35" t="s">
        <v>48</v>
      </c>
      <c r="D90" s="35" t="s">
        <v>57</v>
      </c>
      <c r="E90" s="35" t="s">
        <v>1304</v>
      </c>
      <c r="F90" s="35"/>
      <c r="G90" s="35" t="s">
        <v>104</v>
      </c>
      <c r="H90" s="35" t="s">
        <v>61</v>
      </c>
      <c r="I90" s="4"/>
    </row>
    <row r="91" customFormat="false" ht="15" hidden="false" customHeight="false" outlineLevel="0" collapsed="false">
      <c r="A91" s="35" t="s">
        <v>2027</v>
      </c>
      <c r="B91" s="35" t="s">
        <v>2028</v>
      </c>
      <c r="C91" s="35" t="s">
        <v>48</v>
      </c>
      <c r="D91" s="35" t="s">
        <v>107</v>
      </c>
      <c r="E91" s="35" t="s">
        <v>331</v>
      </c>
      <c r="F91" s="35"/>
      <c r="G91" s="35" t="s">
        <v>535</v>
      </c>
      <c r="H91" s="35" t="s">
        <v>61</v>
      </c>
      <c r="I91" s="4"/>
    </row>
    <row r="92" customFormat="false" ht="15" hidden="false" customHeight="false" outlineLevel="0" collapsed="false">
      <c r="A92" s="35" t="s">
        <v>2029</v>
      </c>
      <c r="B92" s="35" t="s">
        <v>2030</v>
      </c>
      <c r="C92" s="35" t="s">
        <v>48</v>
      </c>
      <c r="D92" s="35" t="s">
        <v>107</v>
      </c>
      <c r="E92" s="35" t="s">
        <v>331</v>
      </c>
      <c r="F92" s="35"/>
      <c r="G92" s="35" t="s">
        <v>545</v>
      </c>
      <c r="H92" s="35" t="s">
        <v>369</v>
      </c>
      <c r="I92" s="4"/>
    </row>
    <row r="93" customFormat="false" ht="15" hidden="false" customHeight="false" outlineLevel="0" collapsed="false">
      <c r="A93" s="35" t="s">
        <v>2031</v>
      </c>
      <c r="B93" s="35" t="s">
        <v>2032</v>
      </c>
      <c r="C93" s="35" t="s">
        <v>48</v>
      </c>
      <c r="D93" s="35" t="s">
        <v>107</v>
      </c>
      <c r="E93" s="35" t="s">
        <v>331</v>
      </c>
      <c r="F93" s="35"/>
      <c r="G93" s="35" t="s">
        <v>545</v>
      </c>
      <c r="H93" s="35" t="s">
        <v>369</v>
      </c>
      <c r="I93" s="4"/>
    </row>
    <row r="94" customFormat="false" ht="15" hidden="false" customHeight="false" outlineLevel="0" collapsed="false">
      <c r="A94" s="35" t="s">
        <v>2033</v>
      </c>
      <c r="B94" s="35" t="s">
        <v>2034</v>
      </c>
      <c r="C94" s="35" t="s">
        <v>48</v>
      </c>
      <c r="D94" s="35" t="s">
        <v>107</v>
      </c>
      <c r="E94" s="35" t="s">
        <v>331</v>
      </c>
      <c r="F94" s="35"/>
      <c r="G94" s="35" t="s">
        <v>328</v>
      </c>
      <c r="H94" s="35" t="s">
        <v>369</v>
      </c>
      <c r="I94" s="4"/>
    </row>
    <row r="95" customFormat="false" ht="15" hidden="false" customHeight="false" outlineLevel="0" collapsed="false">
      <c r="A95" s="35" t="s">
        <v>2035</v>
      </c>
      <c r="B95" s="35" t="s">
        <v>2036</v>
      </c>
      <c r="C95" s="35" t="s">
        <v>48</v>
      </c>
      <c r="D95" s="35" t="s">
        <v>107</v>
      </c>
      <c r="E95" s="35" t="s">
        <v>331</v>
      </c>
      <c r="F95" s="35"/>
      <c r="G95" s="35" t="s">
        <v>328</v>
      </c>
      <c r="H95" s="35" t="s">
        <v>369</v>
      </c>
      <c r="I95" s="4"/>
    </row>
    <row r="96" customFormat="false" ht="15" hidden="false" customHeight="false" outlineLevel="0" collapsed="false">
      <c r="A96" s="35" t="s">
        <v>2037</v>
      </c>
      <c r="B96" s="35" t="s">
        <v>2038</v>
      </c>
      <c r="C96" s="35" t="s">
        <v>48</v>
      </c>
      <c r="D96" s="35" t="s">
        <v>57</v>
      </c>
      <c r="E96" s="35" t="s">
        <v>1254</v>
      </c>
      <c r="F96" s="35"/>
      <c r="G96" s="35" t="s">
        <v>421</v>
      </c>
      <c r="H96" s="35" t="s">
        <v>61</v>
      </c>
      <c r="I96" s="4"/>
    </row>
    <row r="97" customFormat="false" ht="15" hidden="false" customHeight="false" outlineLevel="0" collapsed="false">
      <c r="A97" s="35" t="s">
        <v>2039</v>
      </c>
      <c r="B97" s="35" t="s">
        <v>2040</v>
      </c>
      <c r="C97" s="35" t="s">
        <v>48</v>
      </c>
      <c r="D97" s="35" t="s">
        <v>146</v>
      </c>
      <c r="E97" s="35"/>
      <c r="F97" s="35" t="s">
        <v>2041</v>
      </c>
      <c r="G97" s="35" t="s">
        <v>49</v>
      </c>
      <c r="H97" s="35" t="s">
        <v>49</v>
      </c>
      <c r="I97" s="4"/>
    </row>
    <row r="98" customFormat="false" ht="15" hidden="false" customHeight="false" outlineLevel="0" collapsed="false">
      <c r="A98" s="35" t="s">
        <v>2042</v>
      </c>
      <c r="B98" s="35" t="s">
        <v>2043</v>
      </c>
      <c r="C98" s="35" t="s">
        <v>48</v>
      </c>
      <c r="D98" s="35" t="s">
        <v>146</v>
      </c>
      <c r="E98" s="35"/>
      <c r="F98" s="35" t="s">
        <v>2041</v>
      </c>
      <c r="G98" s="35" t="s">
        <v>49</v>
      </c>
      <c r="H98" s="35" t="s">
        <v>49</v>
      </c>
      <c r="I98" s="4"/>
    </row>
    <row r="99" customFormat="false" ht="15" hidden="false" customHeight="false" outlineLevel="0" collapsed="false">
      <c r="A99" s="35" t="s">
        <v>2044</v>
      </c>
      <c r="B99" s="35" t="s">
        <v>2045</v>
      </c>
      <c r="C99" s="35" t="s">
        <v>48</v>
      </c>
      <c r="D99" s="35" t="s">
        <v>146</v>
      </c>
      <c r="E99" s="35"/>
      <c r="F99" s="35" t="s">
        <v>2041</v>
      </c>
      <c r="G99" s="35" t="s">
        <v>49</v>
      </c>
      <c r="H99" s="35" t="s">
        <v>49</v>
      </c>
      <c r="I99" s="4"/>
    </row>
    <row r="100" customFormat="false" ht="15" hidden="false" customHeight="false" outlineLevel="0" collapsed="false">
      <c r="A100" s="35" t="s">
        <v>2046</v>
      </c>
      <c r="B100" s="35" t="s">
        <v>2047</v>
      </c>
      <c r="C100" s="35" t="s">
        <v>48</v>
      </c>
      <c r="D100" s="35" t="s">
        <v>146</v>
      </c>
      <c r="E100" s="35"/>
      <c r="F100" s="35" t="s">
        <v>2041</v>
      </c>
      <c r="G100" s="35" t="s">
        <v>49</v>
      </c>
      <c r="H100" s="35" t="s">
        <v>49</v>
      </c>
      <c r="I100" s="4"/>
    </row>
    <row r="101" customFormat="false" ht="15" hidden="false" customHeight="false" outlineLevel="0" collapsed="false">
      <c r="A101" s="35" t="s">
        <v>2048</v>
      </c>
      <c r="B101" s="35" t="s">
        <v>2049</v>
      </c>
      <c r="C101" s="35" t="s">
        <v>48</v>
      </c>
      <c r="D101" s="35" t="s">
        <v>146</v>
      </c>
      <c r="E101" s="35"/>
      <c r="F101" s="35" t="s">
        <v>2041</v>
      </c>
      <c r="G101" s="35" t="s">
        <v>49</v>
      </c>
      <c r="H101" s="35" t="s">
        <v>49</v>
      </c>
      <c r="I101" s="4"/>
    </row>
    <row r="102" customFormat="false" ht="15" hidden="false" customHeight="false" outlineLevel="0" collapsed="false">
      <c r="A102" s="35" t="s">
        <v>2050</v>
      </c>
      <c r="B102" s="35" t="s">
        <v>2051</v>
      </c>
      <c r="C102" s="35" t="s">
        <v>48</v>
      </c>
      <c r="D102" s="35" t="s">
        <v>146</v>
      </c>
      <c r="E102" s="35"/>
      <c r="F102" s="35" t="s">
        <v>2041</v>
      </c>
      <c r="G102" s="35" t="s">
        <v>49</v>
      </c>
      <c r="H102" s="35" t="s">
        <v>49</v>
      </c>
      <c r="I102" s="4"/>
    </row>
    <row r="103" customFormat="false" ht="15" hidden="false" customHeight="false" outlineLevel="0" collapsed="false">
      <c r="A103" s="35" t="s">
        <v>1306</v>
      </c>
      <c r="B103" s="35" t="s">
        <v>2052</v>
      </c>
      <c r="C103" s="35" t="s">
        <v>48</v>
      </c>
      <c r="D103" s="35" t="s">
        <v>107</v>
      </c>
      <c r="E103" s="35" t="s">
        <v>1306</v>
      </c>
      <c r="F103" s="35"/>
      <c r="G103" s="35" t="s">
        <v>743</v>
      </c>
      <c r="H103" s="35" t="s">
        <v>61</v>
      </c>
      <c r="I103" s="4"/>
    </row>
    <row r="104" customFormat="false" ht="15" hidden="false" customHeight="false" outlineLevel="0" collapsed="false">
      <c r="A104" s="35" t="s">
        <v>2053</v>
      </c>
      <c r="B104" s="35" t="s">
        <v>2054</v>
      </c>
      <c r="C104" s="35" t="s">
        <v>48</v>
      </c>
      <c r="D104" s="35" t="s">
        <v>107</v>
      </c>
      <c r="E104" s="35" t="s">
        <v>83</v>
      </c>
      <c r="F104" s="35" t="s">
        <v>2055</v>
      </c>
      <c r="G104" s="35" t="s">
        <v>91</v>
      </c>
      <c r="H104" s="35" t="s">
        <v>61</v>
      </c>
      <c r="I104" s="4"/>
    </row>
    <row r="105" customFormat="false" ht="15" hidden="false" customHeight="false" outlineLevel="0" collapsed="false">
      <c r="A105" s="35" t="s">
        <v>2056</v>
      </c>
      <c r="B105" s="35" t="s">
        <v>2057</v>
      </c>
      <c r="C105" s="35" t="s">
        <v>48</v>
      </c>
      <c r="D105" s="35" t="s">
        <v>107</v>
      </c>
      <c r="E105" s="35" t="s">
        <v>83</v>
      </c>
      <c r="F105" s="35" t="s">
        <v>2058</v>
      </c>
      <c r="G105" s="35" t="s">
        <v>91</v>
      </c>
      <c r="H105" s="35" t="s">
        <v>61</v>
      </c>
      <c r="I105" s="4"/>
    </row>
    <row r="106" customFormat="false" ht="15" hidden="false" customHeight="false" outlineLevel="0" collapsed="false">
      <c r="A106" s="35" t="s">
        <v>2059</v>
      </c>
      <c r="B106" s="35" t="s">
        <v>2060</v>
      </c>
      <c r="C106" s="35" t="s">
        <v>48</v>
      </c>
      <c r="D106" s="35" t="s">
        <v>57</v>
      </c>
      <c r="E106" s="35" t="s">
        <v>45</v>
      </c>
      <c r="F106" s="35"/>
      <c r="G106" s="35" t="s">
        <v>99</v>
      </c>
      <c r="H106" s="35" t="s">
        <v>61</v>
      </c>
      <c r="I106" s="4"/>
    </row>
    <row r="107" customFormat="false" ht="15" hidden="false" customHeight="false" outlineLevel="0" collapsed="false">
      <c r="A107" s="35" t="s">
        <v>2061</v>
      </c>
      <c r="B107" s="35" t="s">
        <v>2062</v>
      </c>
      <c r="C107" s="35" t="s">
        <v>48</v>
      </c>
      <c r="D107" s="35" t="s">
        <v>157</v>
      </c>
      <c r="E107" s="35"/>
      <c r="F107" s="35"/>
      <c r="G107" s="35" t="s">
        <v>99</v>
      </c>
      <c r="H107" s="35" t="s">
        <v>61</v>
      </c>
      <c r="I107" s="4"/>
    </row>
    <row r="108" customFormat="false" ht="15" hidden="false" customHeight="false" outlineLevel="0" collapsed="false">
      <c r="A108" s="35" t="s">
        <v>1311</v>
      </c>
      <c r="B108" s="35" t="s">
        <v>2063</v>
      </c>
      <c r="C108" s="35" t="s">
        <v>48</v>
      </c>
      <c r="D108" s="35" t="s">
        <v>107</v>
      </c>
      <c r="E108" s="35" t="s">
        <v>1310</v>
      </c>
      <c r="F108" s="35"/>
      <c r="G108" s="35" t="s">
        <v>681</v>
      </c>
      <c r="H108" s="35" t="s">
        <v>61</v>
      </c>
      <c r="I108" s="4"/>
    </row>
    <row r="109" customFormat="false" ht="15" hidden="false" customHeight="false" outlineLevel="0" collapsed="false">
      <c r="A109" s="35" t="s">
        <v>2064</v>
      </c>
      <c r="B109" s="35" t="s">
        <v>2065</v>
      </c>
      <c r="C109" s="35" t="s">
        <v>48</v>
      </c>
      <c r="D109" s="35" t="s">
        <v>107</v>
      </c>
      <c r="E109" s="35" t="s">
        <v>243</v>
      </c>
      <c r="F109" s="35"/>
      <c r="G109" s="35" t="s">
        <v>119</v>
      </c>
      <c r="H109" s="35" t="s">
        <v>61</v>
      </c>
      <c r="I109" s="4"/>
    </row>
    <row r="110" customFormat="false" ht="15" hidden="false" customHeight="false" outlineLevel="0" collapsed="false">
      <c r="A110" s="35" t="s">
        <v>1308</v>
      </c>
      <c r="B110" s="35" t="s">
        <v>2066</v>
      </c>
      <c r="C110" s="35" t="s">
        <v>48</v>
      </c>
      <c r="D110" s="35" t="s">
        <v>107</v>
      </c>
      <c r="E110" s="35" t="s">
        <v>1307</v>
      </c>
      <c r="F110" s="35"/>
      <c r="G110" s="35" t="s">
        <v>188</v>
      </c>
      <c r="H110" s="35" t="s">
        <v>61</v>
      </c>
      <c r="I110" s="4"/>
    </row>
    <row r="111" customFormat="false" ht="15" hidden="false" customHeight="false" outlineLevel="0" collapsed="false">
      <c r="A111" s="35" t="s">
        <v>2067</v>
      </c>
      <c r="B111" s="35" t="s">
        <v>2068</v>
      </c>
      <c r="C111" s="35" t="s">
        <v>48</v>
      </c>
      <c r="D111" s="35" t="s">
        <v>107</v>
      </c>
      <c r="E111" s="35" t="s">
        <v>247</v>
      </c>
      <c r="F111" s="35"/>
      <c r="G111" s="35" t="s">
        <v>119</v>
      </c>
      <c r="H111" s="35" t="s">
        <v>61</v>
      </c>
      <c r="I111" s="4"/>
    </row>
    <row r="112" customFormat="false" ht="15" hidden="false" customHeight="false" outlineLevel="0" collapsed="false">
      <c r="A112" s="35" t="s">
        <v>2069</v>
      </c>
      <c r="B112" s="35" t="s">
        <v>2070</v>
      </c>
      <c r="C112" s="35" t="s">
        <v>48</v>
      </c>
      <c r="D112" s="35" t="s">
        <v>107</v>
      </c>
      <c r="E112" s="35" t="s">
        <v>247</v>
      </c>
      <c r="F112" s="35"/>
      <c r="G112" s="35" t="s">
        <v>119</v>
      </c>
      <c r="H112" s="35" t="s">
        <v>2071</v>
      </c>
      <c r="I112" s="4"/>
    </row>
    <row r="113" customFormat="false" ht="15" hidden="false" customHeight="false" outlineLevel="0" collapsed="false">
      <c r="A113" s="35" t="s">
        <v>2072</v>
      </c>
      <c r="B113" s="35" t="s">
        <v>2073</v>
      </c>
      <c r="C113" s="35" t="s">
        <v>48</v>
      </c>
      <c r="D113" s="35" t="s">
        <v>107</v>
      </c>
      <c r="E113" s="35" t="s">
        <v>247</v>
      </c>
      <c r="F113" s="35"/>
      <c r="G113" s="35" t="s">
        <v>119</v>
      </c>
      <c r="H113" s="35" t="s">
        <v>61</v>
      </c>
      <c r="I113" s="4"/>
    </row>
    <row r="114" customFormat="false" ht="15" hidden="false" customHeight="false" outlineLevel="0" collapsed="false">
      <c r="A114" s="35" t="s">
        <v>2074</v>
      </c>
      <c r="B114" s="35" t="s">
        <v>2075</v>
      </c>
      <c r="C114" s="35" t="s">
        <v>48</v>
      </c>
      <c r="D114" s="35" t="s">
        <v>107</v>
      </c>
      <c r="E114" s="35" t="s">
        <v>58</v>
      </c>
      <c r="F114" s="35"/>
      <c r="G114" s="35" t="s">
        <v>60</v>
      </c>
      <c r="H114" s="35" t="s">
        <v>61</v>
      </c>
      <c r="I114" s="4"/>
    </row>
    <row r="115" customFormat="false" ht="15" hidden="false" customHeight="false" outlineLevel="0" collapsed="false">
      <c r="A115" s="35" t="s">
        <v>2076</v>
      </c>
      <c r="B115" s="35" t="s">
        <v>2077</v>
      </c>
      <c r="C115" s="35" t="s">
        <v>48</v>
      </c>
      <c r="D115" s="35" t="s">
        <v>107</v>
      </c>
      <c r="E115" s="35" t="s">
        <v>413</v>
      </c>
      <c r="F115" s="35"/>
      <c r="G115" s="35" t="s">
        <v>87</v>
      </c>
      <c r="H115" s="35" t="s">
        <v>49</v>
      </c>
      <c r="I115" s="4"/>
    </row>
    <row r="116" customFormat="false" ht="15" hidden="false" customHeight="false" outlineLevel="0" collapsed="false">
      <c r="A116" s="35" t="s">
        <v>2078</v>
      </c>
      <c r="B116" s="35" t="s">
        <v>2079</v>
      </c>
      <c r="C116" s="35" t="s">
        <v>48</v>
      </c>
      <c r="D116" s="35" t="s">
        <v>107</v>
      </c>
      <c r="E116" s="35" t="s">
        <v>413</v>
      </c>
      <c r="F116" s="35"/>
      <c r="G116" s="35" t="s">
        <v>421</v>
      </c>
      <c r="H116" s="35" t="s">
        <v>61</v>
      </c>
      <c r="I116" s="4"/>
    </row>
    <row r="117" customFormat="false" ht="15" hidden="false" customHeight="false" outlineLevel="0" collapsed="false">
      <c r="A117" s="35" t="s">
        <v>2080</v>
      </c>
      <c r="B117" s="35" t="s">
        <v>2081</v>
      </c>
      <c r="C117" s="35" t="s">
        <v>48</v>
      </c>
      <c r="D117" s="35" t="s">
        <v>107</v>
      </c>
      <c r="E117" s="35" t="s">
        <v>351</v>
      </c>
      <c r="F117" s="35"/>
      <c r="G117" s="35" t="s">
        <v>337</v>
      </c>
      <c r="H117" s="35" t="s">
        <v>61</v>
      </c>
      <c r="I117" s="4"/>
    </row>
    <row r="118" customFormat="false" ht="15" hidden="false" customHeight="false" outlineLevel="0" collapsed="false">
      <c r="A118" s="35" t="s">
        <v>2082</v>
      </c>
      <c r="B118" s="35" t="s">
        <v>2083</v>
      </c>
      <c r="C118" s="35" t="s">
        <v>48</v>
      </c>
      <c r="D118" s="35" t="s">
        <v>107</v>
      </c>
      <c r="E118" s="35" t="s">
        <v>351</v>
      </c>
      <c r="F118" s="35"/>
      <c r="G118" s="35" t="s">
        <v>337</v>
      </c>
      <c r="H118" s="35" t="s">
        <v>61</v>
      </c>
      <c r="I118" s="4"/>
    </row>
    <row r="119" customFormat="false" ht="15" hidden="false" customHeight="false" outlineLevel="0" collapsed="false">
      <c r="A119" s="35" t="s">
        <v>2084</v>
      </c>
      <c r="B119" s="35" t="s">
        <v>2085</v>
      </c>
      <c r="C119" s="35" t="s">
        <v>48</v>
      </c>
      <c r="D119" s="35" t="s">
        <v>107</v>
      </c>
      <c r="E119" s="35" t="s">
        <v>351</v>
      </c>
      <c r="F119" s="35"/>
      <c r="G119" s="35" t="s">
        <v>337</v>
      </c>
      <c r="H119" s="35" t="s">
        <v>61</v>
      </c>
      <c r="I119" s="4"/>
    </row>
    <row r="120" customFormat="false" ht="15" hidden="false" customHeight="false" outlineLevel="0" collapsed="false">
      <c r="A120" s="35" t="s">
        <v>2086</v>
      </c>
      <c r="B120" s="35" t="s">
        <v>2087</v>
      </c>
      <c r="C120" s="35" t="s">
        <v>48</v>
      </c>
      <c r="D120" s="35" t="s">
        <v>447</v>
      </c>
      <c r="E120" s="35"/>
      <c r="F120" s="35"/>
      <c r="G120" s="35" t="s">
        <v>444</v>
      </c>
      <c r="H120" s="35" t="s">
        <v>61</v>
      </c>
      <c r="I120" s="4"/>
    </row>
    <row r="121" customFormat="false" ht="15" hidden="false" customHeight="false" outlineLevel="0" collapsed="false">
      <c r="A121" s="35" t="s">
        <v>379</v>
      </c>
      <c r="B121" s="35" t="s">
        <v>380</v>
      </c>
      <c r="C121" s="35" t="s">
        <v>48</v>
      </c>
      <c r="D121" s="35" t="s">
        <v>146</v>
      </c>
      <c r="E121" s="35"/>
      <c r="F121" s="35"/>
      <c r="G121" s="35" t="s">
        <v>49</v>
      </c>
      <c r="H121" s="35" t="s">
        <v>49</v>
      </c>
      <c r="I121" s="4" t="s">
        <v>2025</v>
      </c>
    </row>
    <row r="122" customFormat="false" ht="15" hidden="false" customHeight="false" outlineLevel="0" collapsed="false">
      <c r="A122" s="35" t="s">
        <v>2088</v>
      </c>
      <c r="B122" s="35" t="s">
        <v>380</v>
      </c>
      <c r="C122" s="35" t="s">
        <v>48</v>
      </c>
      <c r="D122" s="35" t="s">
        <v>53</v>
      </c>
      <c r="E122" s="35"/>
      <c r="F122" s="35"/>
      <c r="G122" s="35" t="s">
        <v>87</v>
      </c>
      <c r="H122" s="35" t="s">
        <v>61</v>
      </c>
      <c r="I122" s="4"/>
    </row>
    <row r="123" customFormat="false" ht="15" hidden="false" customHeight="false" outlineLevel="0" collapsed="false">
      <c r="A123" s="35" t="s">
        <v>382</v>
      </c>
      <c r="B123" s="35" t="s">
        <v>384</v>
      </c>
      <c r="C123" s="35" t="s">
        <v>48</v>
      </c>
      <c r="D123" s="35" t="s">
        <v>57</v>
      </c>
      <c r="E123" s="35" t="s">
        <v>383</v>
      </c>
      <c r="F123" s="35"/>
      <c r="G123" s="35" t="s">
        <v>87</v>
      </c>
      <c r="H123" s="35" t="s">
        <v>61</v>
      </c>
      <c r="I123" s="4" t="s">
        <v>2025</v>
      </c>
    </row>
    <row r="124" customFormat="false" ht="15" hidden="false" customHeight="false" outlineLevel="0" collapsed="false">
      <c r="A124" s="35" t="s">
        <v>2089</v>
      </c>
      <c r="B124" s="35" t="s">
        <v>2090</v>
      </c>
      <c r="C124" s="35" t="s">
        <v>48</v>
      </c>
      <c r="D124" s="35" t="s">
        <v>57</v>
      </c>
      <c r="E124" s="35" t="s">
        <v>383</v>
      </c>
      <c r="F124" s="35"/>
      <c r="G124" s="35" t="s">
        <v>686</v>
      </c>
      <c r="H124" s="35" t="s">
        <v>61</v>
      </c>
      <c r="I124" s="4"/>
    </row>
    <row r="125" customFormat="false" ht="15" hidden="false" customHeight="false" outlineLevel="0" collapsed="false">
      <c r="A125" s="35" t="s">
        <v>2091</v>
      </c>
      <c r="B125" s="35" t="s">
        <v>2092</v>
      </c>
      <c r="C125" s="35" t="s">
        <v>48</v>
      </c>
      <c r="D125" s="35" t="s">
        <v>447</v>
      </c>
      <c r="E125" s="35"/>
      <c r="F125" s="35"/>
      <c r="G125" s="35" t="s">
        <v>681</v>
      </c>
      <c r="H125" s="35" t="s">
        <v>61</v>
      </c>
      <c r="I125" s="4"/>
    </row>
    <row r="126" customFormat="false" ht="15" hidden="false" customHeight="false" outlineLevel="0" collapsed="false">
      <c r="A126" s="35" t="s">
        <v>2093</v>
      </c>
      <c r="B126" s="35" t="s">
        <v>2094</v>
      </c>
      <c r="C126" s="35" t="s">
        <v>48</v>
      </c>
      <c r="D126" s="35" t="s">
        <v>107</v>
      </c>
      <c r="E126" s="35" t="s">
        <v>1066</v>
      </c>
      <c r="F126" s="35"/>
      <c r="G126" s="35" t="s">
        <v>545</v>
      </c>
      <c r="H126" s="35" t="s">
        <v>369</v>
      </c>
      <c r="I126" s="4"/>
    </row>
    <row r="127" customFormat="false" ht="15" hidden="false" customHeight="false" outlineLevel="0" collapsed="false">
      <c r="A127" s="35" t="s">
        <v>2095</v>
      </c>
      <c r="B127" s="35" t="s">
        <v>2096</v>
      </c>
      <c r="C127" s="35" t="s">
        <v>48</v>
      </c>
      <c r="D127" s="35" t="s">
        <v>107</v>
      </c>
      <c r="E127" s="35" t="s">
        <v>1041</v>
      </c>
      <c r="F127" s="35"/>
      <c r="G127" s="35" t="s">
        <v>571</v>
      </c>
      <c r="H127" s="35" t="s">
        <v>61</v>
      </c>
      <c r="I127" s="4"/>
    </row>
    <row r="128" customFormat="false" ht="15" hidden="false" customHeight="false" outlineLevel="0" collapsed="false">
      <c r="A128" s="35" t="s">
        <v>2097</v>
      </c>
      <c r="B128" s="35" t="s">
        <v>2098</v>
      </c>
      <c r="C128" s="35" t="s">
        <v>48</v>
      </c>
      <c r="D128" s="35" t="s">
        <v>107</v>
      </c>
      <c r="E128" s="35" t="s">
        <v>45</v>
      </c>
      <c r="F128" s="35"/>
      <c r="G128" s="35" t="s">
        <v>45</v>
      </c>
      <c r="H128" s="35" t="s">
        <v>61</v>
      </c>
      <c r="I128" s="4"/>
    </row>
    <row r="129" customFormat="false" ht="15" hidden="false" customHeight="false" outlineLevel="0" collapsed="false">
      <c r="A129" s="35" t="s">
        <v>2099</v>
      </c>
      <c r="B129" s="35" t="s">
        <v>2100</v>
      </c>
      <c r="C129" s="35" t="s">
        <v>48</v>
      </c>
      <c r="D129" s="35" t="s">
        <v>53</v>
      </c>
      <c r="E129" s="35"/>
      <c r="F129" s="35"/>
      <c r="G129" s="35" t="s">
        <v>99</v>
      </c>
      <c r="H129" s="35" t="s">
        <v>245</v>
      </c>
      <c r="I129" s="4"/>
    </row>
    <row r="130" customFormat="false" ht="15" hidden="false" customHeight="false" outlineLevel="0" collapsed="false">
      <c r="A130" s="35" t="s">
        <v>2101</v>
      </c>
      <c r="B130" s="35" t="s">
        <v>2102</v>
      </c>
      <c r="C130" s="35" t="s">
        <v>48</v>
      </c>
      <c r="D130" s="35" t="s">
        <v>107</v>
      </c>
      <c r="E130" s="35" t="s">
        <v>997</v>
      </c>
      <c r="F130" s="35"/>
      <c r="G130" s="35" t="s">
        <v>444</v>
      </c>
      <c r="H130" s="35" t="s">
        <v>61</v>
      </c>
      <c r="I130" s="4"/>
    </row>
    <row r="131" customFormat="false" ht="15" hidden="false" customHeight="false" outlineLevel="0" collapsed="false">
      <c r="A131" s="35" t="s">
        <v>2103</v>
      </c>
      <c r="B131" s="35" t="s">
        <v>2104</v>
      </c>
      <c r="C131" s="35" t="s">
        <v>48</v>
      </c>
      <c r="D131" s="35" t="s">
        <v>107</v>
      </c>
      <c r="E131" s="35" t="s">
        <v>598</v>
      </c>
      <c r="F131" s="35"/>
      <c r="G131" s="35" t="s">
        <v>204</v>
      </c>
      <c r="H131" s="35" t="s">
        <v>61</v>
      </c>
      <c r="I131" s="4"/>
    </row>
    <row r="132" customFormat="false" ht="15" hidden="false" customHeight="false" outlineLevel="0" collapsed="false">
      <c r="A132" s="35" t="s">
        <v>2105</v>
      </c>
      <c r="B132" s="35" t="s">
        <v>2106</v>
      </c>
      <c r="C132" s="35" t="s">
        <v>48</v>
      </c>
      <c r="D132" s="35" t="s">
        <v>107</v>
      </c>
      <c r="E132" s="35" t="s">
        <v>603</v>
      </c>
      <c r="F132" s="35"/>
      <c r="G132" s="35" t="s">
        <v>204</v>
      </c>
      <c r="H132" s="35" t="s">
        <v>61</v>
      </c>
      <c r="I132" s="4"/>
    </row>
    <row r="133" customFormat="false" ht="15" hidden="false" customHeight="false" outlineLevel="0" collapsed="false">
      <c r="A133" s="35" t="s">
        <v>2107</v>
      </c>
      <c r="B133" s="35" t="s">
        <v>2108</v>
      </c>
      <c r="C133" s="35" t="s">
        <v>48</v>
      </c>
      <c r="D133" s="35" t="s">
        <v>53</v>
      </c>
      <c r="E133" s="35"/>
      <c r="F133" s="35"/>
      <c r="G133" s="35" t="s">
        <v>204</v>
      </c>
      <c r="H133" s="35" t="s">
        <v>2109</v>
      </c>
      <c r="I133" s="4"/>
    </row>
    <row r="134" customFormat="false" ht="15" hidden="false" customHeight="false" outlineLevel="0" collapsed="false">
      <c r="A134" s="35" t="s">
        <v>2110</v>
      </c>
      <c r="B134" s="35" t="s">
        <v>2111</v>
      </c>
      <c r="C134" s="35" t="s">
        <v>48</v>
      </c>
      <c r="D134" s="35" t="s">
        <v>107</v>
      </c>
      <c r="E134" s="35" t="s">
        <v>976</v>
      </c>
      <c r="F134" s="35"/>
      <c r="G134" s="35" t="s">
        <v>204</v>
      </c>
      <c r="H134" s="35" t="s">
        <v>61</v>
      </c>
      <c r="I134" s="4"/>
    </row>
    <row r="135" customFormat="false" ht="15" hidden="false" customHeight="false" outlineLevel="0" collapsed="false">
      <c r="A135" s="35" t="s">
        <v>2112</v>
      </c>
      <c r="B135" s="35" t="s">
        <v>2113</v>
      </c>
      <c r="C135" s="35" t="s">
        <v>48</v>
      </c>
      <c r="D135" s="35" t="s">
        <v>53</v>
      </c>
      <c r="E135" s="35"/>
      <c r="F135" s="35"/>
      <c r="G135" s="35" t="s">
        <v>204</v>
      </c>
      <c r="H135" s="35" t="s">
        <v>2109</v>
      </c>
      <c r="I135" s="4"/>
    </row>
    <row r="136" customFormat="false" ht="15" hidden="false" customHeight="false" outlineLevel="0" collapsed="false">
      <c r="A136" s="35" t="s">
        <v>2114</v>
      </c>
      <c r="B136" s="35" t="s">
        <v>2115</v>
      </c>
      <c r="C136" s="35" t="s">
        <v>48</v>
      </c>
      <c r="D136" s="35" t="s">
        <v>107</v>
      </c>
      <c r="E136" s="35" t="s">
        <v>220</v>
      </c>
      <c r="F136" s="35"/>
      <c r="G136" s="35" t="s">
        <v>119</v>
      </c>
      <c r="H136" s="35" t="s">
        <v>61</v>
      </c>
      <c r="I136" s="4"/>
    </row>
    <row r="137" customFormat="false" ht="15" hidden="false" customHeight="false" outlineLevel="0" collapsed="false">
      <c r="A137" s="35" t="s">
        <v>2116</v>
      </c>
      <c r="B137" s="35" t="s">
        <v>2117</v>
      </c>
      <c r="C137" s="35" t="s">
        <v>48</v>
      </c>
      <c r="D137" s="35" t="s">
        <v>107</v>
      </c>
      <c r="E137" s="35" t="s">
        <v>892</v>
      </c>
      <c r="F137" s="35"/>
      <c r="G137" s="35" t="s">
        <v>204</v>
      </c>
      <c r="H137" s="35" t="s">
        <v>61</v>
      </c>
      <c r="I137" s="4"/>
    </row>
    <row r="138" customFormat="false" ht="15" hidden="false" customHeight="false" outlineLevel="0" collapsed="false">
      <c r="A138" s="35" t="s">
        <v>2118</v>
      </c>
      <c r="B138" s="35" t="s">
        <v>2119</v>
      </c>
      <c r="C138" s="35" t="s">
        <v>48</v>
      </c>
      <c r="D138" s="35" t="s">
        <v>53</v>
      </c>
      <c r="E138" s="35"/>
      <c r="F138" s="35"/>
      <c r="G138" s="35" t="s">
        <v>204</v>
      </c>
      <c r="H138" s="35" t="s">
        <v>61</v>
      </c>
      <c r="I138" s="4"/>
    </row>
    <row r="139" customFormat="false" ht="15" hidden="false" customHeight="false" outlineLevel="0" collapsed="false">
      <c r="A139" s="35" t="s">
        <v>2120</v>
      </c>
      <c r="B139" s="35" t="s">
        <v>2121</v>
      </c>
      <c r="C139" s="35" t="s">
        <v>48</v>
      </c>
      <c r="D139" s="35" t="s">
        <v>107</v>
      </c>
      <c r="E139" s="35" t="s">
        <v>1027</v>
      </c>
      <c r="F139" s="35"/>
      <c r="G139" s="35" t="s">
        <v>204</v>
      </c>
      <c r="H139" s="35" t="s">
        <v>61</v>
      </c>
      <c r="I139" s="4"/>
    </row>
    <row r="140" customFormat="false" ht="15" hidden="false" customHeight="false" outlineLevel="0" collapsed="false">
      <c r="A140" s="35" t="s">
        <v>2122</v>
      </c>
      <c r="B140" s="35" t="s">
        <v>2123</v>
      </c>
      <c r="C140" s="35" t="s">
        <v>48</v>
      </c>
      <c r="D140" s="35" t="s">
        <v>53</v>
      </c>
      <c r="E140" s="35"/>
      <c r="F140" s="35"/>
      <c r="G140" s="35" t="s">
        <v>204</v>
      </c>
      <c r="H140" s="35" t="s">
        <v>2109</v>
      </c>
      <c r="I140" s="4"/>
    </row>
    <row r="141" customFormat="false" ht="15" hidden="false" customHeight="false" outlineLevel="0" collapsed="false">
      <c r="A141" s="35" t="s">
        <v>1378</v>
      </c>
      <c r="B141" s="35" t="s">
        <v>2124</v>
      </c>
      <c r="C141" s="35" t="s">
        <v>48</v>
      </c>
      <c r="D141" s="35" t="s">
        <v>107</v>
      </c>
      <c r="E141" s="35" t="s">
        <v>1377</v>
      </c>
      <c r="F141" s="35"/>
      <c r="G141" s="35" t="s">
        <v>703</v>
      </c>
      <c r="H141" s="35" t="s">
        <v>61</v>
      </c>
      <c r="I141" s="4"/>
    </row>
    <row r="142" customFormat="false" ht="15" hidden="false" customHeight="false" outlineLevel="0" collapsed="false">
      <c r="A142" s="35" t="s">
        <v>2125</v>
      </c>
      <c r="B142" s="35" t="s">
        <v>2126</v>
      </c>
      <c r="C142" s="35" t="s">
        <v>48</v>
      </c>
      <c r="D142" s="35" t="s">
        <v>107</v>
      </c>
      <c r="E142" s="35" t="s">
        <v>880</v>
      </c>
      <c r="F142" s="35"/>
      <c r="G142" s="35" t="s">
        <v>204</v>
      </c>
      <c r="H142" s="35" t="s">
        <v>61</v>
      </c>
      <c r="I142" s="4"/>
    </row>
    <row r="143" customFormat="false" ht="15" hidden="false" customHeight="false" outlineLevel="0" collapsed="false">
      <c r="A143" s="35" t="s">
        <v>2127</v>
      </c>
      <c r="B143" s="35" t="s">
        <v>2128</v>
      </c>
      <c r="C143" s="35" t="s">
        <v>48</v>
      </c>
      <c r="D143" s="35" t="s">
        <v>53</v>
      </c>
      <c r="E143" s="35"/>
      <c r="F143" s="35"/>
      <c r="G143" s="35" t="s">
        <v>204</v>
      </c>
      <c r="H143" s="35" t="s">
        <v>61</v>
      </c>
      <c r="I143" s="4"/>
    </row>
    <row r="144" customFormat="false" ht="15" hidden="false" customHeight="false" outlineLevel="0" collapsed="false">
      <c r="A144" s="35" t="s">
        <v>2129</v>
      </c>
      <c r="B144" s="35" t="s">
        <v>2130</v>
      </c>
      <c r="C144" s="35" t="s">
        <v>48</v>
      </c>
      <c r="D144" s="35" t="s">
        <v>53</v>
      </c>
      <c r="E144" s="35"/>
      <c r="F144" s="35"/>
      <c r="G144" s="35" t="s">
        <v>444</v>
      </c>
      <c r="H144" s="35" t="s">
        <v>61</v>
      </c>
      <c r="I144" s="4"/>
    </row>
    <row r="145" customFormat="false" ht="15" hidden="false" customHeight="false" outlineLevel="0" collapsed="false">
      <c r="A145" s="35" t="s">
        <v>1313</v>
      </c>
      <c r="B145" s="35" t="s">
        <v>2131</v>
      </c>
      <c r="C145" s="35" t="s">
        <v>48</v>
      </c>
      <c r="D145" s="35" t="s">
        <v>107</v>
      </c>
      <c r="E145" s="35" t="s">
        <v>1312</v>
      </c>
      <c r="F145" s="35"/>
      <c r="G145" s="35" t="s">
        <v>444</v>
      </c>
      <c r="H145" s="35" t="s">
        <v>61</v>
      </c>
      <c r="I145" s="4"/>
    </row>
    <row r="146" customFormat="false" ht="15" hidden="false" customHeight="false" outlineLevel="0" collapsed="false">
      <c r="A146" s="35" t="s">
        <v>2132</v>
      </c>
      <c r="B146" s="35" t="s">
        <v>2133</v>
      </c>
      <c r="C146" s="35" t="s">
        <v>48</v>
      </c>
      <c r="D146" s="35" t="s">
        <v>107</v>
      </c>
      <c r="E146" s="35" t="s">
        <v>967</v>
      </c>
      <c r="F146" s="35"/>
      <c r="G146" s="35" t="s">
        <v>417</v>
      </c>
      <c r="H146" s="35" t="s">
        <v>61</v>
      </c>
      <c r="I146" s="4"/>
    </row>
    <row r="147" customFormat="false" ht="15" hidden="false" customHeight="false" outlineLevel="0" collapsed="false">
      <c r="A147" s="35" t="s">
        <v>2134</v>
      </c>
      <c r="B147" s="35" t="s">
        <v>2135</v>
      </c>
      <c r="C147" s="35" t="s">
        <v>48</v>
      </c>
      <c r="D147" s="35" t="s">
        <v>107</v>
      </c>
      <c r="E147" s="35" t="s">
        <v>827</v>
      </c>
      <c r="F147" s="35"/>
      <c r="G147" s="35" t="s">
        <v>685</v>
      </c>
      <c r="H147" s="35" t="s">
        <v>61</v>
      </c>
      <c r="I147" s="4"/>
    </row>
    <row r="148" customFormat="false" ht="15" hidden="false" customHeight="false" outlineLevel="0" collapsed="false">
      <c r="A148" s="35" t="s">
        <v>2136</v>
      </c>
      <c r="B148" s="35" t="s">
        <v>2137</v>
      </c>
      <c r="C148" s="35" t="s">
        <v>48</v>
      </c>
      <c r="D148" s="35" t="s">
        <v>107</v>
      </c>
      <c r="E148" s="35" t="s">
        <v>247</v>
      </c>
      <c r="F148" s="35"/>
      <c r="G148" s="35" t="s">
        <v>188</v>
      </c>
      <c r="H148" s="35" t="s">
        <v>61</v>
      </c>
      <c r="I148" s="4"/>
    </row>
    <row r="149" customFormat="false" ht="15" hidden="false" customHeight="false" outlineLevel="0" collapsed="false">
      <c r="A149" s="35" t="s">
        <v>2138</v>
      </c>
      <c r="B149" s="35" t="s">
        <v>2139</v>
      </c>
      <c r="C149" s="35" t="s">
        <v>48</v>
      </c>
      <c r="D149" s="35" t="s">
        <v>107</v>
      </c>
      <c r="E149" s="35" t="s">
        <v>1066</v>
      </c>
      <c r="F149" s="35"/>
      <c r="G149" s="35" t="s">
        <v>545</v>
      </c>
      <c r="H149" s="35" t="s">
        <v>61</v>
      </c>
      <c r="I149" s="4"/>
    </row>
    <row r="150" customFormat="false" ht="15" hidden="false" customHeight="false" outlineLevel="0" collapsed="false">
      <c r="A150" s="35" t="s">
        <v>2140</v>
      </c>
      <c r="B150" s="35" t="s">
        <v>2141</v>
      </c>
      <c r="C150" s="35" t="s">
        <v>48</v>
      </c>
      <c r="D150" s="35" t="s">
        <v>107</v>
      </c>
      <c r="E150" s="35" t="s">
        <v>530</v>
      </c>
      <c r="F150" s="35"/>
      <c r="G150" s="35" t="s">
        <v>535</v>
      </c>
      <c r="H150" s="35" t="s">
        <v>61</v>
      </c>
      <c r="I150" s="4"/>
    </row>
    <row r="151" customFormat="false" ht="15" hidden="false" customHeight="false" outlineLevel="0" collapsed="false">
      <c r="A151" s="35" t="s">
        <v>2142</v>
      </c>
      <c r="B151" s="35" t="s">
        <v>2143</v>
      </c>
      <c r="C151" s="35" t="s">
        <v>48</v>
      </c>
      <c r="D151" s="35" t="s">
        <v>107</v>
      </c>
      <c r="E151" s="35" t="s">
        <v>548</v>
      </c>
      <c r="F151" s="35"/>
      <c r="G151" s="35" t="s">
        <v>545</v>
      </c>
      <c r="H151" s="35" t="s">
        <v>61</v>
      </c>
      <c r="I151" s="4"/>
    </row>
    <row r="152" customFormat="false" ht="15" hidden="false" customHeight="false" outlineLevel="0" collapsed="false">
      <c r="A152" s="35" t="s">
        <v>1816</v>
      </c>
      <c r="B152" s="35" t="s">
        <v>2144</v>
      </c>
      <c r="C152" s="35" t="s">
        <v>48</v>
      </c>
      <c r="D152" s="35" t="s">
        <v>107</v>
      </c>
      <c r="E152" s="35" t="s">
        <v>545</v>
      </c>
      <c r="F152" s="35"/>
      <c r="G152" s="35" t="s">
        <v>545</v>
      </c>
      <c r="H152" s="35" t="s">
        <v>61</v>
      </c>
      <c r="I152" s="4"/>
    </row>
    <row r="153" customFormat="false" ht="15" hidden="false" customHeight="false" outlineLevel="0" collapsed="false">
      <c r="A153" s="35" t="s">
        <v>2145</v>
      </c>
      <c r="B153" s="35" t="s">
        <v>2146</v>
      </c>
      <c r="C153" s="35" t="s">
        <v>48</v>
      </c>
      <c r="D153" s="35" t="s">
        <v>107</v>
      </c>
      <c r="E153" s="35" t="s">
        <v>1186</v>
      </c>
      <c r="F153" s="35" t="s">
        <v>2147</v>
      </c>
      <c r="G153" s="35" t="s">
        <v>524</v>
      </c>
      <c r="H153" s="35" t="s">
        <v>61</v>
      </c>
      <c r="I153" s="4"/>
    </row>
    <row r="154" customFormat="false" ht="15" hidden="false" customHeight="false" outlineLevel="0" collapsed="false">
      <c r="A154" s="35" t="s">
        <v>1512</v>
      </c>
      <c r="B154" s="35" t="s">
        <v>2148</v>
      </c>
      <c r="C154" s="35" t="s">
        <v>48</v>
      </c>
      <c r="D154" s="35" t="s">
        <v>107</v>
      </c>
      <c r="E154" s="35" t="s">
        <v>1511</v>
      </c>
      <c r="F154" s="35"/>
      <c r="G154" s="35" t="s">
        <v>685</v>
      </c>
      <c r="H154" s="35" t="s">
        <v>61</v>
      </c>
      <c r="I154" s="4"/>
    </row>
    <row r="155" customFormat="false" ht="15" hidden="false" customHeight="false" outlineLevel="0" collapsed="false">
      <c r="A155" s="35" t="s">
        <v>2149</v>
      </c>
      <c r="B155" s="35" t="s">
        <v>2150</v>
      </c>
      <c r="C155" s="35" t="s">
        <v>48</v>
      </c>
      <c r="D155" s="35" t="s">
        <v>107</v>
      </c>
      <c r="E155" s="35" t="s">
        <v>872</v>
      </c>
      <c r="F155" s="35"/>
      <c r="G155" s="35" t="s">
        <v>337</v>
      </c>
      <c r="H155" s="35" t="s">
        <v>2151</v>
      </c>
      <c r="I155" s="4"/>
    </row>
    <row r="156" customFormat="false" ht="15" hidden="false" customHeight="false" outlineLevel="0" collapsed="false">
      <c r="A156" s="35" t="s">
        <v>2152</v>
      </c>
      <c r="B156" s="35" t="s">
        <v>2153</v>
      </c>
      <c r="C156" s="35" t="s">
        <v>48</v>
      </c>
      <c r="D156" s="35" t="s">
        <v>107</v>
      </c>
      <c r="E156" s="35" t="s">
        <v>351</v>
      </c>
      <c r="F156" s="35"/>
      <c r="G156" s="35" t="s">
        <v>337</v>
      </c>
      <c r="H156" s="35" t="s">
        <v>61</v>
      </c>
      <c r="I156" s="4"/>
    </row>
    <row r="157" customFormat="false" ht="15" hidden="false" customHeight="false" outlineLevel="0" collapsed="false">
      <c r="A157" s="35" t="s">
        <v>2154</v>
      </c>
      <c r="B157" s="35" t="s">
        <v>2155</v>
      </c>
      <c r="C157" s="35" t="s">
        <v>48</v>
      </c>
      <c r="D157" s="35" t="s">
        <v>53</v>
      </c>
      <c r="E157" s="35"/>
      <c r="F157" s="35"/>
      <c r="G157" s="35" t="s">
        <v>337</v>
      </c>
      <c r="H157" s="35" t="s">
        <v>61</v>
      </c>
      <c r="I157" s="4"/>
    </row>
    <row r="158" customFormat="false" ht="15" hidden="false" customHeight="false" outlineLevel="0" collapsed="false">
      <c r="A158" s="35" t="s">
        <v>2156</v>
      </c>
      <c r="B158" s="35" t="s">
        <v>2157</v>
      </c>
      <c r="C158" s="35" t="s">
        <v>48</v>
      </c>
      <c r="D158" s="35" t="s">
        <v>107</v>
      </c>
      <c r="E158" s="35" t="s">
        <v>993</v>
      </c>
      <c r="F158" s="35"/>
      <c r="G158" s="35" t="s">
        <v>417</v>
      </c>
      <c r="H158" s="35" t="s">
        <v>61</v>
      </c>
      <c r="I158" s="4"/>
    </row>
    <row r="159" customFormat="false" ht="15" hidden="false" customHeight="false" outlineLevel="0" collapsed="false">
      <c r="A159" s="35" t="s">
        <v>2158</v>
      </c>
      <c r="B159" s="35" t="s">
        <v>2159</v>
      </c>
      <c r="C159" s="35" t="s">
        <v>48</v>
      </c>
      <c r="D159" s="35" t="s">
        <v>53</v>
      </c>
      <c r="E159" s="35"/>
      <c r="F159" s="35"/>
      <c r="G159" s="35" t="s">
        <v>417</v>
      </c>
      <c r="H159" s="35" t="s">
        <v>2109</v>
      </c>
      <c r="I159" s="4"/>
    </row>
    <row r="160" customFormat="false" ht="15" hidden="false" customHeight="false" outlineLevel="0" collapsed="false">
      <c r="A160" s="35" t="s">
        <v>2160</v>
      </c>
      <c r="B160" s="35" t="s">
        <v>2161</v>
      </c>
      <c r="C160" s="35" t="s">
        <v>48</v>
      </c>
      <c r="D160" s="35" t="s">
        <v>107</v>
      </c>
      <c r="E160" s="35" t="s">
        <v>220</v>
      </c>
      <c r="F160" s="35"/>
      <c r="G160" s="35" t="s">
        <v>119</v>
      </c>
      <c r="H160" s="35" t="s">
        <v>61</v>
      </c>
      <c r="I160" s="4"/>
    </row>
    <row r="161" customFormat="false" ht="15" hidden="false" customHeight="false" outlineLevel="0" collapsed="false">
      <c r="A161" s="35" t="s">
        <v>2162</v>
      </c>
      <c r="B161" s="35" t="s">
        <v>2163</v>
      </c>
      <c r="C161" s="35" t="s">
        <v>48</v>
      </c>
      <c r="D161" s="35" t="s">
        <v>107</v>
      </c>
      <c r="E161" s="35" t="s">
        <v>758</v>
      </c>
      <c r="F161" s="35"/>
      <c r="G161" s="35" t="s">
        <v>758</v>
      </c>
      <c r="H161" s="35" t="s">
        <v>61</v>
      </c>
      <c r="I161" s="4"/>
    </row>
    <row r="162" customFormat="false" ht="15" hidden="false" customHeight="false" outlineLevel="0" collapsed="false">
      <c r="A162" s="35" t="s">
        <v>1562</v>
      </c>
      <c r="B162" s="35" t="s">
        <v>2164</v>
      </c>
      <c r="C162" s="35" t="s">
        <v>48</v>
      </c>
      <c r="D162" s="35" t="s">
        <v>107</v>
      </c>
      <c r="E162" s="35" t="s">
        <v>759</v>
      </c>
      <c r="F162" s="35"/>
      <c r="G162" s="35" t="s">
        <v>759</v>
      </c>
      <c r="H162" s="35" t="s">
        <v>61</v>
      </c>
      <c r="I162" s="4"/>
    </row>
    <row r="163" customFormat="false" ht="15" hidden="false" customHeight="false" outlineLevel="0" collapsed="false">
      <c r="A163" s="35" t="s">
        <v>2165</v>
      </c>
      <c r="B163" s="35" t="s">
        <v>2166</v>
      </c>
      <c r="C163" s="35" t="s">
        <v>48</v>
      </c>
      <c r="D163" s="35" t="s">
        <v>107</v>
      </c>
      <c r="E163" s="35" t="s">
        <v>1180</v>
      </c>
      <c r="F163" s="35"/>
      <c r="G163" s="35" t="s">
        <v>679</v>
      </c>
      <c r="H163" s="35" t="s">
        <v>61</v>
      </c>
      <c r="I163" s="4"/>
    </row>
    <row r="164" customFormat="false" ht="15" hidden="false" customHeight="false" outlineLevel="0" collapsed="false">
      <c r="A164" s="35" t="s">
        <v>2167</v>
      </c>
      <c r="B164" s="35" t="s">
        <v>2168</v>
      </c>
      <c r="C164" s="35" t="s">
        <v>48</v>
      </c>
      <c r="D164" s="35" t="s">
        <v>107</v>
      </c>
      <c r="E164" s="35" t="s">
        <v>1180</v>
      </c>
      <c r="F164" s="35"/>
      <c r="G164" s="35" t="s">
        <v>679</v>
      </c>
      <c r="H164" s="35" t="s">
        <v>61</v>
      </c>
      <c r="I164" s="4"/>
    </row>
    <row r="165" customFormat="false" ht="15" hidden="false" customHeight="false" outlineLevel="0" collapsed="false">
      <c r="A165" s="35" t="s">
        <v>2169</v>
      </c>
      <c r="B165" s="35" t="s">
        <v>2169</v>
      </c>
      <c r="C165" s="35" t="s">
        <v>48</v>
      </c>
      <c r="D165" s="35" t="s">
        <v>107</v>
      </c>
      <c r="E165" s="35" t="s">
        <v>834</v>
      </c>
      <c r="F165" s="35"/>
      <c r="G165" s="35" t="s">
        <v>679</v>
      </c>
      <c r="H165" s="35" t="s">
        <v>61</v>
      </c>
      <c r="I165" s="4"/>
    </row>
    <row r="166" customFormat="false" ht="15" hidden="false" customHeight="false" outlineLevel="0" collapsed="false">
      <c r="A166" s="35" t="s">
        <v>2170</v>
      </c>
      <c r="B166" s="35" t="s">
        <v>2171</v>
      </c>
      <c r="C166" s="35" t="s">
        <v>48</v>
      </c>
      <c r="D166" s="35" t="s">
        <v>107</v>
      </c>
      <c r="E166" s="35" t="s">
        <v>798</v>
      </c>
      <c r="F166" s="35"/>
      <c r="G166" s="35" t="s">
        <v>328</v>
      </c>
      <c r="H166" s="35" t="s">
        <v>61</v>
      </c>
      <c r="I166" s="4"/>
    </row>
    <row r="167" customFormat="false" ht="15" hidden="false" customHeight="false" outlineLevel="0" collapsed="false">
      <c r="A167" s="35" t="s">
        <v>2172</v>
      </c>
      <c r="B167" s="35" t="s">
        <v>2173</v>
      </c>
      <c r="C167" s="35" t="s">
        <v>48</v>
      </c>
      <c r="D167" s="35" t="s">
        <v>107</v>
      </c>
      <c r="E167" s="35" t="s">
        <v>798</v>
      </c>
      <c r="F167" s="35"/>
      <c r="G167" s="35" t="s">
        <v>328</v>
      </c>
      <c r="H167" s="35" t="s">
        <v>61</v>
      </c>
      <c r="I167" s="4"/>
    </row>
    <row r="168" customFormat="false" ht="15" hidden="false" customHeight="false" outlineLevel="0" collapsed="false">
      <c r="A168" s="35" t="s">
        <v>1655</v>
      </c>
      <c r="B168" s="35" t="s">
        <v>2174</v>
      </c>
      <c r="C168" s="35" t="s">
        <v>48</v>
      </c>
      <c r="D168" s="35" t="s">
        <v>107</v>
      </c>
      <c r="E168" s="35" t="s">
        <v>1654</v>
      </c>
      <c r="F168" s="35"/>
      <c r="G168" s="35" t="s">
        <v>679</v>
      </c>
      <c r="H168" s="35" t="s">
        <v>61</v>
      </c>
      <c r="I168" s="4"/>
    </row>
    <row r="169" customFormat="false" ht="15" hidden="false" customHeight="false" outlineLevel="0" collapsed="false">
      <c r="A169" s="35" t="s">
        <v>2175</v>
      </c>
      <c r="B169" s="35" t="s">
        <v>2176</v>
      </c>
      <c r="C169" s="35" t="s">
        <v>48</v>
      </c>
      <c r="D169" s="35" t="s">
        <v>107</v>
      </c>
      <c r="E169" s="35" t="s">
        <v>313</v>
      </c>
      <c r="F169" s="35"/>
      <c r="G169" s="35" t="s">
        <v>262</v>
      </c>
      <c r="H169" s="35" t="s">
        <v>61</v>
      </c>
      <c r="I169" s="4"/>
    </row>
    <row r="170" customFormat="false" ht="15" hidden="false" customHeight="false" outlineLevel="0" collapsed="false">
      <c r="A170" s="35" t="s">
        <v>2177</v>
      </c>
      <c r="B170" s="35" t="s">
        <v>2178</v>
      </c>
      <c r="C170" s="35" t="s">
        <v>48</v>
      </c>
      <c r="D170" s="35" t="s">
        <v>107</v>
      </c>
      <c r="E170" s="35" t="s">
        <v>313</v>
      </c>
      <c r="F170" s="35"/>
      <c r="G170" s="35" t="s">
        <v>49</v>
      </c>
      <c r="H170" s="35" t="s">
        <v>49</v>
      </c>
      <c r="I170" s="4"/>
    </row>
    <row r="171" customFormat="false" ht="15" hidden="false" customHeight="false" outlineLevel="0" collapsed="false">
      <c r="A171" s="35" t="s">
        <v>2179</v>
      </c>
      <c r="B171" s="35" t="s">
        <v>2180</v>
      </c>
      <c r="C171" s="35" t="s">
        <v>48</v>
      </c>
      <c r="D171" s="35" t="s">
        <v>107</v>
      </c>
      <c r="E171" s="35" t="s">
        <v>313</v>
      </c>
      <c r="F171" s="35"/>
      <c r="G171" s="35" t="s">
        <v>49</v>
      </c>
      <c r="H171" s="35" t="s">
        <v>49</v>
      </c>
      <c r="I171" s="4"/>
    </row>
    <row r="172" customFormat="false" ht="15" hidden="false" customHeight="false" outlineLevel="0" collapsed="false">
      <c r="A172" s="35" t="s">
        <v>277</v>
      </c>
      <c r="B172" s="35" t="s">
        <v>278</v>
      </c>
      <c r="C172" s="35" t="s">
        <v>48</v>
      </c>
      <c r="D172" s="35" t="s">
        <v>107</v>
      </c>
      <c r="E172" s="35" t="s">
        <v>45</v>
      </c>
      <c r="F172" s="35"/>
      <c r="G172" s="35" t="s">
        <v>262</v>
      </c>
      <c r="H172" s="35" t="s">
        <v>61</v>
      </c>
      <c r="I172" s="4" t="s">
        <v>2025</v>
      </c>
    </row>
    <row r="173" customFormat="false" ht="15" hidden="false" customHeight="false" outlineLevel="0" collapsed="false">
      <c r="A173" s="35" t="s">
        <v>2181</v>
      </c>
      <c r="B173" s="35" t="s">
        <v>2182</v>
      </c>
      <c r="C173" s="35" t="s">
        <v>48</v>
      </c>
      <c r="D173" s="35" t="s">
        <v>146</v>
      </c>
      <c r="E173" s="35"/>
      <c r="F173" s="35"/>
      <c r="G173" s="35" t="s">
        <v>571</v>
      </c>
      <c r="H173" s="35" t="s">
        <v>61</v>
      </c>
      <c r="I173" s="4"/>
    </row>
    <row r="174" customFormat="false" ht="15" hidden="false" customHeight="false" outlineLevel="0" collapsed="false">
      <c r="A174" s="35" t="s">
        <v>2183</v>
      </c>
      <c r="B174" s="35" t="s">
        <v>2184</v>
      </c>
      <c r="C174" s="35" t="s">
        <v>48</v>
      </c>
      <c r="D174" s="35" t="s">
        <v>146</v>
      </c>
      <c r="E174" s="35"/>
      <c r="F174" s="35"/>
      <c r="G174" s="35" t="s">
        <v>571</v>
      </c>
      <c r="H174" s="35" t="s">
        <v>61</v>
      </c>
      <c r="I174" s="4"/>
    </row>
    <row r="175" customFormat="false" ht="15" hidden="false" customHeight="false" outlineLevel="0" collapsed="false">
      <c r="A175" s="35" t="s">
        <v>2185</v>
      </c>
      <c r="B175" s="35" t="s">
        <v>2186</v>
      </c>
      <c r="C175" s="35" t="s">
        <v>48</v>
      </c>
      <c r="D175" s="35" t="s">
        <v>107</v>
      </c>
      <c r="E175" s="35" t="s">
        <v>1025</v>
      </c>
      <c r="F175" s="35"/>
      <c r="G175" s="35" t="s">
        <v>571</v>
      </c>
      <c r="H175" s="35" t="s">
        <v>61</v>
      </c>
      <c r="I175" s="4"/>
    </row>
    <row r="176" customFormat="false" ht="15" hidden="false" customHeight="false" outlineLevel="0" collapsed="false">
      <c r="A176" s="35" t="s">
        <v>2187</v>
      </c>
      <c r="B176" s="35" t="s">
        <v>2188</v>
      </c>
      <c r="C176" s="35" t="s">
        <v>48</v>
      </c>
      <c r="D176" s="35" t="s">
        <v>107</v>
      </c>
      <c r="E176" s="35" t="s">
        <v>413</v>
      </c>
      <c r="F176" s="35"/>
      <c r="G176" s="35" t="s">
        <v>421</v>
      </c>
      <c r="H176" s="35" t="s">
        <v>61</v>
      </c>
      <c r="I176" s="4"/>
    </row>
    <row r="177" customFormat="false" ht="15" hidden="false" customHeight="false" outlineLevel="0" collapsed="false">
      <c r="A177" s="35" t="s">
        <v>2189</v>
      </c>
      <c r="B177" s="35" t="s">
        <v>2190</v>
      </c>
      <c r="C177" s="35" t="s">
        <v>48</v>
      </c>
      <c r="D177" s="35" t="s">
        <v>107</v>
      </c>
      <c r="E177" s="35" t="s">
        <v>587</v>
      </c>
      <c r="F177" s="35"/>
      <c r="G177" s="35" t="s">
        <v>571</v>
      </c>
      <c r="H177" s="35" t="s">
        <v>61</v>
      </c>
      <c r="I177" s="4"/>
    </row>
    <row r="178" customFormat="false" ht="15" hidden="false" customHeight="false" outlineLevel="0" collapsed="false">
      <c r="A178" s="35" t="s">
        <v>2191</v>
      </c>
      <c r="B178" s="35" t="s">
        <v>2192</v>
      </c>
      <c r="C178" s="35" t="s">
        <v>48</v>
      </c>
      <c r="D178" s="35" t="s">
        <v>107</v>
      </c>
      <c r="E178" s="35" t="s">
        <v>930</v>
      </c>
      <c r="F178" s="35"/>
      <c r="G178" s="35" t="s">
        <v>708</v>
      </c>
      <c r="H178" s="35" t="s">
        <v>258</v>
      </c>
      <c r="I178" s="4"/>
    </row>
    <row r="179" customFormat="false" ht="15" hidden="false" customHeight="false" outlineLevel="0" collapsed="false">
      <c r="A179" s="35" t="s">
        <v>2193</v>
      </c>
      <c r="B179" s="35" t="s">
        <v>2194</v>
      </c>
      <c r="C179" s="35" t="s">
        <v>48</v>
      </c>
      <c r="D179" s="35" t="s">
        <v>107</v>
      </c>
      <c r="E179" s="35" t="s">
        <v>930</v>
      </c>
      <c r="F179" s="35"/>
      <c r="G179" s="35" t="s">
        <v>708</v>
      </c>
      <c r="H179" s="35" t="s">
        <v>258</v>
      </c>
      <c r="I179" s="4"/>
    </row>
    <row r="180" customFormat="false" ht="15" hidden="false" customHeight="false" outlineLevel="0" collapsed="false">
      <c r="A180" s="35" t="s">
        <v>2195</v>
      </c>
      <c r="B180" s="35" t="s">
        <v>2196</v>
      </c>
      <c r="C180" s="35" t="s">
        <v>48</v>
      </c>
      <c r="D180" s="35" t="s">
        <v>53</v>
      </c>
      <c r="E180" s="35"/>
      <c r="F180" s="35"/>
      <c r="G180" s="35" t="s">
        <v>204</v>
      </c>
      <c r="H180" s="35" t="s">
        <v>245</v>
      </c>
      <c r="I180" s="4"/>
    </row>
    <row r="181" customFormat="false" ht="15" hidden="false" customHeight="false" outlineLevel="0" collapsed="false">
      <c r="A181" s="35" t="s">
        <v>2197</v>
      </c>
      <c r="B181" s="35" t="s">
        <v>2198</v>
      </c>
      <c r="C181" s="35" t="s">
        <v>48</v>
      </c>
      <c r="D181" s="35" t="s">
        <v>107</v>
      </c>
      <c r="E181" s="35" t="s">
        <v>1010</v>
      </c>
      <c r="F181" s="35"/>
      <c r="G181" s="35" t="s">
        <v>684</v>
      </c>
      <c r="H181" s="35" t="s">
        <v>61</v>
      </c>
      <c r="I181" s="4"/>
    </row>
    <row r="182" customFormat="false" ht="15" hidden="false" customHeight="false" outlineLevel="0" collapsed="false">
      <c r="A182" s="35" t="s">
        <v>253</v>
      </c>
      <c r="B182" s="35" t="s">
        <v>254</v>
      </c>
      <c r="C182" s="35" t="s">
        <v>48</v>
      </c>
      <c r="D182" s="35" t="s">
        <v>107</v>
      </c>
      <c r="E182" s="35" t="s">
        <v>247</v>
      </c>
      <c r="F182" s="35"/>
      <c r="G182" s="35" t="s">
        <v>188</v>
      </c>
      <c r="H182" s="35" t="s">
        <v>61</v>
      </c>
      <c r="I182" s="4" t="s">
        <v>2025</v>
      </c>
    </row>
    <row r="183" customFormat="false" ht="15" hidden="false" customHeight="false" outlineLevel="0" collapsed="false">
      <c r="A183" s="35" t="s">
        <v>2199</v>
      </c>
      <c r="B183" s="35" t="s">
        <v>2200</v>
      </c>
      <c r="C183" s="35" t="s">
        <v>48</v>
      </c>
      <c r="D183" s="35" t="s">
        <v>107</v>
      </c>
      <c r="E183" s="35" t="s">
        <v>247</v>
      </c>
      <c r="F183" s="35"/>
      <c r="G183" s="35" t="s">
        <v>119</v>
      </c>
      <c r="H183" s="35" t="s">
        <v>61</v>
      </c>
      <c r="I183" s="4"/>
    </row>
    <row r="184" customFormat="false" ht="15" hidden="false" customHeight="false" outlineLevel="0" collapsed="false">
      <c r="A184" s="35" t="s">
        <v>2201</v>
      </c>
      <c r="B184" s="35" t="s">
        <v>2202</v>
      </c>
      <c r="C184" s="35" t="s">
        <v>48</v>
      </c>
      <c r="D184" s="35" t="s">
        <v>107</v>
      </c>
      <c r="E184" s="35" t="s">
        <v>247</v>
      </c>
      <c r="F184" s="35"/>
      <c r="G184" s="35" t="s">
        <v>119</v>
      </c>
      <c r="H184" s="35" t="s">
        <v>2071</v>
      </c>
      <c r="I184" s="4"/>
    </row>
    <row r="185" customFormat="false" ht="15" hidden="false" customHeight="false" outlineLevel="0" collapsed="false">
      <c r="A185" s="35" t="s">
        <v>2203</v>
      </c>
      <c r="B185" s="35" t="s">
        <v>2204</v>
      </c>
      <c r="C185" s="35" t="s">
        <v>48</v>
      </c>
      <c r="D185" s="35" t="s">
        <v>107</v>
      </c>
      <c r="E185" s="35" t="s">
        <v>878</v>
      </c>
      <c r="F185" s="35"/>
      <c r="G185" s="35" t="s">
        <v>99</v>
      </c>
      <c r="H185" s="35" t="s">
        <v>61</v>
      </c>
      <c r="I185" s="4"/>
    </row>
    <row r="186" customFormat="false" ht="15" hidden="false" customHeight="false" outlineLevel="0" collapsed="false">
      <c r="A186" s="35" t="s">
        <v>2205</v>
      </c>
      <c r="B186" s="35" t="s">
        <v>2206</v>
      </c>
      <c r="C186" s="35" t="s">
        <v>48</v>
      </c>
      <c r="D186" s="35" t="s">
        <v>53</v>
      </c>
      <c r="E186" s="35"/>
      <c r="F186" s="35"/>
      <c r="G186" s="35" t="s">
        <v>204</v>
      </c>
      <c r="H186" s="35" t="s">
        <v>245</v>
      </c>
      <c r="I186" s="4"/>
    </row>
    <row r="187" customFormat="false" ht="15" hidden="false" customHeight="false" outlineLevel="0" collapsed="false">
      <c r="A187" s="35" t="s">
        <v>2207</v>
      </c>
      <c r="B187" s="35" t="s">
        <v>2208</v>
      </c>
      <c r="C187" s="35" t="s">
        <v>48</v>
      </c>
      <c r="D187" s="35" t="s">
        <v>107</v>
      </c>
      <c r="E187" s="35" t="s">
        <v>747</v>
      </c>
      <c r="F187" s="35"/>
      <c r="G187" s="35" t="s">
        <v>747</v>
      </c>
      <c r="H187" s="35" t="s">
        <v>61</v>
      </c>
      <c r="I187" s="4"/>
    </row>
    <row r="188" customFormat="false" ht="15" hidden="false" customHeight="false" outlineLevel="0" collapsed="false">
      <c r="A188" s="35" t="s">
        <v>559</v>
      </c>
      <c r="B188" s="35" t="s">
        <v>561</v>
      </c>
      <c r="C188" s="35" t="s">
        <v>48</v>
      </c>
      <c r="D188" s="35" t="s">
        <v>107</v>
      </c>
      <c r="E188" s="35" t="s">
        <v>560</v>
      </c>
      <c r="F188" s="35"/>
      <c r="G188" s="35" t="s">
        <v>555</v>
      </c>
      <c r="H188" s="35" t="s">
        <v>562</v>
      </c>
      <c r="I188" s="4" t="s">
        <v>2025</v>
      </c>
    </row>
    <row r="189" customFormat="false" ht="15" hidden="false" customHeight="false" outlineLevel="0" collapsed="false">
      <c r="A189" s="35" t="s">
        <v>2209</v>
      </c>
      <c r="B189" s="35" t="s">
        <v>2210</v>
      </c>
      <c r="C189" s="35" t="s">
        <v>48</v>
      </c>
      <c r="D189" s="35" t="s">
        <v>107</v>
      </c>
      <c r="E189" s="35" t="s">
        <v>1021</v>
      </c>
      <c r="F189" s="35" t="s">
        <v>157</v>
      </c>
      <c r="G189" s="35" t="s">
        <v>692</v>
      </c>
      <c r="H189" s="35" t="s">
        <v>61</v>
      </c>
      <c r="I189" s="4"/>
    </row>
    <row r="190" customFormat="false" ht="15" hidden="false" customHeight="false" outlineLevel="0" collapsed="false">
      <c r="A190" s="35" t="s">
        <v>2211</v>
      </c>
      <c r="B190" s="35" t="s">
        <v>2212</v>
      </c>
      <c r="C190" s="35" t="s">
        <v>48</v>
      </c>
      <c r="D190" s="35" t="s">
        <v>107</v>
      </c>
      <c r="E190" s="35" t="s">
        <v>1027</v>
      </c>
      <c r="F190" s="35"/>
      <c r="G190" s="35" t="s">
        <v>417</v>
      </c>
      <c r="H190" s="35" t="s">
        <v>61</v>
      </c>
      <c r="I190" s="4"/>
    </row>
    <row r="191" customFormat="false" ht="15" hidden="false" customHeight="false" outlineLevel="0" collapsed="false">
      <c r="A191" s="35" t="s">
        <v>2213</v>
      </c>
      <c r="B191" s="35" t="s">
        <v>2214</v>
      </c>
      <c r="C191" s="35" t="s">
        <v>48</v>
      </c>
      <c r="D191" s="35" t="s">
        <v>107</v>
      </c>
      <c r="E191" s="35" t="s">
        <v>940</v>
      </c>
      <c r="F191" s="35"/>
      <c r="G191" s="35" t="s">
        <v>99</v>
      </c>
      <c r="H191" s="35" t="s">
        <v>61</v>
      </c>
      <c r="I191" s="4"/>
    </row>
    <row r="192" customFormat="false" ht="15" hidden="false" customHeight="false" outlineLevel="0" collapsed="false">
      <c r="A192" s="35" t="s">
        <v>2215</v>
      </c>
      <c r="B192" s="35" t="s">
        <v>2216</v>
      </c>
      <c r="C192" s="35" t="s">
        <v>48</v>
      </c>
      <c r="D192" s="35" t="s">
        <v>107</v>
      </c>
      <c r="E192" s="35" t="s">
        <v>798</v>
      </c>
      <c r="F192" s="35" t="s">
        <v>174</v>
      </c>
      <c r="G192" s="35" t="s">
        <v>328</v>
      </c>
      <c r="H192" s="35" t="s">
        <v>61</v>
      </c>
      <c r="I192" s="4"/>
    </row>
    <row r="193" customFormat="false" ht="15" hidden="false" customHeight="false" outlineLevel="0" collapsed="false">
      <c r="A193" s="35" t="s">
        <v>2217</v>
      </c>
      <c r="B193" s="35" t="s">
        <v>2218</v>
      </c>
      <c r="C193" s="35" t="s">
        <v>48</v>
      </c>
      <c r="D193" s="35" t="s">
        <v>107</v>
      </c>
      <c r="E193" s="35" t="s">
        <v>1041</v>
      </c>
      <c r="F193" s="35"/>
      <c r="G193" s="35" t="s">
        <v>571</v>
      </c>
      <c r="H193" s="35" t="s">
        <v>61</v>
      </c>
      <c r="I193" s="4"/>
    </row>
    <row r="194" customFormat="false" ht="15" hidden="false" customHeight="false" outlineLevel="0" collapsed="false">
      <c r="A194" s="35" t="s">
        <v>2219</v>
      </c>
      <c r="B194" s="35" t="s">
        <v>2220</v>
      </c>
      <c r="C194" s="35" t="s">
        <v>48</v>
      </c>
      <c r="D194" s="35" t="s">
        <v>107</v>
      </c>
      <c r="E194" s="35" t="s">
        <v>261</v>
      </c>
      <c r="F194" s="35"/>
      <c r="G194" s="35" t="s">
        <v>262</v>
      </c>
      <c r="H194" s="35" t="s">
        <v>61</v>
      </c>
      <c r="I194" s="4"/>
    </row>
    <row r="195" customFormat="false" ht="15" hidden="false" customHeight="false" outlineLevel="0" collapsed="false">
      <c r="A195" s="35" t="s">
        <v>586</v>
      </c>
      <c r="B195" s="35" t="s">
        <v>588</v>
      </c>
      <c r="C195" s="35" t="s">
        <v>48</v>
      </c>
      <c r="D195" s="35" t="s">
        <v>107</v>
      </c>
      <c r="E195" s="35" t="s">
        <v>587</v>
      </c>
      <c r="F195" s="35"/>
      <c r="G195" s="35" t="s">
        <v>571</v>
      </c>
      <c r="H195" s="35" t="s">
        <v>61</v>
      </c>
      <c r="I195" s="4" t="s">
        <v>2025</v>
      </c>
    </row>
    <row r="196" customFormat="false" ht="15" hidden="false" customHeight="false" outlineLevel="0" collapsed="false">
      <c r="A196" s="35" t="s">
        <v>2221</v>
      </c>
      <c r="B196" s="35" t="s">
        <v>2222</v>
      </c>
      <c r="C196" s="35" t="s">
        <v>48</v>
      </c>
      <c r="D196" s="35" t="s">
        <v>107</v>
      </c>
      <c r="E196" s="35" t="s">
        <v>1270</v>
      </c>
      <c r="F196" s="35"/>
      <c r="G196" s="35" t="s">
        <v>571</v>
      </c>
      <c r="H196" s="35" t="s">
        <v>61</v>
      </c>
      <c r="I196" s="4"/>
    </row>
    <row r="197" customFormat="false" ht="15" hidden="false" customHeight="false" outlineLevel="0" collapsed="false">
      <c r="A197" s="35" t="s">
        <v>547</v>
      </c>
      <c r="B197" s="35" t="s">
        <v>549</v>
      </c>
      <c r="C197" s="35" t="s">
        <v>48</v>
      </c>
      <c r="D197" s="35" t="s">
        <v>107</v>
      </c>
      <c r="E197" s="35" t="s">
        <v>548</v>
      </c>
      <c r="F197" s="35"/>
      <c r="G197" s="35" t="s">
        <v>545</v>
      </c>
      <c r="H197" s="35" t="s">
        <v>61</v>
      </c>
      <c r="I197" s="4" t="s">
        <v>2025</v>
      </c>
    </row>
    <row r="198" customFormat="false" ht="15" hidden="false" customHeight="false" outlineLevel="0" collapsed="false">
      <c r="A198" s="35" t="s">
        <v>2223</v>
      </c>
      <c r="B198" s="35" t="s">
        <v>2224</v>
      </c>
      <c r="C198" s="35" t="s">
        <v>48</v>
      </c>
      <c r="D198" s="35" t="s">
        <v>107</v>
      </c>
      <c r="E198" s="35" t="s">
        <v>587</v>
      </c>
      <c r="F198" s="35"/>
      <c r="G198" s="35" t="s">
        <v>571</v>
      </c>
      <c r="H198" s="35" t="s">
        <v>61</v>
      </c>
      <c r="I198" s="4"/>
    </row>
    <row r="199" customFormat="false" ht="15" hidden="false" customHeight="false" outlineLevel="0" collapsed="false">
      <c r="A199" s="35" t="s">
        <v>2225</v>
      </c>
      <c r="B199" s="35" t="s">
        <v>2226</v>
      </c>
      <c r="C199" s="35" t="s">
        <v>48</v>
      </c>
      <c r="D199" s="35" t="s">
        <v>114</v>
      </c>
      <c r="E199" s="35"/>
      <c r="F199" s="35"/>
      <c r="G199" s="35" t="s">
        <v>204</v>
      </c>
      <c r="H199" s="35" t="s">
        <v>61</v>
      </c>
      <c r="I199" s="4"/>
    </row>
    <row r="200" customFormat="false" ht="15" hidden="false" customHeight="false" outlineLevel="0" collapsed="false">
      <c r="A200" s="35" t="s">
        <v>2227</v>
      </c>
      <c r="B200" s="35" t="s">
        <v>2228</v>
      </c>
      <c r="C200" s="35" t="s">
        <v>48</v>
      </c>
      <c r="D200" s="35" t="s">
        <v>107</v>
      </c>
      <c r="E200" s="35" t="s">
        <v>872</v>
      </c>
      <c r="F200" s="35"/>
      <c r="G200" s="35" t="s">
        <v>337</v>
      </c>
      <c r="H200" s="35" t="s">
        <v>2151</v>
      </c>
      <c r="I200" s="4"/>
    </row>
    <row r="201" customFormat="false" ht="15" hidden="false" customHeight="false" outlineLevel="0" collapsed="false">
      <c r="A201" s="35" t="s">
        <v>2229</v>
      </c>
      <c r="B201" s="35" t="s">
        <v>2230</v>
      </c>
      <c r="C201" s="35" t="s">
        <v>48</v>
      </c>
      <c r="D201" s="35" t="s">
        <v>107</v>
      </c>
      <c r="E201" s="35" t="s">
        <v>351</v>
      </c>
      <c r="F201" s="35"/>
      <c r="G201" s="35" t="s">
        <v>337</v>
      </c>
      <c r="H201" s="35" t="s">
        <v>61</v>
      </c>
      <c r="I201" s="4"/>
    </row>
    <row r="202" customFormat="false" ht="15" hidden="false" customHeight="false" outlineLevel="0" collapsed="false">
      <c r="A202" s="35" t="s">
        <v>2231</v>
      </c>
      <c r="B202" s="35" t="s">
        <v>2232</v>
      </c>
      <c r="C202" s="35" t="s">
        <v>48</v>
      </c>
      <c r="D202" s="35" t="s">
        <v>107</v>
      </c>
      <c r="E202" s="35" t="s">
        <v>45</v>
      </c>
      <c r="F202" s="35"/>
      <c r="G202" s="35" t="s">
        <v>524</v>
      </c>
      <c r="H202" s="35" t="s">
        <v>2233</v>
      </c>
      <c r="I202" s="4"/>
    </row>
    <row r="203" customFormat="false" ht="15" hidden="false" customHeight="false" outlineLevel="0" collapsed="false">
      <c r="A203" s="35" t="s">
        <v>2234</v>
      </c>
      <c r="B203" s="35" t="s">
        <v>2235</v>
      </c>
      <c r="C203" s="35" t="s">
        <v>48</v>
      </c>
      <c r="D203" s="35" t="s">
        <v>107</v>
      </c>
      <c r="E203" s="35" t="s">
        <v>45</v>
      </c>
      <c r="F203" s="35"/>
      <c r="G203" s="35" t="s">
        <v>262</v>
      </c>
      <c r="H203" s="35" t="s">
        <v>61</v>
      </c>
      <c r="I203" s="4"/>
    </row>
    <row r="204" customFormat="false" ht="15" hidden="false" customHeight="false" outlineLevel="0" collapsed="false">
      <c r="A204" s="35" t="s">
        <v>2236</v>
      </c>
      <c r="B204" s="35" t="s">
        <v>2237</v>
      </c>
      <c r="C204" s="35" t="s">
        <v>48</v>
      </c>
      <c r="D204" s="35" t="s">
        <v>107</v>
      </c>
      <c r="E204" s="35" t="s">
        <v>45</v>
      </c>
      <c r="F204" s="35"/>
      <c r="G204" s="35" t="s">
        <v>262</v>
      </c>
      <c r="H204" s="35" t="s">
        <v>61</v>
      </c>
      <c r="I204" s="4"/>
    </row>
    <row r="205" customFormat="false" ht="15" hidden="false" customHeight="false" outlineLevel="0" collapsed="false">
      <c r="A205" s="35" t="s">
        <v>2238</v>
      </c>
      <c r="B205" s="35" t="s">
        <v>2239</v>
      </c>
      <c r="C205" s="35" t="s">
        <v>48</v>
      </c>
      <c r="D205" s="35" t="s">
        <v>107</v>
      </c>
      <c r="E205" s="35" t="s">
        <v>45</v>
      </c>
      <c r="F205" s="35"/>
      <c r="G205" s="35" t="s">
        <v>262</v>
      </c>
      <c r="H205" s="35" t="s">
        <v>61</v>
      </c>
      <c r="I205" s="4"/>
    </row>
    <row r="206" customFormat="false" ht="15" hidden="false" customHeight="false" outlineLevel="0" collapsed="false">
      <c r="A206" s="35" t="s">
        <v>2240</v>
      </c>
      <c r="B206" s="35" t="s">
        <v>2241</v>
      </c>
      <c r="C206" s="35" t="s">
        <v>48</v>
      </c>
      <c r="D206" s="35" t="s">
        <v>107</v>
      </c>
      <c r="E206" s="35" t="s">
        <v>45</v>
      </c>
      <c r="F206" s="35"/>
      <c r="G206" s="35" t="s">
        <v>524</v>
      </c>
      <c r="H206" s="35" t="s">
        <v>2233</v>
      </c>
      <c r="I206" s="4"/>
    </row>
    <row r="207" customFormat="false" ht="15" hidden="false" customHeight="false" outlineLevel="0" collapsed="false">
      <c r="A207" s="35" t="s">
        <v>2242</v>
      </c>
      <c r="B207" s="35" t="s">
        <v>2243</v>
      </c>
      <c r="C207" s="35" t="s">
        <v>48</v>
      </c>
      <c r="D207" s="35" t="s">
        <v>107</v>
      </c>
      <c r="E207" s="35" t="s">
        <v>1071</v>
      </c>
      <c r="F207" s="35"/>
      <c r="G207" s="35" t="s">
        <v>741</v>
      </c>
      <c r="H207" s="35" t="s">
        <v>61</v>
      </c>
      <c r="I207" s="4"/>
    </row>
    <row r="208" customFormat="false" ht="15" hidden="false" customHeight="false" outlineLevel="0" collapsed="false">
      <c r="A208" s="35" t="s">
        <v>2244</v>
      </c>
      <c r="B208" s="35" t="s">
        <v>2245</v>
      </c>
      <c r="C208" s="35" t="s">
        <v>48</v>
      </c>
      <c r="D208" s="35" t="s">
        <v>107</v>
      </c>
      <c r="E208" s="35" t="s">
        <v>901</v>
      </c>
      <c r="F208" s="35" t="s">
        <v>45</v>
      </c>
      <c r="G208" s="35" t="s">
        <v>697</v>
      </c>
      <c r="H208" s="35" t="s">
        <v>61</v>
      </c>
      <c r="I208" s="4"/>
    </row>
    <row r="209" customFormat="false" ht="15" hidden="false" customHeight="false" outlineLevel="0" collapsed="false">
      <c r="A209" s="35" t="s">
        <v>2246</v>
      </c>
      <c r="B209" s="35" t="s">
        <v>2247</v>
      </c>
      <c r="C209" s="35" t="s">
        <v>48</v>
      </c>
      <c r="D209" s="35" t="s">
        <v>53</v>
      </c>
      <c r="E209" s="35"/>
      <c r="F209" s="35"/>
      <c r="G209" s="35" t="s">
        <v>444</v>
      </c>
      <c r="H209" s="35" t="s">
        <v>61</v>
      </c>
      <c r="I209" s="4"/>
    </row>
    <row r="210" customFormat="false" ht="15" hidden="false" customHeight="false" outlineLevel="0" collapsed="false">
      <c r="A210" s="35" t="s">
        <v>489</v>
      </c>
      <c r="B210" s="35" t="s">
        <v>490</v>
      </c>
      <c r="C210" s="35" t="s">
        <v>48</v>
      </c>
      <c r="D210" s="35" t="s">
        <v>107</v>
      </c>
      <c r="E210" s="35" t="s">
        <v>484</v>
      </c>
      <c r="F210" s="35"/>
      <c r="G210" s="35" t="s">
        <v>444</v>
      </c>
      <c r="H210" s="35" t="s">
        <v>61</v>
      </c>
      <c r="I210" s="4" t="s">
        <v>2025</v>
      </c>
    </row>
    <row r="211" customFormat="false" ht="15" hidden="false" customHeight="false" outlineLevel="0" collapsed="false">
      <c r="A211" s="35" t="s">
        <v>1321</v>
      </c>
      <c r="B211" s="35" t="s">
        <v>2248</v>
      </c>
      <c r="C211" s="35" t="s">
        <v>48</v>
      </c>
      <c r="D211" s="35" t="s">
        <v>107</v>
      </c>
      <c r="E211" s="35" t="s">
        <v>1320</v>
      </c>
      <c r="F211" s="35"/>
      <c r="G211" s="35" t="s">
        <v>740</v>
      </c>
      <c r="H211" s="35" t="s">
        <v>61</v>
      </c>
      <c r="I211" s="4"/>
    </row>
    <row r="212" customFormat="false" ht="15" hidden="false" customHeight="false" outlineLevel="0" collapsed="false">
      <c r="A212" s="35" t="s">
        <v>2249</v>
      </c>
      <c r="B212" s="35" t="s">
        <v>2250</v>
      </c>
      <c r="C212" s="35" t="s">
        <v>48</v>
      </c>
      <c r="D212" s="35" t="s">
        <v>53</v>
      </c>
      <c r="E212" s="35"/>
      <c r="F212" s="35"/>
      <c r="G212" s="35" t="s">
        <v>104</v>
      </c>
      <c r="H212" s="35" t="s">
        <v>61</v>
      </c>
      <c r="I212" s="4"/>
    </row>
    <row r="213" customFormat="false" ht="15" hidden="false" customHeight="false" outlineLevel="0" collapsed="false">
      <c r="A213" s="35" t="s">
        <v>2251</v>
      </c>
      <c r="B213" s="35" t="s">
        <v>2252</v>
      </c>
      <c r="C213" s="35" t="s">
        <v>48</v>
      </c>
      <c r="D213" s="35" t="s">
        <v>114</v>
      </c>
      <c r="E213" s="35"/>
      <c r="F213" s="35"/>
      <c r="G213" s="35" t="s">
        <v>690</v>
      </c>
      <c r="H213" s="35" t="s">
        <v>61</v>
      </c>
      <c r="I213" s="4"/>
    </row>
    <row r="214" customFormat="false" ht="15" hidden="false" customHeight="false" outlineLevel="0" collapsed="false">
      <c r="A214" s="35" t="s">
        <v>2253</v>
      </c>
      <c r="B214" s="35" t="s">
        <v>2254</v>
      </c>
      <c r="C214" s="35" t="s">
        <v>48</v>
      </c>
      <c r="D214" s="35" t="s">
        <v>157</v>
      </c>
      <c r="E214" s="35"/>
      <c r="F214" s="35"/>
      <c r="G214" s="35" t="s">
        <v>99</v>
      </c>
      <c r="H214" s="35" t="s">
        <v>61</v>
      </c>
      <c r="I214" s="4"/>
    </row>
    <row r="215" customFormat="false" ht="15" hidden="false" customHeight="false" outlineLevel="0" collapsed="false">
      <c r="A215" s="35" t="s">
        <v>1325</v>
      </c>
      <c r="B215" s="35" t="s">
        <v>2255</v>
      </c>
      <c r="C215" s="35" t="s">
        <v>48</v>
      </c>
      <c r="D215" s="35" t="s">
        <v>107</v>
      </c>
      <c r="E215" s="35" t="s">
        <v>1324</v>
      </c>
      <c r="F215" s="35"/>
      <c r="G215" s="35" t="s">
        <v>686</v>
      </c>
      <c r="H215" s="35" t="s">
        <v>61</v>
      </c>
      <c r="I215" s="4"/>
    </row>
    <row r="216" customFormat="false" ht="15" hidden="false" customHeight="false" outlineLevel="0" collapsed="false">
      <c r="A216" s="35" t="s">
        <v>2256</v>
      </c>
      <c r="B216" s="35" t="s">
        <v>2257</v>
      </c>
      <c r="C216" s="35" t="s">
        <v>48</v>
      </c>
      <c r="D216" s="35" t="s">
        <v>57</v>
      </c>
      <c r="E216" s="35" t="s">
        <v>1052</v>
      </c>
      <c r="F216" s="35"/>
      <c r="G216" s="35" t="s">
        <v>690</v>
      </c>
      <c r="H216" s="35" t="s">
        <v>61</v>
      </c>
      <c r="I216" s="4"/>
    </row>
    <row r="217" customFormat="false" ht="15" hidden="false" customHeight="false" outlineLevel="0" collapsed="false">
      <c r="A217" s="35" t="s">
        <v>1288</v>
      </c>
      <c r="B217" s="35" t="s">
        <v>2258</v>
      </c>
      <c r="C217" s="35" t="s">
        <v>48</v>
      </c>
      <c r="D217" s="35" t="s">
        <v>107</v>
      </c>
      <c r="E217" s="35" t="s">
        <v>1287</v>
      </c>
      <c r="F217" s="35"/>
      <c r="G217" s="35" t="s">
        <v>690</v>
      </c>
      <c r="H217" s="35" t="s">
        <v>61</v>
      </c>
      <c r="I217" s="4"/>
    </row>
    <row r="218" customFormat="false" ht="15" hidden="false" customHeight="false" outlineLevel="0" collapsed="false">
      <c r="A218" s="35" t="s">
        <v>1329</v>
      </c>
      <c r="B218" s="35" t="s">
        <v>2259</v>
      </c>
      <c r="C218" s="35" t="s">
        <v>48</v>
      </c>
      <c r="D218" s="35" t="s">
        <v>46</v>
      </c>
      <c r="E218" s="35" t="s">
        <v>1328</v>
      </c>
      <c r="F218" s="35"/>
      <c r="G218" s="35" t="s">
        <v>262</v>
      </c>
      <c r="H218" s="35" t="s">
        <v>61</v>
      </c>
      <c r="I218" s="4"/>
    </row>
    <row r="219" customFormat="false" ht="15" hidden="false" customHeight="false" outlineLevel="0" collapsed="false">
      <c r="A219" s="35" t="s">
        <v>2260</v>
      </c>
      <c r="B219" s="35" t="s">
        <v>2261</v>
      </c>
      <c r="C219" s="35" t="s">
        <v>48</v>
      </c>
      <c r="D219" s="35" t="s">
        <v>57</v>
      </c>
      <c r="E219" s="35" t="s">
        <v>1068</v>
      </c>
      <c r="F219" s="35"/>
      <c r="G219" s="35" t="s">
        <v>571</v>
      </c>
      <c r="H219" s="35" t="s">
        <v>245</v>
      </c>
      <c r="I219" s="4"/>
    </row>
    <row r="220" customFormat="false" ht="15" hidden="false" customHeight="false" outlineLevel="0" collapsed="false">
      <c r="A220" s="35" t="s">
        <v>2262</v>
      </c>
      <c r="B220" s="35" t="s">
        <v>2263</v>
      </c>
      <c r="C220" s="35" t="s">
        <v>48</v>
      </c>
      <c r="D220" s="35" t="s">
        <v>57</v>
      </c>
      <c r="E220" s="35" t="s">
        <v>569</v>
      </c>
      <c r="F220" s="35"/>
      <c r="G220" s="35" t="s">
        <v>571</v>
      </c>
      <c r="H220" s="35" t="s">
        <v>245</v>
      </c>
      <c r="I220" s="4"/>
    </row>
    <row r="221" customFormat="false" ht="15" hidden="false" customHeight="false" outlineLevel="0" collapsed="false">
      <c r="A221" s="35" t="s">
        <v>2264</v>
      </c>
      <c r="B221" s="35" t="s">
        <v>2265</v>
      </c>
      <c r="C221" s="35" t="s">
        <v>48</v>
      </c>
      <c r="D221" s="35" t="s">
        <v>57</v>
      </c>
      <c r="E221" s="35" t="s">
        <v>580</v>
      </c>
      <c r="F221" s="35"/>
      <c r="G221" s="35" t="s">
        <v>571</v>
      </c>
      <c r="H221" s="35" t="s">
        <v>245</v>
      </c>
      <c r="I221" s="4"/>
    </row>
    <row r="222" customFormat="false" ht="15" hidden="false" customHeight="false" outlineLevel="0" collapsed="false">
      <c r="A222" s="35" t="s">
        <v>2266</v>
      </c>
      <c r="B222" s="35" t="s">
        <v>2267</v>
      </c>
      <c r="C222" s="35" t="s">
        <v>48</v>
      </c>
      <c r="D222" s="35" t="s">
        <v>57</v>
      </c>
      <c r="E222" s="35" t="s">
        <v>575</v>
      </c>
      <c r="F222" s="35"/>
      <c r="G222" s="35" t="s">
        <v>571</v>
      </c>
      <c r="H222" s="35" t="s">
        <v>245</v>
      </c>
      <c r="I222" s="4"/>
    </row>
    <row r="223" customFormat="false" ht="15" hidden="false" customHeight="false" outlineLevel="0" collapsed="false">
      <c r="A223" s="35" t="s">
        <v>1333</v>
      </c>
      <c r="B223" s="35" t="s">
        <v>2268</v>
      </c>
      <c r="C223" s="35" t="s">
        <v>48</v>
      </c>
      <c r="D223" s="35" t="s">
        <v>107</v>
      </c>
      <c r="E223" s="35" t="s">
        <v>1332</v>
      </c>
      <c r="F223" s="35"/>
      <c r="G223" s="35" t="s">
        <v>417</v>
      </c>
      <c r="H223" s="35" t="s">
        <v>61</v>
      </c>
      <c r="I223" s="4"/>
    </row>
    <row r="224" customFormat="false" ht="15" hidden="false" customHeight="false" outlineLevel="0" collapsed="false">
      <c r="A224" s="35" t="s">
        <v>2269</v>
      </c>
      <c r="B224" s="35" t="s">
        <v>2270</v>
      </c>
      <c r="C224" s="35" t="s">
        <v>48</v>
      </c>
      <c r="D224" s="35" t="s">
        <v>146</v>
      </c>
      <c r="E224" s="35"/>
      <c r="F224" s="35" t="s">
        <v>967</v>
      </c>
      <c r="G224" s="35" t="s">
        <v>699</v>
      </c>
      <c r="H224" s="35" t="s">
        <v>61</v>
      </c>
      <c r="I224" s="4"/>
    </row>
    <row r="225" customFormat="false" ht="15" hidden="false" customHeight="false" outlineLevel="0" collapsed="false">
      <c r="A225" s="35" t="s">
        <v>2271</v>
      </c>
      <c r="B225" s="35" t="s">
        <v>2272</v>
      </c>
      <c r="C225" s="35" t="s">
        <v>48</v>
      </c>
      <c r="D225" s="35" t="s">
        <v>53</v>
      </c>
      <c r="E225" s="35"/>
      <c r="F225" s="35" t="s">
        <v>967</v>
      </c>
      <c r="G225" s="35" t="s">
        <v>699</v>
      </c>
      <c r="H225" s="35" t="s">
        <v>61</v>
      </c>
      <c r="I225" s="4"/>
    </row>
    <row r="226" customFormat="false" ht="15" hidden="false" customHeight="false" outlineLevel="0" collapsed="false">
      <c r="A226" s="35" t="s">
        <v>1589</v>
      </c>
      <c r="B226" s="35" t="s">
        <v>2273</v>
      </c>
      <c r="C226" s="35" t="s">
        <v>48</v>
      </c>
      <c r="D226" s="35" t="s">
        <v>107</v>
      </c>
      <c r="E226" s="35" t="s">
        <v>1588</v>
      </c>
      <c r="F226" s="35"/>
      <c r="G226" s="35" t="s">
        <v>188</v>
      </c>
      <c r="H226" s="35" t="s">
        <v>61</v>
      </c>
      <c r="I226" s="4"/>
    </row>
    <row r="227" customFormat="false" ht="15" hidden="false" customHeight="false" outlineLevel="0" collapsed="false">
      <c r="A227" s="35" t="s">
        <v>903</v>
      </c>
      <c r="B227" s="35" t="s">
        <v>2274</v>
      </c>
      <c r="C227" s="35" t="s">
        <v>48</v>
      </c>
      <c r="D227" s="35" t="s">
        <v>57</v>
      </c>
      <c r="E227" s="35" t="s">
        <v>903</v>
      </c>
      <c r="F227" s="35" t="s">
        <v>2055</v>
      </c>
      <c r="G227" s="35" t="s">
        <v>91</v>
      </c>
      <c r="H227" s="35" t="s">
        <v>61</v>
      </c>
      <c r="I227" s="4"/>
    </row>
    <row r="228" customFormat="false" ht="15" hidden="false" customHeight="false" outlineLevel="0" collapsed="false">
      <c r="A228" s="35" t="s">
        <v>2275</v>
      </c>
      <c r="B228" s="35" t="s">
        <v>2276</v>
      </c>
      <c r="C228" s="35" t="s">
        <v>48</v>
      </c>
      <c r="D228" s="35" t="s">
        <v>53</v>
      </c>
      <c r="E228" s="35"/>
      <c r="F228" s="35" t="s">
        <v>2055</v>
      </c>
      <c r="G228" s="35" t="s">
        <v>91</v>
      </c>
      <c r="H228" s="35" t="s">
        <v>61</v>
      </c>
      <c r="I228" s="4"/>
    </row>
    <row r="229" customFormat="false" ht="15" hidden="false" customHeight="false" outlineLevel="0" collapsed="false">
      <c r="A229" s="35" t="s">
        <v>2277</v>
      </c>
      <c r="B229" s="35" t="s">
        <v>2278</v>
      </c>
      <c r="C229" s="35" t="s">
        <v>48</v>
      </c>
      <c r="D229" s="35" t="s">
        <v>107</v>
      </c>
      <c r="E229" s="35" t="s">
        <v>262</v>
      </c>
      <c r="F229" s="35"/>
      <c r="G229" s="35" t="s">
        <v>49</v>
      </c>
      <c r="H229" s="35" t="s">
        <v>49</v>
      </c>
      <c r="I229" s="4"/>
    </row>
    <row r="230" customFormat="false" ht="15" hidden="false" customHeight="false" outlineLevel="0" collapsed="false">
      <c r="A230" s="35" t="s">
        <v>2279</v>
      </c>
      <c r="B230" s="35" t="s">
        <v>2280</v>
      </c>
      <c r="C230" s="35" t="s">
        <v>48</v>
      </c>
      <c r="D230" s="35" t="s">
        <v>107</v>
      </c>
      <c r="E230" s="35" t="s">
        <v>262</v>
      </c>
      <c r="F230" s="35"/>
      <c r="G230" s="35" t="s">
        <v>49</v>
      </c>
      <c r="H230" s="35" t="s">
        <v>49</v>
      </c>
      <c r="I230" s="4"/>
    </row>
    <row r="231" customFormat="false" ht="15" hidden="false" customHeight="false" outlineLevel="0" collapsed="false">
      <c r="A231" s="35" t="s">
        <v>2281</v>
      </c>
      <c r="B231" s="35" t="s">
        <v>2282</v>
      </c>
      <c r="C231" s="35" t="s">
        <v>48</v>
      </c>
      <c r="D231" s="35" t="s">
        <v>107</v>
      </c>
      <c r="E231" s="35" t="s">
        <v>1014</v>
      </c>
      <c r="F231" s="35" t="s">
        <v>2147</v>
      </c>
      <c r="G231" s="35" t="s">
        <v>712</v>
      </c>
      <c r="H231" s="35" t="s">
        <v>61</v>
      </c>
      <c r="I231" s="4"/>
    </row>
    <row r="232" customFormat="false" ht="15" hidden="false" customHeight="false" outlineLevel="0" collapsed="false">
      <c r="A232" s="35" t="s">
        <v>1789</v>
      </c>
      <c r="B232" s="35" t="s">
        <v>2283</v>
      </c>
      <c r="C232" s="35" t="s">
        <v>48</v>
      </c>
      <c r="D232" s="35" t="s">
        <v>107</v>
      </c>
      <c r="E232" s="35" t="s">
        <v>1788</v>
      </c>
      <c r="F232" s="35"/>
      <c r="G232" s="35" t="s">
        <v>49</v>
      </c>
      <c r="H232" s="35" t="s">
        <v>50</v>
      </c>
      <c r="I232" s="4"/>
    </row>
    <row r="233" customFormat="false" ht="15" hidden="false" customHeight="false" outlineLevel="0" collapsed="false">
      <c r="A233" s="35" t="s">
        <v>2284</v>
      </c>
      <c r="B233" s="35" t="s">
        <v>2285</v>
      </c>
      <c r="C233" s="35" t="s">
        <v>48</v>
      </c>
      <c r="D233" s="35" t="s">
        <v>114</v>
      </c>
      <c r="E233" s="35"/>
      <c r="F233" s="35"/>
      <c r="G233" s="35" t="s">
        <v>712</v>
      </c>
      <c r="H233" s="35" t="s">
        <v>61</v>
      </c>
      <c r="I233" s="4"/>
    </row>
    <row r="234" customFormat="false" ht="15" hidden="false" customHeight="false" outlineLevel="0" collapsed="false">
      <c r="A234" s="35" t="s">
        <v>1359</v>
      </c>
      <c r="B234" s="35" t="s">
        <v>2286</v>
      </c>
      <c r="C234" s="35" t="s">
        <v>48</v>
      </c>
      <c r="D234" s="35" t="s">
        <v>57</v>
      </c>
      <c r="E234" s="35" t="s">
        <v>706</v>
      </c>
      <c r="F234" s="35" t="s">
        <v>174</v>
      </c>
      <c r="G234" s="35" t="s">
        <v>706</v>
      </c>
      <c r="H234" s="35" t="s">
        <v>61</v>
      </c>
      <c r="I234" s="4"/>
    </row>
    <row r="235" customFormat="false" ht="15" hidden="false" customHeight="false" outlineLevel="0" collapsed="false">
      <c r="A235" s="35" t="s">
        <v>2287</v>
      </c>
      <c r="B235" s="35" t="s">
        <v>2288</v>
      </c>
      <c r="C235" s="35" t="s">
        <v>48</v>
      </c>
      <c r="D235" s="35" t="s">
        <v>53</v>
      </c>
      <c r="E235" s="35"/>
      <c r="F235" s="35"/>
      <c r="G235" s="35" t="s">
        <v>718</v>
      </c>
      <c r="H235" s="35" t="s">
        <v>61</v>
      </c>
      <c r="I235" s="4"/>
    </row>
    <row r="236" customFormat="false" ht="15" hidden="false" customHeight="false" outlineLevel="0" collapsed="false">
      <c r="A236" s="35" t="s">
        <v>2289</v>
      </c>
      <c r="B236" s="35" t="s">
        <v>2290</v>
      </c>
      <c r="C236" s="35" t="s">
        <v>48</v>
      </c>
      <c r="D236" s="35" t="s">
        <v>107</v>
      </c>
      <c r="E236" s="35" t="s">
        <v>247</v>
      </c>
      <c r="F236" s="35"/>
      <c r="G236" s="35" t="s">
        <v>49</v>
      </c>
      <c r="H236" s="35" t="s">
        <v>49</v>
      </c>
      <c r="I236" s="4"/>
    </row>
    <row r="237" customFormat="false" ht="15" hidden="false" customHeight="false" outlineLevel="0" collapsed="false">
      <c r="A237" s="35" t="s">
        <v>2291</v>
      </c>
      <c r="B237" s="35" t="s">
        <v>2292</v>
      </c>
      <c r="C237" s="35" t="s">
        <v>48</v>
      </c>
      <c r="D237" s="35" t="s">
        <v>114</v>
      </c>
      <c r="E237" s="35"/>
      <c r="F237" s="35" t="s">
        <v>2293</v>
      </c>
      <c r="G237" s="35" t="s">
        <v>732</v>
      </c>
      <c r="H237" s="35" t="s">
        <v>61</v>
      </c>
      <c r="I237" s="4"/>
    </row>
    <row r="238" customFormat="false" ht="15" hidden="false" customHeight="false" outlineLevel="0" collapsed="false">
      <c r="A238" s="35" t="s">
        <v>1380</v>
      </c>
      <c r="B238" s="35" t="s">
        <v>2294</v>
      </c>
      <c r="C238" s="35" t="s">
        <v>48</v>
      </c>
      <c r="D238" s="35" t="s">
        <v>57</v>
      </c>
      <c r="E238" s="35" t="s">
        <v>1379</v>
      </c>
      <c r="F238" s="35" t="s">
        <v>2293</v>
      </c>
      <c r="G238" s="35" t="s">
        <v>732</v>
      </c>
      <c r="H238" s="35" t="s">
        <v>61</v>
      </c>
      <c r="I238" s="4"/>
    </row>
    <row r="239" customFormat="false" ht="15" hidden="false" customHeight="false" outlineLevel="0" collapsed="false">
      <c r="A239" s="35" t="s">
        <v>2295</v>
      </c>
      <c r="B239" s="35" t="s">
        <v>2296</v>
      </c>
      <c r="C239" s="35" t="s">
        <v>48</v>
      </c>
      <c r="D239" s="35" t="s">
        <v>114</v>
      </c>
      <c r="E239" s="35"/>
      <c r="F239" s="35"/>
      <c r="G239" s="35" t="s">
        <v>60</v>
      </c>
      <c r="H239" s="35" t="s">
        <v>61</v>
      </c>
      <c r="I239" s="4"/>
    </row>
    <row r="240" customFormat="false" ht="15" hidden="false" customHeight="false" outlineLevel="0" collapsed="false">
      <c r="A240" s="35" t="s">
        <v>1643</v>
      </c>
      <c r="B240" s="35" t="s">
        <v>2297</v>
      </c>
      <c r="C240" s="35" t="s">
        <v>48</v>
      </c>
      <c r="D240" s="35" t="s">
        <v>57</v>
      </c>
      <c r="E240" s="35" t="s">
        <v>1642</v>
      </c>
      <c r="F240" s="35" t="s">
        <v>297</v>
      </c>
      <c r="G240" s="35" t="s">
        <v>328</v>
      </c>
      <c r="H240" s="35" t="s">
        <v>61</v>
      </c>
      <c r="I240" s="4"/>
    </row>
    <row r="241" customFormat="false" ht="15" hidden="false" customHeight="false" outlineLevel="0" collapsed="false">
      <c r="A241" s="35" t="s">
        <v>2298</v>
      </c>
      <c r="B241" s="35" t="s">
        <v>2299</v>
      </c>
      <c r="C241" s="35" t="s">
        <v>48</v>
      </c>
      <c r="D241" s="35" t="s">
        <v>157</v>
      </c>
      <c r="E241" s="35"/>
      <c r="F241" s="35" t="s">
        <v>297</v>
      </c>
      <c r="G241" s="35" t="s">
        <v>328</v>
      </c>
      <c r="H241" s="35" t="s">
        <v>61</v>
      </c>
      <c r="I241" s="4"/>
    </row>
    <row r="242" customFormat="false" ht="15" hidden="false" customHeight="false" outlineLevel="0" collapsed="false">
      <c r="A242" s="35" t="s">
        <v>2300</v>
      </c>
      <c r="B242" s="35" t="s">
        <v>2301</v>
      </c>
      <c r="C242" s="35" t="s">
        <v>48</v>
      </c>
      <c r="D242" s="35" t="s">
        <v>114</v>
      </c>
      <c r="E242" s="35"/>
      <c r="F242" s="35"/>
      <c r="G242" s="35" t="s">
        <v>571</v>
      </c>
      <c r="H242" s="35" t="s">
        <v>258</v>
      </c>
      <c r="I242" s="4"/>
    </row>
    <row r="243" customFormat="false" ht="15" hidden="false" customHeight="false" outlineLevel="0" collapsed="false">
      <c r="A243" s="35" t="s">
        <v>2302</v>
      </c>
      <c r="B243" s="35" t="s">
        <v>2303</v>
      </c>
      <c r="C243" s="35" t="s">
        <v>48</v>
      </c>
      <c r="D243" s="35" t="s">
        <v>146</v>
      </c>
      <c r="E243" s="35"/>
      <c r="F243" s="35"/>
      <c r="G243" s="35" t="s">
        <v>49</v>
      </c>
      <c r="H243" s="35" t="s">
        <v>61</v>
      </c>
      <c r="I243" s="4"/>
    </row>
    <row r="244" customFormat="false" ht="15" hidden="false" customHeight="false" outlineLevel="0" collapsed="false">
      <c r="A244" s="35" t="s">
        <v>2304</v>
      </c>
      <c r="B244" s="35" t="s">
        <v>2305</v>
      </c>
      <c r="C244" s="35" t="s">
        <v>48</v>
      </c>
      <c r="D244" s="35" t="s">
        <v>57</v>
      </c>
      <c r="E244" s="35" t="s">
        <v>553</v>
      </c>
      <c r="F244" s="35" t="s">
        <v>2306</v>
      </c>
      <c r="G244" s="35" t="s">
        <v>45</v>
      </c>
      <c r="H244" s="35" t="s">
        <v>61</v>
      </c>
      <c r="I244" s="4"/>
    </row>
    <row r="245" customFormat="false" ht="15" hidden="false" customHeight="false" outlineLevel="0" collapsed="false">
      <c r="A245" s="35" t="s">
        <v>2307</v>
      </c>
      <c r="B245" s="35" t="s">
        <v>2308</v>
      </c>
      <c r="C245" s="35" t="s">
        <v>48</v>
      </c>
      <c r="D245" s="35" t="s">
        <v>146</v>
      </c>
      <c r="E245" s="35"/>
      <c r="F245" s="35"/>
      <c r="G245" s="35" t="s">
        <v>49</v>
      </c>
      <c r="H245" s="35" t="s">
        <v>61</v>
      </c>
      <c r="I245" s="4"/>
    </row>
    <row r="246" customFormat="false" ht="15" hidden="false" customHeight="false" outlineLevel="0" collapsed="false">
      <c r="A246" s="35" t="s">
        <v>2309</v>
      </c>
      <c r="B246" s="35" t="s">
        <v>2310</v>
      </c>
      <c r="C246" s="35" t="s">
        <v>48</v>
      </c>
      <c r="D246" s="35" t="s">
        <v>146</v>
      </c>
      <c r="E246" s="35"/>
      <c r="F246" s="35"/>
      <c r="G246" s="35" t="s">
        <v>204</v>
      </c>
      <c r="H246" s="35" t="s">
        <v>61</v>
      </c>
      <c r="I246" s="4"/>
    </row>
    <row r="247" customFormat="false" ht="15" hidden="false" customHeight="false" outlineLevel="0" collapsed="false">
      <c r="A247" s="35" t="s">
        <v>2311</v>
      </c>
      <c r="B247" s="35" t="s">
        <v>2312</v>
      </c>
      <c r="C247" s="35" t="s">
        <v>48</v>
      </c>
      <c r="D247" s="35" t="s">
        <v>114</v>
      </c>
      <c r="E247" s="35"/>
      <c r="F247" s="35"/>
      <c r="G247" s="35" t="s">
        <v>571</v>
      </c>
      <c r="H247" s="35" t="s">
        <v>61</v>
      </c>
      <c r="I247" s="4"/>
    </row>
    <row r="248" customFormat="false" ht="15" hidden="false" customHeight="false" outlineLevel="0" collapsed="false">
      <c r="A248" s="35" t="s">
        <v>2313</v>
      </c>
      <c r="B248" s="35" t="s">
        <v>2314</v>
      </c>
      <c r="C248" s="35" t="s">
        <v>48</v>
      </c>
      <c r="D248" s="35" t="s">
        <v>107</v>
      </c>
      <c r="E248" s="35" t="s">
        <v>961</v>
      </c>
      <c r="F248" s="35"/>
      <c r="G248" s="35" t="s">
        <v>417</v>
      </c>
      <c r="H248" s="35" t="s">
        <v>61</v>
      </c>
      <c r="I248" s="4"/>
    </row>
    <row r="249" customFormat="false" ht="15" hidden="false" customHeight="false" outlineLevel="0" collapsed="false">
      <c r="A249" s="35" t="s">
        <v>2315</v>
      </c>
      <c r="B249" s="35" t="s">
        <v>2316</v>
      </c>
      <c r="C249" s="35" t="s">
        <v>48</v>
      </c>
      <c r="D249" s="35" t="s">
        <v>107</v>
      </c>
      <c r="E249" s="35" t="s">
        <v>961</v>
      </c>
      <c r="F249" s="35"/>
      <c r="G249" s="35" t="s">
        <v>571</v>
      </c>
      <c r="H249" s="35" t="s">
        <v>61</v>
      </c>
      <c r="I249" s="4"/>
    </row>
    <row r="250" customFormat="false" ht="15" hidden="false" customHeight="false" outlineLevel="0" collapsed="false">
      <c r="A250" s="35" t="s">
        <v>2317</v>
      </c>
      <c r="B250" s="35" t="s">
        <v>2318</v>
      </c>
      <c r="C250" s="35" t="s">
        <v>48</v>
      </c>
      <c r="D250" s="35" t="s">
        <v>107</v>
      </c>
      <c r="E250" s="35" t="s">
        <v>961</v>
      </c>
      <c r="F250" s="35"/>
      <c r="G250" s="35" t="s">
        <v>686</v>
      </c>
      <c r="H250" s="35" t="s">
        <v>61</v>
      </c>
      <c r="I250" s="4"/>
    </row>
    <row r="251" customFormat="false" ht="15" hidden="false" customHeight="false" outlineLevel="0" collapsed="false">
      <c r="A251" s="35" t="s">
        <v>1075</v>
      </c>
      <c r="B251" s="35" t="s">
        <v>2319</v>
      </c>
      <c r="C251" s="35" t="s">
        <v>48</v>
      </c>
      <c r="D251" s="35" t="s">
        <v>57</v>
      </c>
      <c r="E251" s="35" t="s">
        <v>1075</v>
      </c>
      <c r="F251" s="35"/>
      <c r="G251" s="35" t="s">
        <v>724</v>
      </c>
      <c r="H251" s="35" t="s">
        <v>61</v>
      </c>
      <c r="I251" s="4"/>
    </row>
    <row r="252" customFormat="false" ht="15" hidden="false" customHeight="false" outlineLevel="0" collapsed="false">
      <c r="A252" s="35" t="s">
        <v>2320</v>
      </c>
      <c r="B252" s="35" t="s">
        <v>2321</v>
      </c>
      <c r="C252" s="35" t="s">
        <v>48</v>
      </c>
      <c r="D252" s="35" t="s">
        <v>107</v>
      </c>
      <c r="E252" s="35" t="s">
        <v>1075</v>
      </c>
      <c r="F252" s="35"/>
      <c r="G252" s="35" t="s">
        <v>724</v>
      </c>
      <c r="H252" s="35" t="s">
        <v>61</v>
      </c>
      <c r="I252" s="4"/>
    </row>
    <row r="253" customFormat="false" ht="15" hidden="false" customHeight="false" outlineLevel="0" collapsed="false">
      <c r="A253" s="35" t="s">
        <v>2322</v>
      </c>
      <c r="B253" s="35" t="s">
        <v>2323</v>
      </c>
      <c r="C253" s="35" t="s">
        <v>48</v>
      </c>
      <c r="D253" s="35" t="s">
        <v>447</v>
      </c>
      <c r="E253" s="35"/>
      <c r="F253" s="35"/>
      <c r="G253" s="35" t="s">
        <v>49</v>
      </c>
      <c r="H253" s="35" t="s">
        <v>49</v>
      </c>
      <c r="I253" s="4"/>
    </row>
    <row r="254" customFormat="false" ht="15" hidden="false" customHeight="false" outlineLevel="0" collapsed="false">
      <c r="A254" s="35" t="s">
        <v>2324</v>
      </c>
      <c r="B254" s="35" t="s">
        <v>2325</v>
      </c>
      <c r="C254" s="35" t="s">
        <v>48</v>
      </c>
      <c r="D254" s="35" t="s">
        <v>447</v>
      </c>
      <c r="E254" s="35"/>
      <c r="F254" s="35"/>
      <c r="G254" s="35" t="s">
        <v>49</v>
      </c>
      <c r="H254" s="35" t="s">
        <v>49</v>
      </c>
      <c r="I254" s="4"/>
    </row>
    <row r="255" customFormat="false" ht="15" hidden="false" customHeight="false" outlineLevel="0" collapsed="false">
      <c r="A255" s="35" t="s">
        <v>2326</v>
      </c>
      <c r="B255" s="35" t="s">
        <v>2327</v>
      </c>
      <c r="C255" s="35" t="s">
        <v>48</v>
      </c>
      <c r="D255" s="35" t="s">
        <v>447</v>
      </c>
      <c r="E255" s="35"/>
      <c r="F255" s="35"/>
      <c r="G255" s="35" t="s">
        <v>49</v>
      </c>
      <c r="H255" s="35" t="s">
        <v>49</v>
      </c>
      <c r="I255" s="4"/>
    </row>
    <row r="256" customFormat="false" ht="15" hidden="false" customHeight="false" outlineLevel="0" collapsed="false">
      <c r="A256" s="35" t="s">
        <v>2328</v>
      </c>
      <c r="B256" s="35" t="s">
        <v>2329</v>
      </c>
      <c r="C256" s="35" t="s">
        <v>48</v>
      </c>
      <c r="D256" s="35" t="s">
        <v>447</v>
      </c>
      <c r="E256" s="35"/>
      <c r="F256" s="35"/>
      <c r="G256" s="35" t="s">
        <v>49</v>
      </c>
      <c r="H256" s="35" t="s">
        <v>49</v>
      </c>
      <c r="I256" s="4"/>
    </row>
    <row r="257" customFormat="false" ht="15" hidden="false" customHeight="false" outlineLevel="0" collapsed="false">
      <c r="A257" s="35" t="s">
        <v>2330</v>
      </c>
      <c r="B257" s="35" t="s">
        <v>2331</v>
      </c>
      <c r="C257" s="35" t="s">
        <v>48</v>
      </c>
      <c r="D257" s="35" t="s">
        <v>53</v>
      </c>
      <c r="E257" s="35"/>
      <c r="F257" s="35"/>
      <c r="G257" s="35" t="s">
        <v>444</v>
      </c>
      <c r="H257" s="35" t="s">
        <v>61</v>
      </c>
      <c r="I257" s="4"/>
    </row>
    <row r="258" customFormat="false" ht="15" hidden="false" customHeight="false" outlineLevel="0" collapsed="false">
      <c r="A258" s="35" t="s">
        <v>2332</v>
      </c>
      <c r="B258" s="35" t="s">
        <v>2333</v>
      </c>
      <c r="C258" s="35" t="s">
        <v>48</v>
      </c>
      <c r="D258" s="35" t="s">
        <v>57</v>
      </c>
      <c r="E258" s="35" t="s">
        <v>999</v>
      </c>
      <c r="F258" s="35"/>
      <c r="G258" s="35" t="s">
        <v>444</v>
      </c>
      <c r="H258" s="35" t="s">
        <v>61</v>
      </c>
      <c r="I258" s="4"/>
    </row>
    <row r="259" customFormat="false" ht="15" hidden="false" customHeight="false" outlineLevel="0" collapsed="false">
      <c r="A259" s="35" t="s">
        <v>2334</v>
      </c>
      <c r="B259" s="35" t="s">
        <v>2335</v>
      </c>
      <c r="C259" s="35" t="s">
        <v>48</v>
      </c>
      <c r="D259" s="35" t="s">
        <v>107</v>
      </c>
      <c r="E259" s="35" t="s">
        <v>999</v>
      </c>
      <c r="F259" s="35"/>
      <c r="G259" s="35" t="s">
        <v>444</v>
      </c>
      <c r="H259" s="35" t="s">
        <v>61</v>
      </c>
      <c r="I259" s="4"/>
    </row>
    <row r="260" customFormat="false" ht="15" hidden="false" customHeight="false" outlineLevel="0" collapsed="false">
      <c r="A260" s="35" t="s">
        <v>2336</v>
      </c>
      <c r="B260" s="35" t="s">
        <v>2337</v>
      </c>
      <c r="C260" s="35" t="s">
        <v>48</v>
      </c>
      <c r="D260" s="35" t="s">
        <v>57</v>
      </c>
      <c r="E260" s="35" t="s">
        <v>999</v>
      </c>
      <c r="F260" s="35"/>
      <c r="G260" s="35" t="s">
        <v>444</v>
      </c>
      <c r="H260" s="35" t="s">
        <v>245</v>
      </c>
      <c r="I260" s="4"/>
    </row>
    <row r="261" customFormat="false" ht="15" hidden="false" customHeight="false" outlineLevel="0" collapsed="false">
      <c r="A261" s="35" t="s">
        <v>1386</v>
      </c>
      <c r="B261" s="35" t="s">
        <v>2338</v>
      </c>
      <c r="C261" s="35" t="s">
        <v>48</v>
      </c>
      <c r="D261" s="35" t="s">
        <v>57</v>
      </c>
      <c r="E261" s="35" t="s">
        <v>722</v>
      </c>
      <c r="F261" s="35"/>
      <c r="G261" s="35" t="s">
        <v>444</v>
      </c>
      <c r="H261" s="35" t="s">
        <v>61</v>
      </c>
      <c r="I261" s="4"/>
    </row>
    <row r="262" customFormat="false" ht="15" hidden="false" customHeight="false" outlineLevel="0" collapsed="false">
      <c r="A262" s="35" t="s">
        <v>1339</v>
      </c>
      <c r="B262" s="35" t="s">
        <v>2339</v>
      </c>
      <c r="C262" s="35" t="s">
        <v>48</v>
      </c>
      <c r="D262" s="35" t="s">
        <v>107</v>
      </c>
      <c r="E262" s="35" t="s">
        <v>1338</v>
      </c>
      <c r="F262" s="35"/>
      <c r="G262" s="35" t="s">
        <v>681</v>
      </c>
      <c r="H262" s="35" t="s">
        <v>61</v>
      </c>
      <c r="I262" s="4"/>
    </row>
    <row r="263" customFormat="false" ht="15" hidden="false" customHeight="false" outlineLevel="0" collapsed="false">
      <c r="A263" s="35" t="s">
        <v>1343</v>
      </c>
      <c r="B263" s="35" t="s">
        <v>2340</v>
      </c>
      <c r="C263" s="35" t="s">
        <v>48</v>
      </c>
      <c r="D263" s="35" t="s">
        <v>107</v>
      </c>
      <c r="E263" s="35" t="s">
        <v>1342</v>
      </c>
      <c r="F263" s="35"/>
      <c r="G263" s="35" t="s">
        <v>681</v>
      </c>
      <c r="H263" s="35" t="s">
        <v>61</v>
      </c>
      <c r="I263" s="4"/>
    </row>
    <row r="264" customFormat="false" ht="15" hidden="false" customHeight="false" outlineLevel="0" collapsed="false">
      <c r="A264" s="35" t="s">
        <v>1828</v>
      </c>
      <c r="B264" s="35" t="s">
        <v>2341</v>
      </c>
      <c r="C264" s="35" t="s">
        <v>48</v>
      </c>
      <c r="D264" s="35" t="s">
        <v>107</v>
      </c>
      <c r="E264" s="35" t="s">
        <v>1827</v>
      </c>
      <c r="F264" s="35"/>
      <c r="G264" s="35" t="s">
        <v>681</v>
      </c>
      <c r="H264" s="35" t="s">
        <v>61</v>
      </c>
      <c r="I264" s="4"/>
    </row>
    <row r="265" customFormat="false" ht="15" hidden="false" customHeight="false" outlineLevel="0" collapsed="false">
      <c r="A265" s="35" t="s">
        <v>1341</v>
      </c>
      <c r="B265" s="35" t="s">
        <v>2342</v>
      </c>
      <c r="C265" s="35" t="s">
        <v>48</v>
      </c>
      <c r="D265" s="35" t="s">
        <v>107</v>
      </c>
      <c r="E265" s="35" t="s">
        <v>1340</v>
      </c>
      <c r="F265" s="35"/>
      <c r="G265" s="35" t="s">
        <v>681</v>
      </c>
      <c r="H265" s="35" t="s">
        <v>61</v>
      </c>
      <c r="I265" s="4"/>
    </row>
    <row r="266" customFormat="false" ht="15" hidden="false" customHeight="false" outlineLevel="0" collapsed="false">
      <c r="A266" s="35" t="s">
        <v>2343</v>
      </c>
      <c r="B266" s="35" t="s">
        <v>2344</v>
      </c>
      <c r="C266" s="35" t="s">
        <v>48</v>
      </c>
      <c r="D266" s="35" t="s">
        <v>107</v>
      </c>
      <c r="E266" s="35" t="s">
        <v>1079</v>
      </c>
      <c r="F266" s="35"/>
      <c r="G266" s="35" t="s">
        <v>49</v>
      </c>
      <c r="H266" s="35" t="s">
        <v>61</v>
      </c>
      <c r="I266" s="4"/>
    </row>
    <row r="267" customFormat="false" ht="15" hidden="false" customHeight="false" outlineLevel="0" collapsed="false">
      <c r="A267" s="35" t="s">
        <v>2345</v>
      </c>
      <c r="B267" s="35" t="s">
        <v>2346</v>
      </c>
      <c r="C267" s="35" t="s">
        <v>48</v>
      </c>
      <c r="D267" s="35" t="s">
        <v>57</v>
      </c>
      <c r="E267" s="35" t="s">
        <v>1079</v>
      </c>
      <c r="F267" s="35" t="s">
        <v>2347</v>
      </c>
      <c r="G267" s="35" t="s">
        <v>49</v>
      </c>
      <c r="H267" s="35" t="s">
        <v>61</v>
      </c>
      <c r="I267" s="4"/>
    </row>
    <row r="268" customFormat="false" ht="15" hidden="false" customHeight="false" outlineLevel="0" collapsed="false">
      <c r="A268" s="35" t="s">
        <v>2348</v>
      </c>
      <c r="B268" s="35" t="s">
        <v>2349</v>
      </c>
      <c r="C268" s="35" t="s">
        <v>48</v>
      </c>
      <c r="D268" s="35" t="s">
        <v>107</v>
      </c>
      <c r="E268" s="35" t="s">
        <v>907</v>
      </c>
      <c r="F268" s="35"/>
      <c r="G268" s="35" t="s">
        <v>681</v>
      </c>
      <c r="H268" s="35" t="s">
        <v>61</v>
      </c>
      <c r="I268" s="4"/>
    </row>
    <row r="269" customFormat="false" ht="15" hidden="false" customHeight="false" outlineLevel="0" collapsed="false">
      <c r="A269" s="35" t="s">
        <v>2350</v>
      </c>
      <c r="B269" s="35" t="s">
        <v>2351</v>
      </c>
      <c r="C269" s="35" t="s">
        <v>48</v>
      </c>
      <c r="D269" s="35" t="s">
        <v>107</v>
      </c>
      <c r="E269" s="35" t="s">
        <v>907</v>
      </c>
      <c r="F269" s="35"/>
      <c r="G269" s="35" t="s">
        <v>681</v>
      </c>
      <c r="H269" s="35" t="s">
        <v>61</v>
      </c>
      <c r="I269" s="4"/>
    </row>
    <row r="270" customFormat="false" ht="15" hidden="false" customHeight="false" outlineLevel="0" collapsed="false">
      <c r="A270" s="35" t="s">
        <v>2352</v>
      </c>
      <c r="B270" s="35" t="s">
        <v>2353</v>
      </c>
      <c r="C270" s="35" t="s">
        <v>48</v>
      </c>
      <c r="D270" s="35" t="s">
        <v>107</v>
      </c>
      <c r="E270" s="35" t="s">
        <v>841</v>
      </c>
      <c r="F270" s="35"/>
      <c r="G270" s="35" t="s">
        <v>49</v>
      </c>
      <c r="H270" s="35" t="s">
        <v>49</v>
      </c>
      <c r="I270" s="4"/>
    </row>
    <row r="271" customFormat="false" ht="15" hidden="false" customHeight="false" outlineLevel="0" collapsed="false">
      <c r="A271" s="35" t="s">
        <v>2354</v>
      </c>
      <c r="B271" s="35" t="s">
        <v>2355</v>
      </c>
      <c r="C271" s="35" t="s">
        <v>48</v>
      </c>
      <c r="D271" s="35" t="s">
        <v>107</v>
      </c>
      <c r="E271" s="35" t="s">
        <v>841</v>
      </c>
      <c r="F271" s="35"/>
      <c r="G271" s="35" t="s">
        <v>681</v>
      </c>
      <c r="H271" s="35" t="s">
        <v>61</v>
      </c>
      <c r="I271" s="4"/>
    </row>
    <row r="272" customFormat="false" ht="15" hidden="false" customHeight="false" outlineLevel="0" collapsed="false">
      <c r="A272" s="35" t="s">
        <v>2356</v>
      </c>
      <c r="B272" s="35" t="s">
        <v>2357</v>
      </c>
      <c r="C272" s="35" t="s">
        <v>48</v>
      </c>
      <c r="D272" s="35" t="s">
        <v>107</v>
      </c>
      <c r="E272" s="35" t="s">
        <v>841</v>
      </c>
      <c r="F272" s="35"/>
      <c r="G272" s="35" t="s">
        <v>681</v>
      </c>
      <c r="H272" s="35" t="s">
        <v>61</v>
      </c>
      <c r="I272" s="4"/>
    </row>
    <row r="273" customFormat="false" ht="15" hidden="false" customHeight="false" outlineLevel="0" collapsed="false">
      <c r="A273" s="35" t="s">
        <v>2358</v>
      </c>
      <c r="B273" s="35" t="s">
        <v>2359</v>
      </c>
      <c r="C273" s="35" t="s">
        <v>48</v>
      </c>
      <c r="D273" s="35" t="s">
        <v>107</v>
      </c>
      <c r="E273" s="35" t="s">
        <v>841</v>
      </c>
      <c r="F273" s="35"/>
      <c r="G273" s="35" t="s">
        <v>49</v>
      </c>
      <c r="H273" s="35" t="s">
        <v>49</v>
      </c>
      <c r="I273" s="4"/>
    </row>
    <row r="274" customFormat="false" ht="15" hidden="false" customHeight="false" outlineLevel="0" collapsed="false">
      <c r="A274" s="35" t="s">
        <v>1469</v>
      </c>
      <c r="B274" s="35" t="s">
        <v>2360</v>
      </c>
      <c r="C274" s="35" t="s">
        <v>48</v>
      </c>
      <c r="D274" s="35" t="s">
        <v>107</v>
      </c>
      <c r="E274" s="35" t="s">
        <v>1468</v>
      </c>
      <c r="F274" s="35" t="s">
        <v>2147</v>
      </c>
      <c r="G274" s="35" t="s">
        <v>681</v>
      </c>
      <c r="H274" s="35" t="s">
        <v>61</v>
      </c>
      <c r="I274" s="4"/>
    </row>
    <row r="275" customFormat="false" ht="15" hidden="false" customHeight="false" outlineLevel="0" collapsed="false">
      <c r="A275" s="35" t="s">
        <v>861</v>
      </c>
      <c r="B275" s="35" t="s">
        <v>2361</v>
      </c>
      <c r="C275" s="35" t="s">
        <v>48</v>
      </c>
      <c r="D275" s="35" t="s">
        <v>57</v>
      </c>
      <c r="E275" s="35" t="s">
        <v>861</v>
      </c>
      <c r="F275" s="35"/>
      <c r="G275" s="35" t="s">
        <v>681</v>
      </c>
      <c r="H275" s="35" t="s">
        <v>61</v>
      </c>
      <c r="I275" s="4"/>
    </row>
    <row r="276" customFormat="false" ht="15" hidden="false" customHeight="false" outlineLevel="0" collapsed="false">
      <c r="A276" s="35" t="s">
        <v>2362</v>
      </c>
      <c r="B276" s="35" t="s">
        <v>2363</v>
      </c>
      <c r="C276" s="35" t="s">
        <v>48</v>
      </c>
      <c r="D276" s="35" t="s">
        <v>57</v>
      </c>
      <c r="E276" s="35" t="s">
        <v>861</v>
      </c>
      <c r="F276" s="35"/>
      <c r="G276" s="35" t="s">
        <v>49</v>
      </c>
      <c r="H276" s="35" t="s">
        <v>49</v>
      </c>
      <c r="I276" s="4"/>
    </row>
    <row r="277" customFormat="false" ht="15" hidden="false" customHeight="false" outlineLevel="0" collapsed="false">
      <c r="A277" s="35" t="s">
        <v>2364</v>
      </c>
      <c r="B277" s="35" t="s">
        <v>2365</v>
      </c>
      <c r="C277" s="35" t="s">
        <v>48</v>
      </c>
      <c r="D277" s="35" t="s">
        <v>157</v>
      </c>
      <c r="E277" s="35"/>
      <c r="F277" s="35"/>
      <c r="G277" s="35" t="s">
        <v>681</v>
      </c>
      <c r="H277" s="35" t="s">
        <v>49</v>
      </c>
      <c r="I277" s="4"/>
    </row>
    <row r="278" customFormat="false" ht="15" hidden="false" customHeight="false" outlineLevel="0" collapsed="false">
      <c r="A278" s="35" t="s">
        <v>2366</v>
      </c>
      <c r="B278" s="35" t="s">
        <v>2367</v>
      </c>
      <c r="C278" s="35" t="s">
        <v>48</v>
      </c>
      <c r="D278" s="35" t="s">
        <v>57</v>
      </c>
      <c r="E278" s="35" t="s">
        <v>861</v>
      </c>
      <c r="F278" s="35"/>
      <c r="G278" s="35" t="s">
        <v>681</v>
      </c>
      <c r="H278" s="35" t="s">
        <v>49</v>
      </c>
      <c r="I278" s="4"/>
    </row>
    <row r="279" customFormat="false" ht="15" hidden="false" customHeight="false" outlineLevel="0" collapsed="false">
      <c r="A279" s="35" t="s">
        <v>2368</v>
      </c>
      <c r="B279" s="35" t="s">
        <v>2369</v>
      </c>
      <c r="C279" s="35" t="s">
        <v>48</v>
      </c>
      <c r="D279" s="35" t="s">
        <v>114</v>
      </c>
      <c r="E279" s="35"/>
      <c r="F279" s="35"/>
      <c r="G279" s="35" t="s">
        <v>681</v>
      </c>
      <c r="H279" s="35" t="s">
        <v>49</v>
      </c>
      <c r="I279" s="4"/>
    </row>
    <row r="280" customFormat="false" ht="15" hidden="false" customHeight="false" outlineLevel="0" collapsed="false">
      <c r="A280" s="35" t="s">
        <v>2370</v>
      </c>
      <c r="B280" s="35" t="s">
        <v>2371</v>
      </c>
      <c r="C280" s="35" t="s">
        <v>48</v>
      </c>
      <c r="D280" s="35" t="s">
        <v>107</v>
      </c>
      <c r="E280" s="35" t="s">
        <v>863</v>
      </c>
      <c r="F280" s="35" t="s">
        <v>2022</v>
      </c>
      <c r="G280" s="35" t="s">
        <v>421</v>
      </c>
      <c r="H280" s="35" t="s">
        <v>61</v>
      </c>
      <c r="I280" s="4"/>
    </row>
    <row r="281" customFormat="false" ht="15" hidden="false" customHeight="false" outlineLevel="0" collapsed="false">
      <c r="A281" s="35" t="s">
        <v>2372</v>
      </c>
      <c r="B281" s="35" t="s">
        <v>2373</v>
      </c>
      <c r="C281" s="35" t="s">
        <v>48</v>
      </c>
      <c r="D281" s="35" t="s">
        <v>107</v>
      </c>
      <c r="E281" s="35" t="s">
        <v>863</v>
      </c>
      <c r="F281" s="35"/>
      <c r="G281" s="35" t="s">
        <v>681</v>
      </c>
      <c r="H281" s="35" t="s">
        <v>61</v>
      </c>
      <c r="I281" s="4"/>
    </row>
    <row r="282" customFormat="false" ht="15" hidden="false" customHeight="false" outlineLevel="0" collapsed="false">
      <c r="A282" s="35" t="s">
        <v>2374</v>
      </c>
      <c r="B282" s="35" t="s">
        <v>2375</v>
      </c>
      <c r="C282" s="35" t="s">
        <v>48</v>
      </c>
      <c r="D282" s="35" t="s">
        <v>107</v>
      </c>
      <c r="E282" s="35" t="s">
        <v>863</v>
      </c>
      <c r="F282" s="35"/>
      <c r="G282" s="35" t="s">
        <v>49</v>
      </c>
      <c r="H282" s="35" t="s">
        <v>49</v>
      </c>
      <c r="I282" s="4"/>
    </row>
    <row r="283" customFormat="false" ht="15" hidden="false" customHeight="false" outlineLevel="0" collapsed="false">
      <c r="A283" s="35" t="s">
        <v>2376</v>
      </c>
      <c r="B283" s="35" t="s">
        <v>2377</v>
      </c>
      <c r="C283" s="35" t="s">
        <v>48</v>
      </c>
      <c r="D283" s="35" t="s">
        <v>107</v>
      </c>
      <c r="E283" s="35" t="s">
        <v>1077</v>
      </c>
      <c r="F283" s="35"/>
      <c r="G283" s="35" t="s">
        <v>49</v>
      </c>
      <c r="H283" s="35" t="s">
        <v>61</v>
      </c>
      <c r="I283" s="4"/>
    </row>
    <row r="284" customFormat="false" ht="15" hidden="false" customHeight="false" outlineLevel="0" collapsed="false">
      <c r="A284" s="35" t="s">
        <v>2378</v>
      </c>
      <c r="B284" s="35" t="s">
        <v>2379</v>
      </c>
      <c r="C284" s="35" t="s">
        <v>48</v>
      </c>
      <c r="D284" s="35" t="s">
        <v>57</v>
      </c>
      <c r="E284" s="35" t="s">
        <v>1077</v>
      </c>
      <c r="F284" s="35" t="s">
        <v>2380</v>
      </c>
      <c r="G284" s="35" t="s">
        <v>49</v>
      </c>
      <c r="H284" s="35" t="s">
        <v>61</v>
      </c>
      <c r="I284" s="4"/>
    </row>
    <row r="285" customFormat="false" ht="15" hidden="false" customHeight="false" outlineLevel="0" collapsed="false">
      <c r="A285" s="35" t="s">
        <v>2381</v>
      </c>
      <c r="B285" s="35" t="s">
        <v>2382</v>
      </c>
      <c r="C285" s="35" t="s">
        <v>48</v>
      </c>
      <c r="D285" s="35" t="s">
        <v>447</v>
      </c>
      <c r="E285" s="35"/>
      <c r="F285" s="35" t="s">
        <v>2383</v>
      </c>
      <c r="G285" s="35" t="s">
        <v>49</v>
      </c>
      <c r="H285" s="35" t="s">
        <v>49</v>
      </c>
      <c r="I285" s="4"/>
    </row>
    <row r="286" customFormat="false" ht="15" hidden="false" customHeight="false" outlineLevel="0" collapsed="false">
      <c r="A286" s="35" t="s">
        <v>2384</v>
      </c>
      <c r="B286" s="35" t="s">
        <v>2385</v>
      </c>
      <c r="C286" s="35" t="s">
        <v>48</v>
      </c>
      <c r="D286" s="35" t="s">
        <v>57</v>
      </c>
      <c r="E286" s="35" t="s">
        <v>447</v>
      </c>
      <c r="F286" s="35"/>
      <c r="G286" s="35" t="s">
        <v>681</v>
      </c>
      <c r="H286" s="35" t="s">
        <v>61</v>
      </c>
      <c r="I286" s="4"/>
    </row>
    <row r="287" customFormat="false" ht="15" hidden="false" customHeight="false" outlineLevel="0" collapsed="false">
      <c r="A287" s="35" t="s">
        <v>2386</v>
      </c>
      <c r="B287" s="35" t="s">
        <v>2387</v>
      </c>
      <c r="C287" s="35" t="s">
        <v>48</v>
      </c>
      <c r="D287" s="35" t="s">
        <v>157</v>
      </c>
      <c r="E287" s="35"/>
      <c r="F287" s="35"/>
      <c r="G287" s="35" t="s">
        <v>681</v>
      </c>
      <c r="H287" s="35" t="s">
        <v>61</v>
      </c>
      <c r="I287" s="4"/>
    </row>
    <row r="288" customFormat="false" ht="15" hidden="false" customHeight="false" outlineLevel="0" collapsed="false">
      <c r="A288" s="35" t="s">
        <v>2388</v>
      </c>
      <c r="B288" s="35" t="s">
        <v>2389</v>
      </c>
      <c r="C288" s="35" t="s">
        <v>48</v>
      </c>
      <c r="D288" s="35" t="s">
        <v>157</v>
      </c>
      <c r="E288" s="35"/>
      <c r="F288" s="35"/>
      <c r="G288" s="35" t="s">
        <v>49</v>
      </c>
      <c r="H288" s="35" t="s">
        <v>49</v>
      </c>
      <c r="I288" s="4"/>
    </row>
    <row r="289" customFormat="false" ht="15" hidden="false" customHeight="false" outlineLevel="0" collapsed="false">
      <c r="A289" s="35" t="s">
        <v>1847</v>
      </c>
      <c r="B289" s="35" t="s">
        <v>2390</v>
      </c>
      <c r="C289" s="35" t="s">
        <v>48</v>
      </c>
      <c r="D289" s="35" t="s">
        <v>57</v>
      </c>
      <c r="E289" s="35" t="s">
        <v>1846</v>
      </c>
      <c r="F289" s="35"/>
      <c r="G289" s="35" t="s">
        <v>49</v>
      </c>
      <c r="H289" s="35" t="s">
        <v>49</v>
      </c>
      <c r="I289" s="4"/>
    </row>
    <row r="290" customFormat="false" ht="15" hidden="false" customHeight="false" outlineLevel="0" collapsed="false">
      <c r="A290" s="35" t="s">
        <v>2391</v>
      </c>
      <c r="B290" s="35" t="s">
        <v>2392</v>
      </c>
      <c r="C290" s="35" t="s">
        <v>48</v>
      </c>
      <c r="D290" s="35" t="s">
        <v>157</v>
      </c>
      <c r="E290" s="35"/>
      <c r="F290" s="35"/>
      <c r="G290" s="35" t="s">
        <v>49</v>
      </c>
      <c r="H290" s="35" t="s">
        <v>49</v>
      </c>
      <c r="I290" s="4"/>
    </row>
    <row r="291" customFormat="false" ht="15" hidden="false" customHeight="false" outlineLevel="0" collapsed="false">
      <c r="A291" s="35" t="s">
        <v>2393</v>
      </c>
      <c r="B291" s="35" t="s">
        <v>2394</v>
      </c>
      <c r="C291" s="35" t="s">
        <v>48</v>
      </c>
      <c r="D291" s="35" t="s">
        <v>146</v>
      </c>
      <c r="E291" s="35"/>
      <c r="F291" s="35"/>
      <c r="G291" s="35" t="s">
        <v>49</v>
      </c>
      <c r="H291" s="35" t="s">
        <v>49</v>
      </c>
      <c r="I291" s="4"/>
    </row>
    <row r="292" customFormat="false" ht="15" hidden="false" customHeight="false" outlineLevel="0" collapsed="false">
      <c r="A292" s="35" t="s">
        <v>2395</v>
      </c>
      <c r="B292" s="35" t="s">
        <v>2396</v>
      </c>
      <c r="C292" s="35" t="s">
        <v>48</v>
      </c>
      <c r="D292" s="35" t="s">
        <v>157</v>
      </c>
      <c r="E292" s="35"/>
      <c r="F292" s="35"/>
      <c r="G292" s="35" t="s">
        <v>49</v>
      </c>
      <c r="H292" s="35" t="s">
        <v>49</v>
      </c>
      <c r="I292" s="4"/>
    </row>
    <row r="293" customFormat="false" ht="15" hidden="false" customHeight="false" outlineLevel="0" collapsed="false">
      <c r="A293" s="35" t="s">
        <v>2397</v>
      </c>
      <c r="B293" s="35" t="s">
        <v>2398</v>
      </c>
      <c r="C293" s="35" t="s">
        <v>48</v>
      </c>
      <c r="D293" s="35" t="s">
        <v>146</v>
      </c>
      <c r="E293" s="35"/>
      <c r="F293" s="35"/>
      <c r="G293" s="35" t="s">
        <v>714</v>
      </c>
      <c r="H293" s="35" t="s">
        <v>49</v>
      </c>
      <c r="I293" s="4"/>
    </row>
    <row r="294" customFormat="false" ht="15" hidden="false" customHeight="false" outlineLevel="0" collapsed="false">
      <c r="A294" s="35" t="s">
        <v>2399</v>
      </c>
      <c r="B294" s="35" t="s">
        <v>2400</v>
      </c>
      <c r="C294" s="35" t="s">
        <v>48</v>
      </c>
      <c r="D294" s="35" t="s">
        <v>146</v>
      </c>
      <c r="E294" s="35"/>
      <c r="F294" s="35"/>
      <c r="G294" s="35" t="s">
        <v>545</v>
      </c>
      <c r="H294" s="35" t="s">
        <v>369</v>
      </c>
      <c r="I294" s="4"/>
    </row>
    <row r="295" customFormat="false" ht="15" hidden="false" customHeight="false" outlineLevel="0" collapsed="false">
      <c r="A295" s="35" t="s">
        <v>2401</v>
      </c>
      <c r="B295" s="35" t="s">
        <v>2402</v>
      </c>
      <c r="C295" s="35" t="s">
        <v>48</v>
      </c>
      <c r="D295" s="35" t="s">
        <v>146</v>
      </c>
      <c r="E295" s="35"/>
      <c r="F295" s="35"/>
      <c r="G295" s="35" t="s">
        <v>545</v>
      </c>
      <c r="H295" s="35" t="s">
        <v>369</v>
      </c>
      <c r="I295" s="4"/>
    </row>
    <row r="296" customFormat="false" ht="15" hidden="false" customHeight="false" outlineLevel="0" collapsed="false">
      <c r="A296" s="35" t="s">
        <v>1346</v>
      </c>
      <c r="B296" s="35" t="s">
        <v>2403</v>
      </c>
      <c r="C296" s="35" t="s">
        <v>48</v>
      </c>
      <c r="D296" s="35" t="s">
        <v>57</v>
      </c>
      <c r="E296" s="35" t="s">
        <v>1346</v>
      </c>
      <c r="F296" s="35"/>
      <c r="G296" s="35" t="s">
        <v>87</v>
      </c>
      <c r="H296" s="35" t="s">
        <v>61</v>
      </c>
      <c r="I296" s="4"/>
    </row>
    <row r="297" customFormat="false" ht="15" hidden="false" customHeight="false" outlineLevel="0" collapsed="false">
      <c r="A297" s="35" t="s">
        <v>2404</v>
      </c>
      <c r="B297" s="35" t="s">
        <v>2405</v>
      </c>
      <c r="C297" s="35" t="s">
        <v>48</v>
      </c>
      <c r="D297" s="35" t="s">
        <v>107</v>
      </c>
      <c r="E297" s="35" t="s">
        <v>997</v>
      </c>
      <c r="F297" s="35"/>
      <c r="G297" s="35" t="s">
        <v>444</v>
      </c>
      <c r="H297" s="35" t="s">
        <v>61</v>
      </c>
      <c r="I297" s="4"/>
    </row>
    <row r="298" customFormat="false" ht="15" hidden="false" customHeight="false" outlineLevel="0" collapsed="false">
      <c r="A298" s="35" t="s">
        <v>2406</v>
      </c>
      <c r="B298" s="35" t="s">
        <v>2407</v>
      </c>
      <c r="C298" s="35" t="s">
        <v>48</v>
      </c>
      <c r="D298" s="35" t="s">
        <v>107</v>
      </c>
      <c r="E298" s="35" t="s">
        <v>997</v>
      </c>
      <c r="F298" s="35"/>
      <c r="G298" s="35" t="s">
        <v>444</v>
      </c>
      <c r="H298" s="35" t="s">
        <v>61</v>
      </c>
      <c r="I298" s="4"/>
    </row>
    <row r="299" customFormat="false" ht="15" hidden="false" customHeight="false" outlineLevel="0" collapsed="false">
      <c r="A299" s="35" t="s">
        <v>2408</v>
      </c>
      <c r="B299" s="35" t="s">
        <v>2409</v>
      </c>
      <c r="C299" s="35" t="s">
        <v>48</v>
      </c>
      <c r="D299" s="35" t="s">
        <v>53</v>
      </c>
      <c r="E299" s="35"/>
      <c r="F299" s="35"/>
      <c r="G299" s="35" t="s">
        <v>444</v>
      </c>
      <c r="H299" s="35" t="s">
        <v>61</v>
      </c>
      <c r="I299" s="4"/>
    </row>
    <row r="300" customFormat="false" ht="15" hidden="false" customHeight="false" outlineLevel="0" collapsed="false">
      <c r="A300" s="35" t="s">
        <v>487</v>
      </c>
      <c r="B300" s="35" t="s">
        <v>488</v>
      </c>
      <c r="C300" s="35" t="s">
        <v>48</v>
      </c>
      <c r="D300" s="35" t="s">
        <v>107</v>
      </c>
      <c r="E300" s="35" t="s">
        <v>484</v>
      </c>
      <c r="F300" s="35"/>
      <c r="G300" s="35" t="s">
        <v>444</v>
      </c>
      <c r="H300" s="35" t="s">
        <v>61</v>
      </c>
      <c r="I300" s="4" t="s">
        <v>2025</v>
      </c>
    </row>
    <row r="301" customFormat="false" ht="15" hidden="false" customHeight="false" outlineLevel="0" collapsed="false">
      <c r="A301" s="35" t="s">
        <v>2410</v>
      </c>
      <c r="B301" s="35" t="s">
        <v>2411</v>
      </c>
      <c r="C301" s="35" t="s">
        <v>48</v>
      </c>
      <c r="D301" s="35" t="s">
        <v>447</v>
      </c>
      <c r="E301" s="35"/>
      <c r="F301" s="35"/>
      <c r="G301" s="35" t="s">
        <v>444</v>
      </c>
      <c r="H301" s="35" t="s">
        <v>61</v>
      </c>
      <c r="I301" s="4"/>
    </row>
    <row r="302" customFormat="false" ht="15" hidden="false" customHeight="false" outlineLevel="0" collapsed="false">
      <c r="A302" s="35" t="s">
        <v>2412</v>
      </c>
      <c r="B302" s="35" t="s">
        <v>2413</v>
      </c>
      <c r="C302" s="35" t="s">
        <v>48</v>
      </c>
      <c r="D302" s="35" t="s">
        <v>146</v>
      </c>
      <c r="E302" s="35"/>
      <c r="F302" s="35"/>
      <c r="G302" s="35" t="s">
        <v>444</v>
      </c>
      <c r="H302" s="35" t="s">
        <v>61</v>
      </c>
      <c r="I302" s="4"/>
    </row>
    <row r="303" customFormat="false" ht="15" hidden="false" customHeight="false" outlineLevel="0" collapsed="false">
      <c r="A303" s="35" t="s">
        <v>1348</v>
      </c>
      <c r="B303" s="35" t="s">
        <v>2414</v>
      </c>
      <c r="C303" s="35" t="s">
        <v>48</v>
      </c>
      <c r="D303" s="35" t="s">
        <v>107</v>
      </c>
      <c r="E303" s="35" t="s">
        <v>1347</v>
      </c>
      <c r="F303" s="35"/>
      <c r="G303" s="35" t="s">
        <v>444</v>
      </c>
      <c r="H303" s="35" t="s">
        <v>61</v>
      </c>
      <c r="I303" s="4"/>
    </row>
    <row r="304" customFormat="false" ht="15" hidden="false" customHeight="false" outlineLevel="0" collapsed="false">
      <c r="A304" s="35" t="s">
        <v>2415</v>
      </c>
      <c r="B304" s="35" t="s">
        <v>2416</v>
      </c>
      <c r="C304" s="35" t="s">
        <v>48</v>
      </c>
      <c r="D304" s="35" t="s">
        <v>107</v>
      </c>
      <c r="E304" s="35" t="s">
        <v>616</v>
      </c>
      <c r="F304" s="35"/>
      <c r="G304" s="35" t="s">
        <v>710</v>
      </c>
      <c r="H304" s="35" t="s">
        <v>61</v>
      </c>
      <c r="I304" s="4"/>
    </row>
    <row r="305" customFormat="false" ht="15" hidden="false" customHeight="false" outlineLevel="0" collapsed="false">
      <c r="A305" s="35" t="s">
        <v>214</v>
      </c>
      <c r="B305" s="35" t="s">
        <v>215</v>
      </c>
      <c r="C305" s="35" t="s">
        <v>48</v>
      </c>
      <c r="D305" s="35" t="s">
        <v>53</v>
      </c>
      <c r="E305" s="35"/>
      <c r="F305" s="35"/>
      <c r="G305" s="35" t="s">
        <v>104</v>
      </c>
      <c r="H305" s="35" t="s">
        <v>61</v>
      </c>
      <c r="I305" s="4" t="s">
        <v>2025</v>
      </c>
    </row>
    <row r="306" customFormat="false" ht="15" hidden="false" customHeight="false" outlineLevel="0" collapsed="false">
      <c r="A306" s="35" t="s">
        <v>2417</v>
      </c>
      <c r="B306" s="35" t="s">
        <v>2418</v>
      </c>
      <c r="C306" s="35" t="s">
        <v>48</v>
      </c>
      <c r="D306" s="35" t="s">
        <v>53</v>
      </c>
      <c r="E306" s="35"/>
      <c r="F306" s="35" t="s">
        <v>560</v>
      </c>
      <c r="G306" s="35" t="s">
        <v>104</v>
      </c>
      <c r="H306" s="35" t="s">
        <v>61</v>
      </c>
      <c r="I306" s="4"/>
    </row>
    <row r="307" customFormat="false" ht="15" hidden="false" customHeight="false" outlineLevel="0" collapsed="false">
      <c r="A307" s="35" t="s">
        <v>1352</v>
      </c>
      <c r="B307" s="35" t="s">
        <v>2419</v>
      </c>
      <c r="C307" s="35" t="s">
        <v>48</v>
      </c>
      <c r="D307" s="35" t="s">
        <v>107</v>
      </c>
      <c r="E307" s="35" t="s">
        <v>1351</v>
      </c>
      <c r="F307" s="35"/>
      <c r="G307" s="35" t="s">
        <v>421</v>
      </c>
      <c r="H307" s="35" t="s">
        <v>61</v>
      </c>
      <c r="I307" s="4"/>
    </row>
    <row r="308" customFormat="false" ht="15" hidden="false" customHeight="false" outlineLevel="0" collapsed="false">
      <c r="A308" s="35" t="s">
        <v>1356</v>
      </c>
      <c r="B308" s="35" t="s">
        <v>2420</v>
      </c>
      <c r="C308" s="35" t="s">
        <v>48</v>
      </c>
      <c r="D308" s="35" t="s">
        <v>46</v>
      </c>
      <c r="E308" s="35" t="s">
        <v>1355</v>
      </c>
      <c r="F308" s="35"/>
      <c r="G308" s="35" t="s">
        <v>262</v>
      </c>
      <c r="H308" s="35" t="s">
        <v>61</v>
      </c>
      <c r="I308" s="4"/>
    </row>
    <row r="309" customFormat="false" ht="15" hidden="false" customHeight="false" outlineLevel="0" collapsed="false">
      <c r="A309" s="35" t="s">
        <v>309</v>
      </c>
      <c r="B309" s="35" t="s">
        <v>311</v>
      </c>
      <c r="C309" s="35" t="s">
        <v>48</v>
      </c>
      <c r="D309" s="35" t="s">
        <v>107</v>
      </c>
      <c r="E309" s="35" t="s">
        <v>310</v>
      </c>
      <c r="F309" s="35"/>
      <c r="G309" s="35" t="s">
        <v>262</v>
      </c>
      <c r="H309" s="35" t="s">
        <v>267</v>
      </c>
      <c r="I309" s="4" t="s">
        <v>2025</v>
      </c>
    </row>
    <row r="310" customFormat="false" ht="15" hidden="false" customHeight="false" outlineLevel="0" collapsed="false">
      <c r="A310" s="35" t="s">
        <v>2421</v>
      </c>
      <c r="B310" s="35" t="s">
        <v>2422</v>
      </c>
      <c r="C310" s="35" t="s">
        <v>48</v>
      </c>
      <c r="D310" s="35" t="s">
        <v>107</v>
      </c>
      <c r="E310" s="35" t="s">
        <v>850</v>
      </c>
      <c r="F310" s="35"/>
      <c r="G310" s="35" t="s">
        <v>433</v>
      </c>
      <c r="H310" s="35" t="s">
        <v>245</v>
      </c>
      <c r="I310" s="4"/>
    </row>
    <row r="311" customFormat="false" ht="15" hidden="false" customHeight="false" outlineLevel="0" collapsed="false">
      <c r="A311" s="35" t="s">
        <v>2423</v>
      </c>
      <c r="B311" s="35" t="s">
        <v>2424</v>
      </c>
      <c r="C311" s="35" t="s">
        <v>48</v>
      </c>
      <c r="D311" s="35" t="s">
        <v>53</v>
      </c>
      <c r="E311" s="35"/>
      <c r="F311" s="35"/>
      <c r="G311" s="35" t="s">
        <v>444</v>
      </c>
      <c r="H311" s="35" t="s">
        <v>61</v>
      </c>
      <c r="I311" s="4"/>
    </row>
    <row r="312" customFormat="false" ht="15" hidden="false" customHeight="false" outlineLevel="0" collapsed="false">
      <c r="A312" s="35" t="s">
        <v>2425</v>
      </c>
      <c r="B312" s="35" t="s">
        <v>2426</v>
      </c>
      <c r="C312" s="35" t="s">
        <v>48</v>
      </c>
      <c r="D312" s="35" t="s">
        <v>107</v>
      </c>
      <c r="E312" s="35" t="s">
        <v>484</v>
      </c>
      <c r="F312" s="35"/>
      <c r="G312" s="35" t="s">
        <v>444</v>
      </c>
      <c r="H312" s="35" t="s">
        <v>61</v>
      </c>
      <c r="I312" s="4"/>
    </row>
    <row r="313" customFormat="false" ht="15" hidden="false" customHeight="false" outlineLevel="0" collapsed="false">
      <c r="A313" s="35" t="s">
        <v>1358</v>
      </c>
      <c r="B313" s="35" t="s">
        <v>2427</v>
      </c>
      <c r="C313" s="35" t="s">
        <v>48</v>
      </c>
      <c r="D313" s="35" t="s">
        <v>107</v>
      </c>
      <c r="E313" s="35" t="s">
        <v>1357</v>
      </c>
      <c r="F313" s="35"/>
      <c r="G313" s="35" t="s">
        <v>444</v>
      </c>
      <c r="H313" s="35" t="s">
        <v>61</v>
      </c>
      <c r="I313" s="4"/>
    </row>
    <row r="314" customFormat="false" ht="15" hidden="false" customHeight="false" outlineLevel="0" collapsed="false">
      <c r="A314" s="35" t="s">
        <v>1370</v>
      </c>
      <c r="B314" s="35" t="s">
        <v>1370</v>
      </c>
      <c r="C314" s="35" t="s">
        <v>48</v>
      </c>
      <c r="D314" s="35" t="s">
        <v>57</v>
      </c>
      <c r="E314" s="35" t="s">
        <v>1369</v>
      </c>
      <c r="F314" s="35"/>
      <c r="G314" s="35" t="s">
        <v>571</v>
      </c>
      <c r="H314" s="35" t="s">
        <v>61</v>
      </c>
      <c r="I314" s="4"/>
    </row>
    <row r="315" customFormat="false" ht="15" hidden="false" customHeight="false" outlineLevel="0" collapsed="false">
      <c r="A315" s="35" t="s">
        <v>2428</v>
      </c>
      <c r="B315" s="35" t="s">
        <v>2429</v>
      </c>
      <c r="C315" s="35" t="s">
        <v>48</v>
      </c>
      <c r="D315" s="35" t="s">
        <v>57</v>
      </c>
      <c r="E315" s="35" t="s">
        <v>553</v>
      </c>
      <c r="F315" s="35"/>
      <c r="G315" s="35" t="s">
        <v>571</v>
      </c>
      <c r="H315" s="35" t="s">
        <v>61</v>
      </c>
      <c r="I315" s="4"/>
    </row>
    <row r="316" customFormat="false" ht="15" hidden="false" customHeight="false" outlineLevel="0" collapsed="false">
      <c r="A316" s="35" t="s">
        <v>1434</v>
      </c>
      <c r="B316" s="35" t="s">
        <v>2429</v>
      </c>
      <c r="C316" s="35" t="s">
        <v>48</v>
      </c>
      <c r="D316" s="35" t="s">
        <v>57</v>
      </c>
      <c r="E316" s="35" t="s">
        <v>1433</v>
      </c>
      <c r="F316" s="35"/>
      <c r="G316" s="35" t="s">
        <v>571</v>
      </c>
      <c r="H316" s="35" t="s">
        <v>61</v>
      </c>
      <c r="I316" s="4"/>
    </row>
    <row r="317" customFormat="false" ht="15" hidden="false" customHeight="false" outlineLevel="0" collapsed="false">
      <c r="A317" s="35" t="s">
        <v>2430</v>
      </c>
      <c r="B317" s="35" t="s">
        <v>2429</v>
      </c>
      <c r="C317" s="35" t="s">
        <v>48</v>
      </c>
      <c r="D317" s="35" t="s">
        <v>57</v>
      </c>
      <c r="E317" s="35" t="s">
        <v>553</v>
      </c>
      <c r="F317" s="35"/>
      <c r="G317" s="35" t="s">
        <v>571</v>
      </c>
      <c r="H317" s="35" t="s">
        <v>61</v>
      </c>
      <c r="I317" s="4"/>
    </row>
    <row r="318" customFormat="false" ht="15" hidden="false" customHeight="false" outlineLevel="0" collapsed="false">
      <c r="A318" s="35" t="s">
        <v>2431</v>
      </c>
      <c r="B318" s="35" t="s">
        <v>2429</v>
      </c>
      <c r="C318" s="35" t="s">
        <v>48</v>
      </c>
      <c r="D318" s="35" t="s">
        <v>57</v>
      </c>
      <c r="E318" s="35" t="s">
        <v>569</v>
      </c>
      <c r="F318" s="35"/>
      <c r="G318" s="35" t="s">
        <v>571</v>
      </c>
      <c r="H318" s="35" t="s">
        <v>61</v>
      </c>
      <c r="I318" s="4"/>
    </row>
    <row r="319" customFormat="false" ht="15" hidden="false" customHeight="false" outlineLevel="0" collapsed="false">
      <c r="A319" s="35" t="s">
        <v>2432</v>
      </c>
      <c r="B319" s="35" t="s">
        <v>2429</v>
      </c>
      <c r="C319" s="35" t="s">
        <v>48</v>
      </c>
      <c r="D319" s="35" t="s">
        <v>57</v>
      </c>
      <c r="E319" s="35" t="s">
        <v>553</v>
      </c>
      <c r="F319" s="35"/>
      <c r="G319" s="35" t="s">
        <v>571</v>
      </c>
      <c r="H319" s="35" t="s">
        <v>61</v>
      </c>
      <c r="I319" s="4"/>
    </row>
    <row r="320" customFormat="false" ht="15" hidden="false" customHeight="false" outlineLevel="0" collapsed="false">
      <c r="A320" s="35" t="s">
        <v>2433</v>
      </c>
      <c r="B320" s="35" t="s">
        <v>2429</v>
      </c>
      <c r="C320" s="35" t="s">
        <v>48</v>
      </c>
      <c r="D320" s="35" t="s">
        <v>57</v>
      </c>
      <c r="E320" s="35" t="s">
        <v>553</v>
      </c>
      <c r="F320" s="35"/>
      <c r="G320" s="35" t="s">
        <v>571</v>
      </c>
      <c r="H320" s="35" t="s">
        <v>61</v>
      </c>
      <c r="I320" s="4"/>
    </row>
    <row r="321" customFormat="false" ht="15" hidden="false" customHeight="false" outlineLevel="0" collapsed="false">
      <c r="A321" s="35" t="s">
        <v>1361</v>
      </c>
      <c r="B321" s="35" t="s">
        <v>2434</v>
      </c>
      <c r="C321" s="35" t="s">
        <v>48</v>
      </c>
      <c r="D321" s="35" t="s">
        <v>107</v>
      </c>
      <c r="E321" s="35" t="s">
        <v>1361</v>
      </c>
      <c r="F321" s="35"/>
      <c r="G321" s="35" t="s">
        <v>730</v>
      </c>
      <c r="H321" s="35" t="s">
        <v>61</v>
      </c>
      <c r="I321" s="4"/>
    </row>
    <row r="322" customFormat="false" ht="15" hidden="false" customHeight="false" outlineLevel="0" collapsed="false">
      <c r="A322" s="35" t="s">
        <v>2435</v>
      </c>
      <c r="B322" s="35" t="s">
        <v>2436</v>
      </c>
      <c r="C322" s="35" t="s">
        <v>48</v>
      </c>
      <c r="D322" s="35" t="s">
        <v>114</v>
      </c>
      <c r="E322" s="35"/>
      <c r="F322" s="35"/>
      <c r="G322" s="35" t="s">
        <v>328</v>
      </c>
      <c r="H322" s="35" t="s">
        <v>61</v>
      </c>
      <c r="I322" s="4"/>
    </row>
    <row r="323" customFormat="false" ht="15" hidden="false" customHeight="false" outlineLevel="0" collapsed="false">
      <c r="A323" s="35" t="s">
        <v>2437</v>
      </c>
      <c r="B323" s="35" t="s">
        <v>2438</v>
      </c>
      <c r="C323" s="35" t="s">
        <v>48</v>
      </c>
      <c r="D323" s="35" t="s">
        <v>114</v>
      </c>
      <c r="E323" s="35"/>
      <c r="F323" s="35"/>
      <c r="G323" s="35" t="s">
        <v>328</v>
      </c>
      <c r="H323" s="35" t="s">
        <v>61</v>
      </c>
      <c r="I323" s="4"/>
    </row>
    <row r="324" customFormat="false" ht="15" hidden="false" customHeight="false" outlineLevel="0" collapsed="false">
      <c r="A324" s="35" t="s">
        <v>2439</v>
      </c>
      <c r="B324" s="35" t="s">
        <v>2440</v>
      </c>
      <c r="C324" s="35" t="s">
        <v>48</v>
      </c>
      <c r="D324" s="35" t="s">
        <v>53</v>
      </c>
      <c r="E324" s="35"/>
      <c r="F324" s="35"/>
      <c r="G324" s="35" t="s">
        <v>328</v>
      </c>
      <c r="H324" s="35" t="s">
        <v>61</v>
      </c>
      <c r="I324" s="4"/>
    </row>
    <row r="325" customFormat="false" ht="15" hidden="false" customHeight="false" outlineLevel="0" collapsed="false">
      <c r="A325" s="35" t="s">
        <v>696</v>
      </c>
      <c r="B325" s="35" t="s">
        <v>2441</v>
      </c>
      <c r="C325" s="35" t="s">
        <v>48</v>
      </c>
      <c r="D325" s="35" t="s">
        <v>46</v>
      </c>
      <c r="E325" s="35" t="s">
        <v>1135</v>
      </c>
      <c r="F325" s="35"/>
      <c r="G325" s="35" t="s">
        <v>696</v>
      </c>
      <c r="H325" s="35" t="s">
        <v>61</v>
      </c>
      <c r="I325" s="4"/>
    </row>
    <row r="326" customFormat="false" ht="15" hidden="false" customHeight="false" outlineLevel="0" collapsed="false">
      <c r="A326" s="35" t="s">
        <v>2442</v>
      </c>
      <c r="B326" s="35" t="s">
        <v>2443</v>
      </c>
      <c r="C326" s="35" t="s">
        <v>48</v>
      </c>
      <c r="D326" s="35" t="s">
        <v>57</v>
      </c>
      <c r="E326" s="35" t="s">
        <v>351</v>
      </c>
      <c r="F326" s="35"/>
      <c r="G326" s="35" t="s">
        <v>337</v>
      </c>
      <c r="H326" s="35" t="s">
        <v>61</v>
      </c>
      <c r="I326" s="4"/>
    </row>
    <row r="327" customFormat="false" ht="15" hidden="false" customHeight="false" outlineLevel="0" collapsed="false">
      <c r="A327" s="35" t="s">
        <v>2444</v>
      </c>
      <c r="B327" s="35" t="s">
        <v>2445</v>
      </c>
      <c r="C327" s="35" t="s">
        <v>48</v>
      </c>
      <c r="D327" s="35" t="s">
        <v>53</v>
      </c>
      <c r="E327" s="35"/>
      <c r="F327" s="35"/>
      <c r="G327" s="35" t="s">
        <v>337</v>
      </c>
      <c r="H327" s="35" t="s">
        <v>61</v>
      </c>
      <c r="I327" s="4"/>
    </row>
    <row r="328" customFormat="false" ht="15" hidden="false" customHeight="false" outlineLevel="0" collapsed="false">
      <c r="A328" s="35" t="s">
        <v>2446</v>
      </c>
      <c r="B328" s="35" t="s">
        <v>2447</v>
      </c>
      <c r="C328" s="35" t="s">
        <v>48</v>
      </c>
      <c r="D328" s="35" t="s">
        <v>107</v>
      </c>
      <c r="E328" s="35" t="s">
        <v>598</v>
      </c>
      <c r="F328" s="35"/>
      <c r="G328" s="35" t="s">
        <v>204</v>
      </c>
      <c r="H328" s="35" t="s">
        <v>61</v>
      </c>
      <c r="I328" s="4"/>
    </row>
    <row r="329" customFormat="false" ht="15" hidden="false" customHeight="false" outlineLevel="0" collapsed="false">
      <c r="A329" s="35" t="s">
        <v>2448</v>
      </c>
      <c r="B329" s="35" t="s">
        <v>2449</v>
      </c>
      <c r="C329" s="35" t="s">
        <v>48</v>
      </c>
      <c r="D329" s="35" t="s">
        <v>53</v>
      </c>
      <c r="E329" s="35"/>
      <c r="F329" s="35"/>
      <c r="G329" s="35" t="s">
        <v>337</v>
      </c>
      <c r="H329" s="35" t="s">
        <v>61</v>
      </c>
      <c r="I329" s="4"/>
    </row>
    <row r="330" customFormat="false" ht="15" hidden="false" customHeight="false" outlineLevel="0" collapsed="false">
      <c r="A330" s="35" t="s">
        <v>2450</v>
      </c>
      <c r="B330" s="35" t="s">
        <v>2451</v>
      </c>
      <c r="C330" s="35" t="s">
        <v>48</v>
      </c>
      <c r="D330" s="35" t="s">
        <v>53</v>
      </c>
      <c r="E330" s="35"/>
      <c r="F330" s="35"/>
      <c r="G330" s="35" t="s">
        <v>337</v>
      </c>
      <c r="H330" s="35" t="s">
        <v>61</v>
      </c>
      <c r="I330" s="4"/>
    </row>
    <row r="331" customFormat="false" ht="15" hidden="false" customHeight="false" outlineLevel="0" collapsed="false">
      <c r="A331" s="35" t="s">
        <v>1397</v>
      </c>
      <c r="B331" s="35" t="s">
        <v>2452</v>
      </c>
      <c r="C331" s="35" t="s">
        <v>48</v>
      </c>
      <c r="D331" s="35" t="s">
        <v>57</v>
      </c>
      <c r="E331" s="35" t="s">
        <v>1396</v>
      </c>
      <c r="F331" s="35"/>
      <c r="G331" s="35" t="s">
        <v>696</v>
      </c>
      <c r="H331" s="35" t="s">
        <v>61</v>
      </c>
      <c r="I331" s="4"/>
    </row>
    <row r="332" customFormat="false" ht="15" hidden="false" customHeight="false" outlineLevel="0" collapsed="false">
      <c r="A332" s="35" t="s">
        <v>2453</v>
      </c>
      <c r="B332" s="35" t="s">
        <v>2454</v>
      </c>
      <c r="C332" s="35" t="s">
        <v>48</v>
      </c>
      <c r="D332" s="35" t="s">
        <v>57</v>
      </c>
      <c r="E332" s="35" t="s">
        <v>320</v>
      </c>
      <c r="F332" s="35"/>
      <c r="G332" s="35" t="s">
        <v>337</v>
      </c>
      <c r="H332" s="35" t="s">
        <v>61</v>
      </c>
      <c r="I332" s="4"/>
    </row>
    <row r="333" customFormat="false" ht="15" hidden="false" customHeight="false" outlineLevel="0" collapsed="false">
      <c r="A333" s="35" t="s">
        <v>2455</v>
      </c>
      <c r="B333" s="35" t="s">
        <v>2456</v>
      </c>
      <c r="C333" s="35" t="s">
        <v>48</v>
      </c>
      <c r="D333" s="35" t="s">
        <v>107</v>
      </c>
      <c r="E333" s="35" t="s">
        <v>603</v>
      </c>
      <c r="F333" s="35"/>
      <c r="G333" s="35" t="s">
        <v>204</v>
      </c>
      <c r="H333" s="35" t="s">
        <v>61</v>
      </c>
      <c r="I333" s="4"/>
    </row>
    <row r="334" customFormat="false" ht="15" hidden="false" customHeight="false" outlineLevel="0" collapsed="false">
      <c r="A334" s="35" t="s">
        <v>2457</v>
      </c>
      <c r="B334" s="35" t="s">
        <v>2458</v>
      </c>
      <c r="C334" s="35" t="s">
        <v>48</v>
      </c>
      <c r="D334" s="35" t="s">
        <v>107</v>
      </c>
      <c r="E334" s="35" t="s">
        <v>976</v>
      </c>
      <c r="F334" s="35"/>
      <c r="G334" s="35" t="s">
        <v>204</v>
      </c>
      <c r="H334" s="35" t="s">
        <v>61</v>
      </c>
      <c r="I334" s="4"/>
    </row>
    <row r="335" customFormat="false" ht="15" hidden="false" customHeight="false" outlineLevel="0" collapsed="false">
      <c r="A335" s="35" t="s">
        <v>2459</v>
      </c>
      <c r="B335" s="35" t="s">
        <v>2460</v>
      </c>
      <c r="C335" s="35" t="s">
        <v>48</v>
      </c>
      <c r="D335" s="35" t="s">
        <v>57</v>
      </c>
      <c r="E335" s="35" t="s">
        <v>696</v>
      </c>
      <c r="F335" s="35"/>
      <c r="G335" s="35" t="s">
        <v>696</v>
      </c>
      <c r="H335" s="35" t="s">
        <v>61</v>
      </c>
      <c r="I335" s="4"/>
    </row>
    <row r="336" customFormat="false" ht="15" hidden="false" customHeight="false" outlineLevel="0" collapsed="false">
      <c r="A336" s="35" t="s">
        <v>2461</v>
      </c>
      <c r="B336" s="35" t="s">
        <v>2462</v>
      </c>
      <c r="C336" s="35" t="s">
        <v>48</v>
      </c>
      <c r="D336" s="35" t="s">
        <v>53</v>
      </c>
      <c r="E336" s="35"/>
      <c r="F336" s="35"/>
      <c r="G336" s="35" t="s">
        <v>696</v>
      </c>
      <c r="H336" s="35" t="s">
        <v>61</v>
      </c>
      <c r="I336" s="4"/>
    </row>
    <row r="337" customFormat="false" ht="15" hidden="false" customHeight="false" outlineLevel="0" collapsed="false">
      <c r="A337" s="35" t="s">
        <v>2463</v>
      </c>
      <c r="B337" s="35" t="s">
        <v>2464</v>
      </c>
      <c r="C337" s="35" t="s">
        <v>48</v>
      </c>
      <c r="D337" s="35" t="s">
        <v>114</v>
      </c>
      <c r="E337" s="35"/>
      <c r="F337" s="35"/>
      <c r="G337" s="35" t="s">
        <v>99</v>
      </c>
      <c r="H337" s="35" t="s">
        <v>61</v>
      </c>
      <c r="I337" s="4"/>
    </row>
    <row r="338" customFormat="false" ht="15" hidden="false" customHeight="false" outlineLevel="0" collapsed="false">
      <c r="A338" s="35" t="s">
        <v>2465</v>
      </c>
      <c r="B338" s="35" t="s">
        <v>2466</v>
      </c>
      <c r="C338" s="35" t="s">
        <v>48</v>
      </c>
      <c r="D338" s="35" t="s">
        <v>107</v>
      </c>
      <c r="E338" s="35" t="s">
        <v>829</v>
      </c>
      <c r="F338" s="35"/>
      <c r="G338" s="35" t="s">
        <v>99</v>
      </c>
      <c r="H338" s="35" t="s">
        <v>61</v>
      </c>
      <c r="I338" s="4"/>
    </row>
    <row r="339" customFormat="false" ht="15" hidden="false" customHeight="false" outlineLevel="0" collapsed="false">
      <c r="A339" s="35" t="s">
        <v>2467</v>
      </c>
      <c r="B339" s="35" t="s">
        <v>2468</v>
      </c>
      <c r="C339" s="35" t="s">
        <v>48</v>
      </c>
      <c r="D339" s="35" t="s">
        <v>107</v>
      </c>
      <c r="E339" s="35" t="s">
        <v>226</v>
      </c>
      <c r="F339" s="35"/>
      <c r="G339" s="35" t="s">
        <v>119</v>
      </c>
      <c r="H339" s="35" t="s">
        <v>61</v>
      </c>
      <c r="I339" s="4"/>
    </row>
    <row r="340" customFormat="false" ht="15" hidden="false" customHeight="false" outlineLevel="0" collapsed="false">
      <c r="A340" s="35" t="s">
        <v>2469</v>
      </c>
      <c r="B340" s="35" t="s">
        <v>2470</v>
      </c>
      <c r="C340" s="35" t="s">
        <v>48</v>
      </c>
      <c r="D340" s="35" t="s">
        <v>107</v>
      </c>
      <c r="E340" s="35" t="s">
        <v>226</v>
      </c>
      <c r="F340" s="35"/>
      <c r="G340" s="35" t="s">
        <v>119</v>
      </c>
      <c r="H340" s="35" t="s">
        <v>61</v>
      </c>
      <c r="I340" s="4"/>
    </row>
    <row r="341" customFormat="false" ht="15" hidden="false" customHeight="false" outlineLevel="0" collapsed="false">
      <c r="A341" s="35" t="s">
        <v>2471</v>
      </c>
      <c r="B341" s="35" t="s">
        <v>2472</v>
      </c>
      <c r="C341" s="35" t="s">
        <v>48</v>
      </c>
      <c r="D341" s="35" t="s">
        <v>53</v>
      </c>
      <c r="E341" s="35"/>
      <c r="F341" s="35"/>
      <c r="G341" s="35" t="s">
        <v>99</v>
      </c>
      <c r="H341" s="35" t="s">
        <v>61</v>
      </c>
      <c r="I341" s="4"/>
    </row>
    <row r="342" customFormat="false" ht="15" hidden="false" customHeight="false" outlineLevel="0" collapsed="false">
      <c r="A342" s="35" t="s">
        <v>2473</v>
      </c>
      <c r="B342" s="35" t="s">
        <v>2474</v>
      </c>
      <c r="C342" s="35" t="s">
        <v>48</v>
      </c>
      <c r="D342" s="35" t="s">
        <v>107</v>
      </c>
      <c r="E342" s="35" t="s">
        <v>45</v>
      </c>
      <c r="F342" s="35"/>
      <c r="G342" s="35" t="s">
        <v>119</v>
      </c>
      <c r="H342" s="35" t="s">
        <v>61</v>
      </c>
      <c r="I342" s="4"/>
    </row>
    <row r="343" customFormat="false" ht="15" hidden="false" customHeight="false" outlineLevel="0" collapsed="false">
      <c r="A343" s="35" t="s">
        <v>2475</v>
      </c>
      <c r="B343" s="35" t="s">
        <v>2476</v>
      </c>
      <c r="C343" s="35" t="s">
        <v>48</v>
      </c>
      <c r="D343" s="35" t="s">
        <v>157</v>
      </c>
      <c r="E343" s="35"/>
      <c r="F343" s="35"/>
      <c r="G343" s="35" t="s">
        <v>99</v>
      </c>
      <c r="H343" s="35" t="s">
        <v>61</v>
      </c>
      <c r="I343" s="4"/>
    </row>
    <row r="344" customFormat="false" ht="15" hidden="false" customHeight="false" outlineLevel="0" collapsed="false">
      <c r="A344" s="35" t="s">
        <v>2477</v>
      </c>
      <c r="B344" s="35" t="s">
        <v>2478</v>
      </c>
      <c r="C344" s="35" t="s">
        <v>48</v>
      </c>
      <c r="D344" s="35" t="s">
        <v>57</v>
      </c>
      <c r="E344" s="35" t="s">
        <v>94</v>
      </c>
      <c r="F344" s="35"/>
      <c r="G344" s="35" t="s">
        <v>87</v>
      </c>
      <c r="H344" s="35" t="s">
        <v>61</v>
      </c>
      <c r="I344" s="4"/>
    </row>
    <row r="345" customFormat="false" ht="15" hidden="false" customHeight="false" outlineLevel="0" collapsed="false">
      <c r="A345" s="35" t="s">
        <v>1086</v>
      </c>
      <c r="B345" s="35" t="s">
        <v>2479</v>
      </c>
      <c r="C345" s="35" t="s">
        <v>48</v>
      </c>
      <c r="D345" s="35" t="s">
        <v>107</v>
      </c>
      <c r="E345" s="35" t="s">
        <v>1085</v>
      </c>
      <c r="F345" s="35"/>
      <c r="G345" s="35" t="s">
        <v>696</v>
      </c>
      <c r="H345" s="35" t="s">
        <v>61</v>
      </c>
      <c r="I345" s="4"/>
    </row>
    <row r="346" customFormat="false" ht="15" hidden="false" customHeight="false" outlineLevel="0" collapsed="false">
      <c r="A346" s="35" t="s">
        <v>2480</v>
      </c>
      <c r="B346" s="35" t="s">
        <v>2481</v>
      </c>
      <c r="C346" s="35" t="s">
        <v>48</v>
      </c>
      <c r="D346" s="35" t="s">
        <v>53</v>
      </c>
      <c r="E346" s="35"/>
      <c r="F346" s="35"/>
      <c r="G346" s="35" t="s">
        <v>337</v>
      </c>
      <c r="H346" s="35" t="s">
        <v>61</v>
      </c>
      <c r="I346" s="4"/>
    </row>
    <row r="347" customFormat="false" ht="15" hidden="false" customHeight="false" outlineLevel="0" collapsed="false">
      <c r="A347" s="35" t="s">
        <v>2482</v>
      </c>
      <c r="B347" s="35" t="s">
        <v>2483</v>
      </c>
      <c r="C347" s="35" t="s">
        <v>48</v>
      </c>
      <c r="D347" s="35" t="s">
        <v>57</v>
      </c>
      <c r="E347" s="35" t="s">
        <v>357</v>
      </c>
      <c r="F347" s="35"/>
      <c r="G347" s="35" t="s">
        <v>337</v>
      </c>
      <c r="H347" s="35" t="s">
        <v>61</v>
      </c>
      <c r="I347" s="4"/>
    </row>
    <row r="348" customFormat="false" ht="15" hidden="false" customHeight="false" outlineLevel="0" collapsed="false">
      <c r="A348" s="35" t="s">
        <v>2484</v>
      </c>
      <c r="B348" s="35" t="s">
        <v>2485</v>
      </c>
      <c r="C348" s="35" t="s">
        <v>48</v>
      </c>
      <c r="D348" s="35" t="s">
        <v>53</v>
      </c>
      <c r="E348" s="35"/>
      <c r="F348" s="35"/>
      <c r="G348" s="35" t="s">
        <v>337</v>
      </c>
      <c r="H348" s="35" t="s">
        <v>61</v>
      </c>
      <c r="I348" s="4"/>
    </row>
    <row r="349" customFormat="false" ht="15" hidden="false" customHeight="false" outlineLevel="0" collapsed="false">
      <c r="A349" s="35" t="s">
        <v>2486</v>
      </c>
      <c r="B349" s="35" t="s">
        <v>2487</v>
      </c>
      <c r="C349" s="35" t="s">
        <v>48</v>
      </c>
      <c r="D349" s="35" t="s">
        <v>53</v>
      </c>
      <c r="E349" s="35"/>
      <c r="F349" s="35"/>
      <c r="G349" s="35" t="s">
        <v>337</v>
      </c>
      <c r="H349" s="35" t="s">
        <v>61</v>
      </c>
      <c r="I349" s="4"/>
    </row>
    <row r="350" customFormat="false" ht="15" hidden="false" customHeight="false" outlineLevel="0" collapsed="false">
      <c r="A350" s="35" t="s">
        <v>2488</v>
      </c>
      <c r="B350" s="35" t="s">
        <v>2489</v>
      </c>
      <c r="C350" s="35" t="s">
        <v>48</v>
      </c>
      <c r="D350" s="35" t="s">
        <v>46</v>
      </c>
      <c r="E350" s="35" t="s">
        <v>696</v>
      </c>
      <c r="F350" s="35"/>
      <c r="G350" s="35" t="s">
        <v>696</v>
      </c>
      <c r="H350" s="35" t="s">
        <v>61</v>
      </c>
      <c r="I350" s="4"/>
    </row>
    <row r="351" customFormat="false" ht="15" hidden="false" customHeight="false" outlineLevel="0" collapsed="false">
      <c r="A351" s="35" t="s">
        <v>2490</v>
      </c>
      <c r="B351" s="35" t="s">
        <v>2491</v>
      </c>
      <c r="C351" s="35" t="s">
        <v>48</v>
      </c>
      <c r="D351" s="35" t="s">
        <v>107</v>
      </c>
      <c r="E351" s="35" t="s">
        <v>892</v>
      </c>
      <c r="F351" s="35"/>
      <c r="G351" s="35" t="s">
        <v>204</v>
      </c>
      <c r="H351" s="35" t="s">
        <v>61</v>
      </c>
      <c r="I351" s="4"/>
    </row>
    <row r="352" customFormat="false" ht="15" hidden="false" customHeight="false" outlineLevel="0" collapsed="false">
      <c r="A352" s="35" t="s">
        <v>2492</v>
      </c>
      <c r="B352" s="35" t="s">
        <v>2493</v>
      </c>
      <c r="C352" s="35" t="s">
        <v>48</v>
      </c>
      <c r="D352" s="35" t="s">
        <v>107</v>
      </c>
      <c r="E352" s="35" t="s">
        <v>894</v>
      </c>
      <c r="F352" s="35"/>
      <c r="G352" s="35" t="s">
        <v>204</v>
      </c>
      <c r="H352" s="35" t="s">
        <v>61</v>
      </c>
      <c r="I352" s="4"/>
    </row>
    <row r="353" customFormat="false" ht="15" hidden="false" customHeight="false" outlineLevel="0" collapsed="false">
      <c r="A353" s="35" t="s">
        <v>1722</v>
      </c>
      <c r="B353" s="35" t="s">
        <v>2494</v>
      </c>
      <c r="C353" s="35" t="s">
        <v>48</v>
      </c>
      <c r="D353" s="35" t="s">
        <v>57</v>
      </c>
      <c r="E353" s="35" t="s">
        <v>1721</v>
      </c>
      <c r="F353" s="35"/>
      <c r="G353" s="35" t="s">
        <v>99</v>
      </c>
      <c r="H353" s="35" t="s">
        <v>61</v>
      </c>
      <c r="I353" s="4"/>
    </row>
    <row r="354" customFormat="false" ht="15" hidden="false" customHeight="false" outlineLevel="0" collapsed="false">
      <c r="A354" s="35" t="s">
        <v>1365</v>
      </c>
      <c r="B354" s="35" t="s">
        <v>2495</v>
      </c>
      <c r="C354" s="35" t="s">
        <v>48</v>
      </c>
      <c r="D354" s="35" t="s">
        <v>107</v>
      </c>
      <c r="E354" s="35" t="s">
        <v>1364</v>
      </c>
      <c r="F354" s="35"/>
      <c r="G354" s="35" t="s">
        <v>99</v>
      </c>
      <c r="H354" s="35" t="s">
        <v>61</v>
      </c>
      <c r="I354" s="4"/>
    </row>
    <row r="355" customFormat="false" ht="15" hidden="false" customHeight="false" outlineLevel="0" collapsed="false">
      <c r="A355" s="35" t="s">
        <v>1714</v>
      </c>
      <c r="B355" s="35" t="s">
        <v>2496</v>
      </c>
      <c r="C355" s="35" t="s">
        <v>48</v>
      </c>
      <c r="D355" s="35" t="s">
        <v>107</v>
      </c>
      <c r="E355" s="35" t="s">
        <v>1713</v>
      </c>
      <c r="F355" s="35"/>
      <c r="G355" s="35" t="s">
        <v>696</v>
      </c>
      <c r="H355" s="35" t="s">
        <v>61</v>
      </c>
      <c r="I355" s="4"/>
    </row>
    <row r="356" customFormat="false" ht="15" hidden="false" customHeight="false" outlineLevel="0" collapsed="false">
      <c r="A356" s="35" t="s">
        <v>2497</v>
      </c>
      <c r="B356" s="35" t="s">
        <v>2498</v>
      </c>
      <c r="C356" s="35" t="s">
        <v>48</v>
      </c>
      <c r="D356" s="35" t="s">
        <v>57</v>
      </c>
      <c r="E356" s="35" t="s">
        <v>102</v>
      </c>
      <c r="F356" s="35"/>
      <c r="G356" s="35" t="s">
        <v>119</v>
      </c>
      <c r="H356" s="35" t="s">
        <v>61</v>
      </c>
      <c r="I356" s="4"/>
    </row>
    <row r="357" customFormat="false" ht="15" hidden="false" customHeight="false" outlineLevel="0" collapsed="false">
      <c r="A357" s="35" t="s">
        <v>2499</v>
      </c>
      <c r="B357" s="35" t="s">
        <v>2500</v>
      </c>
      <c r="C357" s="35" t="s">
        <v>48</v>
      </c>
      <c r="D357" s="35" t="s">
        <v>107</v>
      </c>
      <c r="E357" s="35" t="s">
        <v>102</v>
      </c>
      <c r="F357" s="35"/>
      <c r="G357" s="35" t="s">
        <v>119</v>
      </c>
      <c r="H357" s="35" t="s">
        <v>61</v>
      </c>
      <c r="I357" s="4"/>
    </row>
    <row r="358" customFormat="false" ht="15" hidden="false" customHeight="false" outlineLevel="0" collapsed="false">
      <c r="A358" s="35" t="s">
        <v>2501</v>
      </c>
      <c r="B358" s="35" t="s">
        <v>2502</v>
      </c>
      <c r="C358" s="35" t="s">
        <v>48</v>
      </c>
      <c r="D358" s="35" t="s">
        <v>107</v>
      </c>
      <c r="E358" s="35" t="s">
        <v>1039</v>
      </c>
      <c r="F358" s="35"/>
      <c r="G358" s="35" t="s">
        <v>700</v>
      </c>
      <c r="H358" s="35" t="s">
        <v>61</v>
      </c>
      <c r="I358" s="4"/>
    </row>
    <row r="359" customFormat="false" ht="15" hidden="false" customHeight="false" outlineLevel="0" collapsed="false">
      <c r="A359" s="35" t="s">
        <v>1366</v>
      </c>
      <c r="B359" s="35" t="s">
        <v>2503</v>
      </c>
      <c r="C359" s="35" t="s">
        <v>48</v>
      </c>
      <c r="D359" s="35" t="s">
        <v>57</v>
      </c>
      <c r="E359" s="35" t="s">
        <v>1366</v>
      </c>
      <c r="F359" s="35"/>
      <c r="G359" s="35" t="s">
        <v>731</v>
      </c>
      <c r="H359" s="35" t="s">
        <v>61</v>
      </c>
      <c r="I359" s="4"/>
    </row>
    <row r="360" customFormat="false" ht="15" hidden="false" customHeight="false" outlineLevel="0" collapsed="false">
      <c r="A360" s="35" t="s">
        <v>2504</v>
      </c>
      <c r="B360" s="35" t="s">
        <v>2505</v>
      </c>
      <c r="C360" s="35" t="s">
        <v>48</v>
      </c>
      <c r="D360" s="35" t="s">
        <v>53</v>
      </c>
      <c r="E360" s="35"/>
      <c r="F360" s="35"/>
      <c r="G360" s="35" t="s">
        <v>731</v>
      </c>
      <c r="H360" s="35" t="s">
        <v>61</v>
      </c>
      <c r="I360" s="4"/>
    </row>
    <row r="361" customFormat="false" ht="15" hidden="false" customHeight="false" outlineLevel="0" collapsed="false">
      <c r="A361" s="35" t="s">
        <v>2506</v>
      </c>
      <c r="B361" s="35" t="s">
        <v>2507</v>
      </c>
      <c r="C361" s="35" t="s">
        <v>48</v>
      </c>
      <c r="D361" s="35" t="s">
        <v>665</v>
      </c>
      <c r="E361" s="35"/>
      <c r="F361" s="35"/>
      <c r="G361" s="35" t="s">
        <v>687</v>
      </c>
      <c r="H361" s="35" t="s">
        <v>61</v>
      </c>
      <c r="I361" s="4"/>
    </row>
    <row r="362" customFormat="false" ht="15" hidden="false" customHeight="false" outlineLevel="0" collapsed="false">
      <c r="A362" s="35" t="s">
        <v>2508</v>
      </c>
      <c r="B362" s="35" t="s">
        <v>2509</v>
      </c>
      <c r="C362" s="35" t="s">
        <v>48</v>
      </c>
      <c r="D362" s="35" t="s">
        <v>157</v>
      </c>
      <c r="E362" s="35"/>
      <c r="F362" s="35"/>
      <c r="G362" s="35" t="s">
        <v>687</v>
      </c>
      <c r="H362" s="35" t="s">
        <v>61</v>
      </c>
      <c r="I362" s="4"/>
    </row>
    <row r="363" customFormat="false" ht="15" hidden="false" customHeight="false" outlineLevel="0" collapsed="false">
      <c r="A363" s="35" t="s">
        <v>2510</v>
      </c>
      <c r="B363" s="35" t="s">
        <v>2511</v>
      </c>
      <c r="C363" s="35" t="s">
        <v>48</v>
      </c>
      <c r="D363" s="35" t="s">
        <v>114</v>
      </c>
      <c r="E363" s="35"/>
      <c r="F363" s="35"/>
      <c r="G363" s="35" t="s">
        <v>571</v>
      </c>
      <c r="H363" s="35" t="s">
        <v>61</v>
      </c>
      <c r="I363" s="4"/>
    </row>
    <row r="364" customFormat="false" ht="15" hidden="false" customHeight="false" outlineLevel="0" collapsed="false">
      <c r="A364" s="35" t="s">
        <v>1368</v>
      </c>
      <c r="B364" s="35" t="s">
        <v>2512</v>
      </c>
      <c r="C364" s="35" t="s">
        <v>48</v>
      </c>
      <c r="D364" s="35" t="s">
        <v>107</v>
      </c>
      <c r="E364" s="35" t="s">
        <v>1367</v>
      </c>
      <c r="F364" s="35"/>
      <c r="G364" s="35" t="s">
        <v>687</v>
      </c>
      <c r="H364" s="35" t="s">
        <v>61</v>
      </c>
      <c r="I364" s="4"/>
    </row>
    <row r="365" customFormat="false" ht="15" hidden="false" customHeight="false" outlineLevel="0" collapsed="false">
      <c r="A365" s="35" t="s">
        <v>598</v>
      </c>
      <c r="B365" s="35" t="s">
        <v>2513</v>
      </c>
      <c r="C365" s="35" t="s">
        <v>48</v>
      </c>
      <c r="D365" s="35" t="s">
        <v>107</v>
      </c>
      <c r="E365" s="35" t="s">
        <v>598</v>
      </c>
      <c r="F365" s="35"/>
      <c r="G365" s="35" t="s">
        <v>417</v>
      </c>
      <c r="H365" s="35" t="s">
        <v>61</v>
      </c>
      <c r="I365" s="4"/>
    </row>
    <row r="366" customFormat="false" ht="15" hidden="false" customHeight="false" outlineLevel="0" collapsed="false">
      <c r="A366" s="35" t="s">
        <v>2514</v>
      </c>
      <c r="B366" s="35" t="s">
        <v>2515</v>
      </c>
      <c r="C366" s="35" t="s">
        <v>48</v>
      </c>
      <c r="D366" s="35" t="s">
        <v>107</v>
      </c>
      <c r="E366" s="35" t="s">
        <v>598</v>
      </c>
      <c r="F366" s="35"/>
      <c r="G366" s="35" t="s">
        <v>417</v>
      </c>
      <c r="H366" s="35" t="s">
        <v>61</v>
      </c>
      <c r="I366" s="4"/>
    </row>
    <row r="367" customFormat="false" ht="15" hidden="false" customHeight="false" outlineLevel="0" collapsed="false">
      <c r="A367" s="35" t="s">
        <v>2516</v>
      </c>
      <c r="B367" s="35" t="s">
        <v>2517</v>
      </c>
      <c r="C367" s="35" t="s">
        <v>48</v>
      </c>
      <c r="D367" s="35" t="s">
        <v>157</v>
      </c>
      <c r="E367" s="35"/>
      <c r="F367" s="35"/>
      <c r="G367" s="35" t="s">
        <v>417</v>
      </c>
      <c r="H367" s="35" t="s">
        <v>61</v>
      </c>
      <c r="I367" s="4"/>
    </row>
    <row r="368" customFormat="false" ht="15" hidden="false" customHeight="false" outlineLevel="0" collapsed="false">
      <c r="A368" s="35" t="s">
        <v>2518</v>
      </c>
      <c r="B368" s="35" t="s">
        <v>2519</v>
      </c>
      <c r="C368" s="35" t="s">
        <v>48</v>
      </c>
      <c r="D368" s="35" t="s">
        <v>53</v>
      </c>
      <c r="E368" s="35"/>
      <c r="F368" s="35"/>
      <c r="G368" s="35" t="s">
        <v>417</v>
      </c>
      <c r="H368" s="35" t="s">
        <v>61</v>
      </c>
      <c r="I368" s="4"/>
    </row>
    <row r="369" customFormat="false" ht="15" hidden="false" customHeight="false" outlineLevel="0" collapsed="false">
      <c r="A369" s="35" t="s">
        <v>2520</v>
      </c>
      <c r="B369" s="35" t="s">
        <v>2521</v>
      </c>
      <c r="C369" s="35" t="s">
        <v>48</v>
      </c>
      <c r="D369" s="35" t="s">
        <v>53</v>
      </c>
      <c r="E369" s="35"/>
      <c r="F369" s="35"/>
      <c r="G369" s="35" t="s">
        <v>417</v>
      </c>
      <c r="H369" s="35" t="s">
        <v>61</v>
      </c>
      <c r="I369" s="4"/>
    </row>
    <row r="370" customFormat="false" ht="15" hidden="false" customHeight="false" outlineLevel="0" collapsed="false">
      <c r="A370" s="35" t="s">
        <v>597</v>
      </c>
      <c r="B370" s="35" t="s">
        <v>599</v>
      </c>
      <c r="C370" s="35" t="s">
        <v>48</v>
      </c>
      <c r="D370" s="35" t="s">
        <v>107</v>
      </c>
      <c r="E370" s="35" t="s">
        <v>598</v>
      </c>
      <c r="F370" s="35"/>
      <c r="G370" s="35" t="s">
        <v>417</v>
      </c>
      <c r="H370" s="35" t="s">
        <v>61</v>
      </c>
      <c r="I370" s="4" t="s">
        <v>2025</v>
      </c>
    </row>
    <row r="371" customFormat="false" ht="15" hidden="false" customHeight="false" outlineLevel="0" collapsed="false">
      <c r="A371" s="35" t="s">
        <v>2522</v>
      </c>
      <c r="B371" s="35" t="s">
        <v>2523</v>
      </c>
      <c r="C371" s="35" t="s">
        <v>48</v>
      </c>
      <c r="D371" s="35" t="s">
        <v>107</v>
      </c>
      <c r="E371" s="35" t="s">
        <v>598</v>
      </c>
      <c r="F371" s="35"/>
      <c r="G371" s="35" t="s">
        <v>417</v>
      </c>
      <c r="H371" s="35" t="s">
        <v>245</v>
      </c>
      <c r="I371" s="4"/>
    </row>
    <row r="372" customFormat="false" ht="15" hidden="false" customHeight="false" outlineLevel="0" collapsed="false">
      <c r="A372" s="35" t="s">
        <v>2524</v>
      </c>
      <c r="B372" s="35" t="s">
        <v>2525</v>
      </c>
      <c r="C372" s="35" t="s">
        <v>48</v>
      </c>
      <c r="D372" s="35" t="s">
        <v>107</v>
      </c>
      <c r="E372" s="35" t="s">
        <v>598</v>
      </c>
      <c r="F372" s="35"/>
      <c r="G372" s="35" t="s">
        <v>686</v>
      </c>
      <c r="H372" s="35" t="s">
        <v>61</v>
      </c>
      <c r="I372" s="4"/>
    </row>
    <row r="373" customFormat="false" ht="15" hidden="false" customHeight="false" outlineLevel="0" collapsed="false">
      <c r="A373" s="35" t="s">
        <v>2526</v>
      </c>
      <c r="B373" s="35" t="s">
        <v>2527</v>
      </c>
      <c r="C373" s="35" t="s">
        <v>48</v>
      </c>
      <c r="D373" s="35" t="s">
        <v>114</v>
      </c>
      <c r="E373" s="35"/>
      <c r="F373" s="35"/>
      <c r="G373" s="35" t="s">
        <v>571</v>
      </c>
      <c r="H373" s="35" t="s">
        <v>61</v>
      </c>
      <c r="I373" s="4"/>
    </row>
    <row r="374" customFormat="false" ht="15" hidden="false" customHeight="false" outlineLevel="0" collapsed="false">
      <c r="A374" s="35" t="s">
        <v>2528</v>
      </c>
      <c r="B374" s="35"/>
      <c r="C374" s="35" t="s">
        <v>632</v>
      </c>
      <c r="D374" s="35" t="s">
        <v>107</v>
      </c>
      <c r="E374" s="35"/>
      <c r="F374" s="35"/>
      <c r="G374" s="35" t="s">
        <v>421</v>
      </c>
      <c r="H374" s="35" t="s">
        <v>61</v>
      </c>
      <c r="I374" s="4"/>
    </row>
    <row r="375" customFormat="false" ht="15" hidden="false" customHeight="false" outlineLevel="0" collapsed="false">
      <c r="A375" s="35" t="s">
        <v>2529</v>
      </c>
      <c r="B375" s="35"/>
      <c r="C375" s="35" t="s">
        <v>632</v>
      </c>
      <c r="D375" s="35" t="s">
        <v>157</v>
      </c>
      <c r="E375" s="35"/>
      <c r="F375" s="35"/>
      <c r="G375" s="35" t="s">
        <v>421</v>
      </c>
      <c r="H375" s="35" t="s">
        <v>61</v>
      </c>
      <c r="I375" s="4"/>
    </row>
    <row r="376" customFormat="false" ht="15" hidden="false" customHeight="false" outlineLevel="0" collapsed="false">
      <c r="A376" s="35" t="s">
        <v>2530</v>
      </c>
      <c r="B376" s="35"/>
      <c r="C376" s="35" t="s">
        <v>632</v>
      </c>
      <c r="D376" s="35" t="s">
        <v>157</v>
      </c>
      <c r="E376" s="35"/>
      <c r="F376" s="35"/>
      <c r="G376" s="35" t="s">
        <v>421</v>
      </c>
      <c r="H376" s="35" t="s">
        <v>61</v>
      </c>
      <c r="I376" s="4"/>
    </row>
    <row r="377" customFormat="false" ht="15" hidden="false" customHeight="false" outlineLevel="0" collapsed="false">
      <c r="A377" s="35" t="s">
        <v>2531</v>
      </c>
      <c r="B377" s="35"/>
      <c r="C377" s="35" t="s">
        <v>632</v>
      </c>
      <c r="D377" s="35" t="s">
        <v>157</v>
      </c>
      <c r="E377" s="35"/>
      <c r="F377" s="35"/>
      <c r="G377" s="35" t="s">
        <v>421</v>
      </c>
      <c r="H377" s="35" t="s">
        <v>61</v>
      </c>
      <c r="I377" s="4"/>
    </row>
    <row r="378" customFormat="false" ht="15" hidden="false" customHeight="false" outlineLevel="0" collapsed="false">
      <c r="A378" s="35" t="s">
        <v>2532</v>
      </c>
      <c r="B378" s="35"/>
      <c r="C378" s="35" t="s">
        <v>632</v>
      </c>
      <c r="D378" s="35" t="s">
        <v>57</v>
      </c>
      <c r="E378" s="35" t="s">
        <v>857</v>
      </c>
      <c r="F378" s="35"/>
      <c r="G378" s="35" t="s">
        <v>49</v>
      </c>
      <c r="H378" s="35" t="s">
        <v>49</v>
      </c>
      <c r="I378" s="4"/>
    </row>
    <row r="379" customFormat="false" ht="15" hidden="false" customHeight="false" outlineLevel="0" collapsed="false">
      <c r="A379" s="35" t="s">
        <v>2533</v>
      </c>
      <c r="B379" s="35"/>
      <c r="C379" s="35" t="s">
        <v>632</v>
      </c>
      <c r="D379" s="35" t="s">
        <v>447</v>
      </c>
      <c r="E379" s="35"/>
      <c r="F379" s="35" t="s">
        <v>2534</v>
      </c>
      <c r="G379" s="35" t="s">
        <v>421</v>
      </c>
      <c r="H379" s="35" t="s">
        <v>61</v>
      </c>
      <c r="I379" s="4"/>
    </row>
    <row r="380" customFormat="false" ht="15" hidden="false" customHeight="false" outlineLevel="0" collapsed="false">
      <c r="A380" s="35" t="s">
        <v>2535</v>
      </c>
      <c r="B380" s="35"/>
      <c r="C380" s="35" t="s">
        <v>632</v>
      </c>
      <c r="D380" s="35" t="s">
        <v>146</v>
      </c>
      <c r="E380" s="35"/>
      <c r="F380" s="35" t="s">
        <v>2022</v>
      </c>
      <c r="G380" s="35" t="s">
        <v>421</v>
      </c>
      <c r="H380" s="35" t="s">
        <v>61</v>
      </c>
      <c r="I380" s="4"/>
    </row>
    <row r="381" customFormat="false" ht="15" hidden="false" customHeight="false" outlineLevel="0" collapsed="false">
      <c r="A381" s="35" t="s">
        <v>2536</v>
      </c>
      <c r="B381" s="35"/>
      <c r="C381" s="35" t="s">
        <v>632</v>
      </c>
      <c r="D381" s="35" t="s">
        <v>53</v>
      </c>
      <c r="E381" s="35"/>
      <c r="F381" s="35"/>
      <c r="G381" s="35" t="s">
        <v>421</v>
      </c>
      <c r="H381" s="35" t="s">
        <v>61</v>
      </c>
      <c r="I381" s="4"/>
    </row>
    <row r="382" customFormat="false" ht="15" hidden="false" customHeight="false" outlineLevel="0" collapsed="false">
      <c r="A382" s="35" t="s">
        <v>2537</v>
      </c>
      <c r="B382" s="35"/>
      <c r="C382" s="35" t="s">
        <v>632</v>
      </c>
      <c r="D382" s="35" t="s">
        <v>53</v>
      </c>
      <c r="E382" s="35"/>
      <c r="F382" s="35" t="s">
        <v>2147</v>
      </c>
      <c r="G382" s="35" t="s">
        <v>421</v>
      </c>
      <c r="H382" s="35" t="s">
        <v>61</v>
      </c>
      <c r="I382" s="4"/>
    </row>
    <row r="383" customFormat="false" ht="15" hidden="false" customHeight="false" outlineLevel="0" collapsed="false">
      <c r="A383" s="35" t="s">
        <v>2538</v>
      </c>
      <c r="B383" s="35"/>
      <c r="C383" s="35" t="s">
        <v>632</v>
      </c>
      <c r="D383" s="35" t="s">
        <v>53</v>
      </c>
      <c r="E383" s="35"/>
      <c r="F383" s="35"/>
      <c r="G383" s="35" t="s">
        <v>421</v>
      </c>
      <c r="H383" s="35" t="s">
        <v>61</v>
      </c>
      <c r="I383" s="4"/>
    </row>
    <row r="384" customFormat="false" ht="15" hidden="false" customHeight="false" outlineLevel="0" collapsed="false">
      <c r="A384" s="35" t="s">
        <v>2539</v>
      </c>
      <c r="B384" s="35"/>
      <c r="C384" s="35" t="s">
        <v>632</v>
      </c>
      <c r="D384" s="35" t="s">
        <v>53</v>
      </c>
      <c r="E384" s="35"/>
      <c r="F384" s="35"/>
      <c r="G384" s="35" t="s">
        <v>421</v>
      </c>
      <c r="H384" s="35" t="s">
        <v>61</v>
      </c>
      <c r="I384" s="4"/>
    </row>
    <row r="385" customFormat="false" ht="15" hidden="false" customHeight="false" outlineLevel="0" collapsed="false">
      <c r="A385" s="35" t="s">
        <v>2540</v>
      </c>
      <c r="B385" s="35"/>
      <c r="C385" s="35" t="s">
        <v>632</v>
      </c>
      <c r="D385" s="35" t="s">
        <v>146</v>
      </c>
      <c r="E385" s="35"/>
      <c r="F385" s="35"/>
      <c r="G385" s="35" t="s">
        <v>421</v>
      </c>
      <c r="H385" s="35" t="s">
        <v>61</v>
      </c>
      <c r="I385" s="4"/>
    </row>
    <row r="386" customFormat="false" ht="15" hidden="false" customHeight="false" outlineLevel="0" collapsed="false">
      <c r="A386" s="35" t="s">
        <v>2541</v>
      </c>
      <c r="B386" s="35"/>
      <c r="C386" s="35" t="s">
        <v>632</v>
      </c>
      <c r="D386" s="35" t="s">
        <v>146</v>
      </c>
      <c r="E386" s="35"/>
      <c r="F386" s="35"/>
      <c r="G386" s="35" t="s">
        <v>421</v>
      </c>
      <c r="H386" s="35" t="s">
        <v>61</v>
      </c>
      <c r="I386" s="4"/>
    </row>
    <row r="387" customFormat="false" ht="15" hidden="false" customHeight="false" outlineLevel="0" collapsed="false">
      <c r="A387" s="35" t="s">
        <v>2542</v>
      </c>
      <c r="B387" s="35"/>
      <c r="C387" s="35" t="s">
        <v>632</v>
      </c>
      <c r="D387" s="35" t="s">
        <v>114</v>
      </c>
      <c r="E387" s="35"/>
      <c r="F387" s="35"/>
      <c r="G387" s="35" t="s">
        <v>421</v>
      </c>
      <c r="H387" s="35" t="s">
        <v>61</v>
      </c>
      <c r="I387" s="4"/>
    </row>
    <row r="388" customFormat="false" ht="15" hidden="false" customHeight="false" outlineLevel="0" collapsed="false">
      <c r="A388" s="35" t="s">
        <v>2543</v>
      </c>
      <c r="B388" s="35"/>
      <c r="C388" s="35" t="s">
        <v>632</v>
      </c>
      <c r="D388" s="35" t="s">
        <v>114</v>
      </c>
      <c r="E388" s="35"/>
      <c r="F388" s="35"/>
      <c r="G388" s="35" t="s">
        <v>421</v>
      </c>
      <c r="H388" s="35" t="s">
        <v>61</v>
      </c>
      <c r="I388" s="4"/>
    </row>
    <row r="389" customFormat="false" ht="15" hidden="false" customHeight="false" outlineLevel="0" collapsed="false">
      <c r="A389" s="35" t="s">
        <v>2544</v>
      </c>
      <c r="B389" s="35"/>
      <c r="C389" s="35" t="s">
        <v>632</v>
      </c>
      <c r="D389" s="35" t="s">
        <v>114</v>
      </c>
      <c r="E389" s="35"/>
      <c r="F389" s="35"/>
      <c r="G389" s="35" t="s">
        <v>421</v>
      </c>
      <c r="H389" s="35" t="s">
        <v>61</v>
      </c>
      <c r="I389" s="4"/>
    </row>
    <row r="390" customFormat="false" ht="15" hidden="false" customHeight="false" outlineLevel="0" collapsed="false">
      <c r="A390" s="35" t="s">
        <v>2545</v>
      </c>
      <c r="B390" s="35"/>
      <c r="C390" s="35" t="s">
        <v>632</v>
      </c>
      <c r="D390" s="35" t="s">
        <v>57</v>
      </c>
      <c r="E390" s="35" t="s">
        <v>45</v>
      </c>
      <c r="F390" s="35"/>
      <c r="G390" s="35" t="s">
        <v>421</v>
      </c>
      <c r="H390" s="35" t="s">
        <v>369</v>
      </c>
      <c r="I390" s="4"/>
    </row>
    <row r="391" customFormat="false" ht="15" hidden="false" customHeight="false" outlineLevel="0" collapsed="false">
      <c r="A391" s="35" t="s">
        <v>2546</v>
      </c>
      <c r="B391" s="35"/>
      <c r="C391" s="35" t="s">
        <v>632</v>
      </c>
      <c r="D391" s="35" t="s">
        <v>53</v>
      </c>
      <c r="E391" s="35"/>
      <c r="F391" s="35"/>
      <c r="G391" s="35" t="s">
        <v>421</v>
      </c>
      <c r="H391" s="35" t="s">
        <v>61</v>
      </c>
      <c r="I391" s="4"/>
    </row>
    <row r="392" customFormat="false" ht="15" hidden="false" customHeight="false" outlineLevel="0" collapsed="false">
      <c r="A392" s="35" t="s">
        <v>2547</v>
      </c>
      <c r="B392" s="35"/>
      <c r="C392" s="35" t="s">
        <v>632</v>
      </c>
      <c r="D392" s="35" t="s">
        <v>53</v>
      </c>
      <c r="E392" s="35"/>
      <c r="F392" s="35"/>
      <c r="G392" s="35" t="s">
        <v>421</v>
      </c>
      <c r="H392" s="35" t="s">
        <v>61</v>
      </c>
      <c r="I392" s="4"/>
    </row>
    <row r="393" customFormat="false" ht="15" hidden="false" customHeight="false" outlineLevel="0" collapsed="false">
      <c r="A393" s="35" t="s">
        <v>2548</v>
      </c>
      <c r="B393" s="35"/>
      <c r="C393" s="35" t="s">
        <v>632</v>
      </c>
      <c r="D393" s="35" t="s">
        <v>53</v>
      </c>
      <c r="E393" s="35"/>
      <c r="F393" s="35"/>
      <c r="G393" s="35" t="s">
        <v>421</v>
      </c>
      <c r="H393" s="35" t="s">
        <v>61</v>
      </c>
      <c r="I393" s="4"/>
    </row>
    <row r="394" customFormat="false" ht="15" hidden="false" customHeight="false" outlineLevel="0" collapsed="false">
      <c r="A394" s="35" t="s">
        <v>2549</v>
      </c>
      <c r="B394" s="35"/>
      <c r="C394" s="35" t="s">
        <v>632</v>
      </c>
      <c r="D394" s="35" t="s">
        <v>53</v>
      </c>
      <c r="E394" s="35"/>
      <c r="F394" s="35"/>
      <c r="G394" s="35" t="s">
        <v>421</v>
      </c>
      <c r="H394" s="35" t="s">
        <v>61</v>
      </c>
      <c r="I394" s="4"/>
    </row>
    <row r="395" customFormat="false" ht="15" hidden="false" customHeight="false" outlineLevel="0" collapsed="false">
      <c r="A395" s="35" t="s">
        <v>2550</v>
      </c>
      <c r="B395" s="35"/>
      <c r="C395" s="35" t="s">
        <v>632</v>
      </c>
      <c r="D395" s="35" t="s">
        <v>157</v>
      </c>
      <c r="E395" s="35"/>
      <c r="F395" s="35"/>
      <c r="G395" s="35" t="s">
        <v>421</v>
      </c>
      <c r="H395" s="35" t="s">
        <v>61</v>
      </c>
      <c r="I395" s="4"/>
    </row>
    <row r="396" customFormat="false" ht="15" hidden="false" customHeight="false" outlineLevel="0" collapsed="false">
      <c r="A396" s="35" t="s">
        <v>2551</v>
      </c>
      <c r="B396" s="35"/>
      <c r="C396" s="35" t="s">
        <v>632</v>
      </c>
      <c r="D396" s="35" t="s">
        <v>53</v>
      </c>
      <c r="E396" s="35"/>
      <c r="F396" s="35"/>
      <c r="G396" s="35" t="s">
        <v>421</v>
      </c>
      <c r="H396" s="35" t="s">
        <v>61</v>
      </c>
      <c r="I396" s="4"/>
    </row>
    <row r="397" customFormat="false" ht="15" hidden="false" customHeight="false" outlineLevel="0" collapsed="false">
      <c r="A397" s="35" t="s">
        <v>2552</v>
      </c>
      <c r="B397" s="35"/>
      <c r="C397" s="35" t="s">
        <v>632</v>
      </c>
      <c r="D397" s="35" t="s">
        <v>53</v>
      </c>
      <c r="E397" s="35"/>
      <c r="F397" s="35"/>
      <c r="G397" s="35" t="s">
        <v>421</v>
      </c>
      <c r="H397" s="35" t="s">
        <v>61</v>
      </c>
      <c r="I397" s="4"/>
    </row>
    <row r="398" customFormat="false" ht="15" hidden="false" customHeight="false" outlineLevel="0" collapsed="false">
      <c r="A398" s="35" t="s">
        <v>2553</v>
      </c>
      <c r="B398" s="35"/>
      <c r="C398" s="35" t="s">
        <v>632</v>
      </c>
      <c r="D398" s="35" t="s">
        <v>53</v>
      </c>
      <c r="E398" s="35"/>
      <c r="F398" s="35"/>
      <c r="G398" s="35" t="s">
        <v>421</v>
      </c>
      <c r="H398" s="35" t="s">
        <v>61</v>
      </c>
      <c r="I398" s="4"/>
    </row>
    <row r="399" customFormat="false" ht="15" hidden="false" customHeight="false" outlineLevel="0" collapsed="false">
      <c r="A399" s="35" t="s">
        <v>2554</v>
      </c>
      <c r="B399" s="35"/>
      <c r="C399" s="35" t="s">
        <v>632</v>
      </c>
      <c r="D399" s="35" t="s">
        <v>157</v>
      </c>
      <c r="E399" s="35"/>
      <c r="F399" s="35"/>
      <c r="G399" s="35" t="s">
        <v>421</v>
      </c>
      <c r="H399" s="35" t="s">
        <v>61</v>
      </c>
      <c r="I399" s="4"/>
    </row>
    <row r="400" customFormat="false" ht="15" hidden="false" customHeight="false" outlineLevel="0" collapsed="false">
      <c r="A400" s="35" t="s">
        <v>2555</v>
      </c>
      <c r="B400" s="35"/>
      <c r="C400" s="35" t="s">
        <v>632</v>
      </c>
      <c r="D400" s="35" t="s">
        <v>107</v>
      </c>
      <c r="E400" s="35" t="s">
        <v>45</v>
      </c>
      <c r="F400" s="35" t="s">
        <v>2022</v>
      </c>
      <c r="G400" s="35" t="s">
        <v>421</v>
      </c>
      <c r="H400" s="35" t="s">
        <v>61</v>
      </c>
      <c r="I400" s="4"/>
    </row>
    <row r="401" customFormat="false" ht="15" hidden="false" customHeight="false" outlineLevel="0" collapsed="false">
      <c r="A401" s="35" t="s">
        <v>2556</v>
      </c>
      <c r="B401" s="35"/>
      <c r="C401" s="35" t="s">
        <v>632</v>
      </c>
      <c r="D401" s="35" t="s">
        <v>107</v>
      </c>
      <c r="E401" s="35" t="s">
        <v>837</v>
      </c>
      <c r="F401" s="35" t="s">
        <v>2147</v>
      </c>
      <c r="G401" s="35" t="s">
        <v>421</v>
      </c>
      <c r="H401" s="35" t="s">
        <v>61</v>
      </c>
      <c r="I401" s="4"/>
    </row>
    <row r="402" customFormat="false" ht="15" hidden="false" customHeight="false" outlineLevel="0" collapsed="false">
      <c r="A402" s="35" t="s">
        <v>2557</v>
      </c>
      <c r="B402" s="35"/>
      <c r="C402" s="35" t="s">
        <v>632</v>
      </c>
      <c r="D402" s="35" t="s">
        <v>57</v>
      </c>
      <c r="E402" s="35" t="s">
        <v>539</v>
      </c>
      <c r="F402" s="35"/>
      <c r="G402" s="35" t="s">
        <v>421</v>
      </c>
      <c r="H402" s="35" t="s">
        <v>61</v>
      </c>
      <c r="I402" s="4"/>
    </row>
    <row r="403" customFormat="false" ht="15" hidden="false" customHeight="false" outlineLevel="0" collapsed="false">
      <c r="A403" s="35" t="s">
        <v>2558</v>
      </c>
      <c r="B403" s="35"/>
      <c r="C403" s="35" t="s">
        <v>632</v>
      </c>
      <c r="D403" s="35" t="s">
        <v>57</v>
      </c>
      <c r="E403" s="35" t="s">
        <v>262</v>
      </c>
      <c r="F403" s="35"/>
      <c r="G403" s="35" t="s">
        <v>421</v>
      </c>
      <c r="H403" s="35" t="s">
        <v>61</v>
      </c>
      <c r="I403" s="4"/>
    </row>
    <row r="404" customFormat="false" ht="15" hidden="false" customHeight="false" outlineLevel="0" collapsed="false">
      <c r="A404" s="35" t="s">
        <v>2559</v>
      </c>
      <c r="B404" s="35"/>
      <c r="C404" s="35" t="s">
        <v>632</v>
      </c>
      <c r="D404" s="35" t="s">
        <v>57</v>
      </c>
      <c r="E404" s="35" t="s">
        <v>837</v>
      </c>
      <c r="F404" s="35" t="s">
        <v>2147</v>
      </c>
      <c r="G404" s="35" t="s">
        <v>421</v>
      </c>
      <c r="H404" s="35" t="s">
        <v>61</v>
      </c>
      <c r="I404" s="4"/>
    </row>
    <row r="405" customFormat="false" ht="15" hidden="false" customHeight="false" outlineLevel="0" collapsed="false">
      <c r="A405" s="35" t="s">
        <v>2560</v>
      </c>
      <c r="B405" s="35"/>
      <c r="C405" s="35" t="s">
        <v>632</v>
      </c>
      <c r="D405" s="35" t="s">
        <v>53</v>
      </c>
      <c r="E405" s="35"/>
      <c r="F405" s="35"/>
      <c r="G405" s="35" t="s">
        <v>421</v>
      </c>
      <c r="H405" s="35" t="s">
        <v>61</v>
      </c>
      <c r="I405" s="4"/>
    </row>
    <row r="406" customFormat="false" ht="15" hidden="false" customHeight="false" outlineLevel="0" collapsed="false">
      <c r="A406" s="35" t="s">
        <v>2561</v>
      </c>
      <c r="B406" s="35"/>
      <c r="C406" s="35" t="s">
        <v>632</v>
      </c>
      <c r="D406" s="35" t="s">
        <v>53</v>
      </c>
      <c r="E406" s="35"/>
      <c r="F406" s="35"/>
      <c r="G406" s="35" t="s">
        <v>421</v>
      </c>
      <c r="H406" s="35" t="s">
        <v>61</v>
      </c>
      <c r="I406" s="4"/>
    </row>
    <row r="407" customFormat="false" ht="15" hidden="false" customHeight="false" outlineLevel="0" collapsed="false">
      <c r="A407" s="35" t="s">
        <v>2562</v>
      </c>
      <c r="B407" s="35"/>
      <c r="C407" s="35" t="s">
        <v>632</v>
      </c>
      <c r="D407" s="35" t="s">
        <v>53</v>
      </c>
      <c r="E407" s="35"/>
      <c r="F407" s="35"/>
      <c r="G407" s="35" t="s">
        <v>421</v>
      </c>
      <c r="H407" s="35" t="s">
        <v>61</v>
      </c>
      <c r="I407" s="4"/>
    </row>
    <row r="408" customFormat="false" ht="15" hidden="false" customHeight="false" outlineLevel="0" collapsed="false">
      <c r="A408" s="35" t="s">
        <v>2563</v>
      </c>
      <c r="B408" s="35"/>
      <c r="C408" s="35" t="s">
        <v>632</v>
      </c>
      <c r="D408" s="35" t="s">
        <v>57</v>
      </c>
      <c r="E408" s="35" t="s">
        <v>857</v>
      </c>
      <c r="F408" s="35"/>
      <c r="G408" s="35" t="s">
        <v>421</v>
      </c>
      <c r="H408" s="35" t="s">
        <v>61</v>
      </c>
      <c r="I408" s="4"/>
    </row>
    <row r="409" customFormat="false" ht="15" hidden="false" customHeight="false" outlineLevel="0" collapsed="false">
      <c r="A409" s="35" t="s">
        <v>2564</v>
      </c>
      <c r="B409" s="35"/>
      <c r="C409" s="35" t="s">
        <v>632</v>
      </c>
      <c r="D409" s="35" t="s">
        <v>53</v>
      </c>
      <c r="E409" s="35"/>
      <c r="F409" s="35"/>
      <c r="G409" s="35" t="s">
        <v>421</v>
      </c>
      <c r="H409" s="35" t="s">
        <v>61</v>
      </c>
      <c r="I409" s="4"/>
    </row>
    <row r="410" customFormat="false" ht="15" hidden="false" customHeight="false" outlineLevel="0" collapsed="false">
      <c r="A410" s="35" t="s">
        <v>2565</v>
      </c>
      <c r="B410" s="35"/>
      <c r="C410" s="35" t="s">
        <v>632</v>
      </c>
      <c r="D410" s="35" t="s">
        <v>53</v>
      </c>
      <c r="E410" s="35"/>
      <c r="F410" s="35"/>
      <c r="G410" s="35" t="s">
        <v>421</v>
      </c>
      <c r="H410" s="35" t="s">
        <v>61</v>
      </c>
      <c r="I410" s="4"/>
    </row>
    <row r="411" customFormat="false" ht="15" hidden="false" customHeight="false" outlineLevel="0" collapsed="false">
      <c r="A411" s="35" t="s">
        <v>2566</v>
      </c>
      <c r="B411" s="35"/>
      <c r="C411" s="35" t="s">
        <v>632</v>
      </c>
      <c r="D411" s="35" t="s">
        <v>53</v>
      </c>
      <c r="E411" s="35"/>
      <c r="F411" s="35"/>
      <c r="G411" s="35" t="s">
        <v>421</v>
      </c>
      <c r="H411" s="35" t="s">
        <v>61</v>
      </c>
      <c r="I411" s="4"/>
    </row>
    <row r="412" customFormat="false" ht="15" hidden="false" customHeight="false" outlineLevel="0" collapsed="false">
      <c r="A412" s="35" t="s">
        <v>2567</v>
      </c>
      <c r="B412" s="35"/>
      <c r="C412" s="35" t="s">
        <v>632</v>
      </c>
      <c r="D412" s="35" t="s">
        <v>53</v>
      </c>
      <c r="E412" s="35"/>
      <c r="F412" s="35"/>
      <c r="G412" s="35" t="s">
        <v>421</v>
      </c>
      <c r="H412" s="35" t="s">
        <v>61</v>
      </c>
      <c r="I412" s="4"/>
    </row>
    <row r="413" customFormat="false" ht="15" hidden="false" customHeight="false" outlineLevel="0" collapsed="false">
      <c r="A413" s="35" t="s">
        <v>2568</v>
      </c>
      <c r="B413" s="35"/>
      <c r="C413" s="35" t="s">
        <v>632</v>
      </c>
      <c r="D413" s="35" t="s">
        <v>53</v>
      </c>
      <c r="E413" s="35"/>
      <c r="F413" s="35"/>
      <c r="G413" s="35" t="s">
        <v>421</v>
      </c>
      <c r="H413" s="35" t="s">
        <v>61</v>
      </c>
      <c r="I413" s="4"/>
    </row>
    <row r="414" customFormat="false" ht="15" hidden="false" customHeight="false" outlineLevel="0" collapsed="false">
      <c r="A414" s="35" t="s">
        <v>2569</v>
      </c>
      <c r="B414" s="35"/>
      <c r="C414" s="35" t="s">
        <v>632</v>
      </c>
      <c r="D414" s="35" t="s">
        <v>53</v>
      </c>
      <c r="E414" s="35"/>
      <c r="F414" s="35"/>
      <c r="G414" s="35" t="s">
        <v>421</v>
      </c>
      <c r="H414" s="35" t="s">
        <v>61</v>
      </c>
      <c r="I414" s="4"/>
    </row>
    <row r="415" customFormat="false" ht="15" hidden="false" customHeight="false" outlineLevel="0" collapsed="false">
      <c r="A415" s="35" t="s">
        <v>2570</v>
      </c>
      <c r="B415" s="35"/>
      <c r="C415" s="35" t="s">
        <v>632</v>
      </c>
      <c r="D415" s="35" t="s">
        <v>53</v>
      </c>
      <c r="E415" s="35"/>
      <c r="F415" s="35"/>
      <c r="G415" s="35" t="s">
        <v>421</v>
      </c>
      <c r="H415" s="35" t="s">
        <v>61</v>
      </c>
      <c r="I415" s="4"/>
    </row>
    <row r="416" customFormat="false" ht="15" hidden="false" customHeight="false" outlineLevel="0" collapsed="false">
      <c r="A416" s="35" t="s">
        <v>2571</v>
      </c>
      <c r="B416" s="35"/>
      <c r="C416" s="35" t="s">
        <v>632</v>
      </c>
      <c r="D416" s="35" t="s">
        <v>53</v>
      </c>
      <c r="E416" s="35"/>
      <c r="F416" s="35"/>
      <c r="G416" s="35" t="s">
        <v>421</v>
      </c>
      <c r="H416" s="35" t="s">
        <v>61</v>
      </c>
      <c r="I416" s="4"/>
    </row>
    <row r="417" customFormat="false" ht="15" hidden="false" customHeight="false" outlineLevel="0" collapsed="false">
      <c r="A417" s="35" t="s">
        <v>2572</v>
      </c>
      <c r="B417" s="35"/>
      <c r="C417" s="35" t="s">
        <v>632</v>
      </c>
      <c r="D417" s="35" t="s">
        <v>53</v>
      </c>
      <c r="E417" s="35"/>
      <c r="F417" s="35"/>
      <c r="G417" s="35" t="s">
        <v>421</v>
      </c>
      <c r="H417" s="35" t="s">
        <v>61</v>
      </c>
      <c r="I417" s="4"/>
    </row>
    <row r="418" customFormat="false" ht="15" hidden="false" customHeight="false" outlineLevel="0" collapsed="false">
      <c r="A418" s="35" t="s">
        <v>2573</v>
      </c>
      <c r="B418" s="35"/>
      <c r="C418" s="35" t="s">
        <v>632</v>
      </c>
      <c r="D418" s="35" t="s">
        <v>53</v>
      </c>
      <c r="E418" s="35"/>
      <c r="F418" s="35"/>
      <c r="G418" s="35" t="s">
        <v>421</v>
      </c>
      <c r="H418" s="35" t="s">
        <v>61</v>
      </c>
      <c r="I418" s="4"/>
    </row>
    <row r="419" customFormat="false" ht="15" hidden="false" customHeight="false" outlineLevel="0" collapsed="false">
      <c r="A419" s="35" t="s">
        <v>2574</v>
      </c>
      <c r="B419" s="35"/>
      <c r="C419" s="35" t="s">
        <v>632</v>
      </c>
      <c r="D419" s="35" t="s">
        <v>53</v>
      </c>
      <c r="E419" s="35"/>
      <c r="F419" s="35"/>
      <c r="G419" s="35" t="s">
        <v>421</v>
      </c>
      <c r="H419" s="35" t="s">
        <v>61</v>
      </c>
      <c r="I419" s="4"/>
    </row>
    <row r="420" customFormat="false" ht="15" hidden="false" customHeight="false" outlineLevel="0" collapsed="false">
      <c r="A420" s="35" t="s">
        <v>2575</v>
      </c>
      <c r="B420" s="35"/>
      <c r="C420" s="35" t="s">
        <v>632</v>
      </c>
      <c r="D420" s="35" t="s">
        <v>114</v>
      </c>
      <c r="E420" s="35"/>
      <c r="F420" s="35"/>
      <c r="G420" s="35" t="s">
        <v>421</v>
      </c>
      <c r="H420" s="35" t="s">
        <v>61</v>
      </c>
      <c r="I420" s="4"/>
    </row>
    <row r="421" customFormat="false" ht="15" hidden="false" customHeight="false" outlineLevel="0" collapsed="false">
      <c r="A421" s="35" t="s">
        <v>2576</v>
      </c>
      <c r="B421" s="35"/>
      <c r="C421" s="35" t="s">
        <v>632</v>
      </c>
      <c r="D421" s="35" t="s">
        <v>114</v>
      </c>
      <c r="E421" s="35"/>
      <c r="F421" s="35"/>
      <c r="G421" s="35" t="s">
        <v>421</v>
      </c>
      <c r="H421" s="35" t="s">
        <v>61</v>
      </c>
      <c r="I421" s="4"/>
    </row>
    <row r="422" customFormat="false" ht="15" hidden="false" customHeight="false" outlineLevel="0" collapsed="false">
      <c r="A422" s="35" t="s">
        <v>2577</v>
      </c>
      <c r="B422" s="35"/>
      <c r="C422" s="35" t="s">
        <v>632</v>
      </c>
      <c r="D422" s="35" t="s">
        <v>114</v>
      </c>
      <c r="E422" s="35"/>
      <c r="F422" s="35"/>
      <c r="G422" s="35" t="s">
        <v>421</v>
      </c>
      <c r="H422" s="35" t="s">
        <v>61</v>
      </c>
      <c r="I422" s="4"/>
    </row>
    <row r="423" customFormat="false" ht="15" hidden="false" customHeight="false" outlineLevel="0" collapsed="false">
      <c r="A423" s="35" t="s">
        <v>2578</v>
      </c>
      <c r="B423" s="35"/>
      <c r="C423" s="35" t="s">
        <v>632</v>
      </c>
      <c r="D423" s="35" t="s">
        <v>114</v>
      </c>
      <c r="E423" s="35"/>
      <c r="F423" s="35"/>
      <c r="G423" s="35" t="s">
        <v>421</v>
      </c>
      <c r="H423" s="35" t="s">
        <v>61</v>
      </c>
      <c r="I423" s="4"/>
    </row>
    <row r="424" customFormat="false" ht="15" hidden="false" customHeight="false" outlineLevel="0" collapsed="false">
      <c r="A424" s="35" t="s">
        <v>2579</v>
      </c>
      <c r="B424" s="35"/>
      <c r="C424" s="35" t="s">
        <v>632</v>
      </c>
      <c r="D424" s="35" t="s">
        <v>114</v>
      </c>
      <c r="E424" s="35"/>
      <c r="F424" s="35"/>
      <c r="G424" s="35" t="s">
        <v>421</v>
      </c>
      <c r="H424" s="35" t="s">
        <v>61</v>
      </c>
      <c r="I424" s="4"/>
    </row>
    <row r="425" customFormat="false" ht="15" hidden="false" customHeight="false" outlineLevel="0" collapsed="false">
      <c r="A425" s="35" t="s">
        <v>2580</v>
      </c>
      <c r="B425" s="35"/>
      <c r="C425" s="35" t="s">
        <v>632</v>
      </c>
      <c r="D425" s="35" t="s">
        <v>114</v>
      </c>
      <c r="E425" s="35"/>
      <c r="F425" s="35"/>
      <c r="G425" s="35" t="s">
        <v>421</v>
      </c>
      <c r="H425" s="35" t="s">
        <v>61</v>
      </c>
      <c r="I425" s="4"/>
    </row>
    <row r="426" customFormat="false" ht="15" hidden="false" customHeight="false" outlineLevel="0" collapsed="false">
      <c r="A426" s="35" t="s">
        <v>2581</v>
      </c>
      <c r="B426" s="35"/>
      <c r="C426" s="35" t="s">
        <v>632</v>
      </c>
      <c r="D426" s="35" t="s">
        <v>114</v>
      </c>
      <c r="E426" s="35"/>
      <c r="F426" s="35"/>
      <c r="G426" s="35" t="s">
        <v>421</v>
      </c>
      <c r="H426" s="35" t="s">
        <v>61</v>
      </c>
      <c r="I426" s="4"/>
    </row>
    <row r="427" customFormat="false" ht="15" hidden="false" customHeight="false" outlineLevel="0" collapsed="false">
      <c r="A427" s="35" t="s">
        <v>2582</v>
      </c>
      <c r="B427" s="35"/>
      <c r="C427" s="35" t="s">
        <v>632</v>
      </c>
      <c r="D427" s="35" t="s">
        <v>114</v>
      </c>
      <c r="E427" s="35"/>
      <c r="F427" s="35"/>
      <c r="G427" s="35" t="s">
        <v>421</v>
      </c>
      <c r="H427" s="35" t="s">
        <v>61</v>
      </c>
      <c r="I427" s="4"/>
    </row>
    <row r="428" customFormat="false" ht="15" hidden="false" customHeight="false" outlineLevel="0" collapsed="false">
      <c r="A428" s="35" t="s">
        <v>2583</v>
      </c>
      <c r="B428" s="35"/>
      <c r="C428" s="35" t="s">
        <v>632</v>
      </c>
      <c r="D428" s="35" t="s">
        <v>114</v>
      </c>
      <c r="E428" s="35"/>
      <c r="F428" s="35"/>
      <c r="G428" s="35" t="s">
        <v>421</v>
      </c>
      <c r="H428" s="35" t="s">
        <v>61</v>
      </c>
      <c r="I428" s="4"/>
    </row>
    <row r="429" customFormat="false" ht="15" hidden="false" customHeight="false" outlineLevel="0" collapsed="false">
      <c r="A429" s="35" t="s">
        <v>2584</v>
      </c>
      <c r="B429" s="35"/>
      <c r="C429" s="35" t="s">
        <v>632</v>
      </c>
      <c r="D429" s="35" t="s">
        <v>114</v>
      </c>
      <c r="E429" s="35"/>
      <c r="F429" s="35"/>
      <c r="G429" s="35" t="s">
        <v>421</v>
      </c>
      <c r="H429" s="35" t="s">
        <v>61</v>
      </c>
      <c r="I429" s="4"/>
    </row>
    <row r="430" customFormat="false" ht="15" hidden="false" customHeight="false" outlineLevel="0" collapsed="false">
      <c r="A430" s="35" t="s">
        <v>2585</v>
      </c>
      <c r="B430" s="35"/>
      <c r="C430" s="35" t="s">
        <v>632</v>
      </c>
      <c r="D430" s="35" t="s">
        <v>53</v>
      </c>
      <c r="E430" s="35"/>
      <c r="F430" s="35" t="s">
        <v>2147</v>
      </c>
      <c r="G430" s="35" t="s">
        <v>421</v>
      </c>
      <c r="H430" s="35" t="s">
        <v>61</v>
      </c>
      <c r="I430" s="4"/>
    </row>
    <row r="431" customFormat="false" ht="15" hidden="false" customHeight="false" outlineLevel="0" collapsed="false">
      <c r="A431" s="35" t="s">
        <v>2586</v>
      </c>
      <c r="B431" s="35"/>
      <c r="C431" s="35" t="s">
        <v>632</v>
      </c>
      <c r="D431" s="35" t="s">
        <v>53</v>
      </c>
      <c r="E431" s="35"/>
      <c r="F431" s="35"/>
      <c r="G431" s="35" t="s">
        <v>421</v>
      </c>
      <c r="H431" s="35" t="s">
        <v>61</v>
      </c>
      <c r="I431" s="4"/>
    </row>
    <row r="432" customFormat="false" ht="15" hidden="false" customHeight="false" outlineLevel="0" collapsed="false">
      <c r="A432" s="35" t="s">
        <v>2587</v>
      </c>
      <c r="B432" s="35"/>
      <c r="C432" s="35" t="s">
        <v>632</v>
      </c>
      <c r="D432" s="35" t="s">
        <v>157</v>
      </c>
      <c r="E432" s="35"/>
      <c r="F432" s="35"/>
      <c r="G432" s="35" t="s">
        <v>421</v>
      </c>
      <c r="H432" s="35" t="s">
        <v>61</v>
      </c>
      <c r="I432" s="4"/>
    </row>
    <row r="433" customFormat="false" ht="15" hidden="false" customHeight="false" outlineLevel="0" collapsed="false">
      <c r="A433" s="35" t="s">
        <v>2588</v>
      </c>
      <c r="B433" s="35"/>
      <c r="C433" s="35" t="s">
        <v>632</v>
      </c>
      <c r="D433" s="35" t="s">
        <v>157</v>
      </c>
      <c r="E433" s="35"/>
      <c r="F433" s="35"/>
      <c r="G433" s="35" t="s">
        <v>421</v>
      </c>
      <c r="H433" s="35" t="s">
        <v>61</v>
      </c>
      <c r="I433" s="4"/>
    </row>
    <row r="434" customFormat="false" ht="15" hidden="false" customHeight="false" outlineLevel="0" collapsed="false">
      <c r="A434" s="35" t="s">
        <v>2589</v>
      </c>
      <c r="B434" s="35"/>
      <c r="C434" s="35" t="s">
        <v>632</v>
      </c>
      <c r="D434" s="35" t="s">
        <v>146</v>
      </c>
      <c r="E434" s="35"/>
      <c r="F434" s="35"/>
      <c r="G434" s="35" t="s">
        <v>421</v>
      </c>
      <c r="H434" s="35" t="s">
        <v>61</v>
      </c>
      <c r="I434" s="4"/>
    </row>
    <row r="435" customFormat="false" ht="15" hidden="false" customHeight="false" outlineLevel="0" collapsed="false">
      <c r="A435" s="35" t="s">
        <v>2590</v>
      </c>
      <c r="B435" s="35"/>
      <c r="C435" s="35" t="s">
        <v>632</v>
      </c>
      <c r="D435" s="35" t="s">
        <v>114</v>
      </c>
      <c r="E435" s="35"/>
      <c r="F435" s="35" t="s">
        <v>2022</v>
      </c>
      <c r="G435" s="35" t="s">
        <v>421</v>
      </c>
      <c r="H435" s="35" t="s">
        <v>61</v>
      </c>
      <c r="I435" s="4"/>
    </row>
    <row r="436" customFormat="false" ht="15" hidden="false" customHeight="false" outlineLevel="0" collapsed="false">
      <c r="A436" s="35" t="s">
        <v>2591</v>
      </c>
      <c r="B436" s="35"/>
      <c r="C436" s="35" t="s">
        <v>632</v>
      </c>
      <c r="D436" s="35" t="s">
        <v>53</v>
      </c>
      <c r="E436" s="35"/>
      <c r="F436" s="35" t="s">
        <v>2022</v>
      </c>
      <c r="G436" s="35" t="s">
        <v>421</v>
      </c>
      <c r="H436" s="35" t="s">
        <v>61</v>
      </c>
      <c r="I436" s="4"/>
    </row>
    <row r="437" customFormat="false" ht="15" hidden="false" customHeight="false" outlineLevel="0" collapsed="false">
      <c r="A437" s="35" t="s">
        <v>2592</v>
      </c>
      <c r="B437" s="35"/>
      <c r="C437" s="35" t="s">
        <v>632</v>
      </c>
      <c r="D437" s="35" t="s">
        <v>53</v>
      </c>
      <c r="E437" s="35"/>
      <c r="F437" s="35"/>
      <c r="G437" s="35" t="s">
        <v>421</v>
      </c>
      <c r="H437" s="35" t="s">
        <v>61</v>
      </c>
      <c r="I437" s="4"/>
    </row>
    <row r="438" customFormat="false" ht="15" hidden="false" customHeight="false" outlineLevel="0" collapsed="false">
      <c r="A438" s="35" t="s">
        <v>2593</v>
      </c>
      <c r="B438" s="35"/>
      <c r="C438" s="35" t="s">
        <v>632</v>
      </c>
      <c r="D438" s="35" t="s">
        <v>53</v>
      </c>
      <c r="E438" s="35"/>
      <c r="F438" s="35"/>
      <c r="G438" s="35" t="s">
        <v>421</v>
      </c>
      <c r="H438" s="35" t="s">
        <v>61</v>
      </c>
      <c r="I438" s="4"/>
    </row>
    <row r="439" customFormat="false" ht="15" hidden="false" customHeight="false" outlineLevel="0" collapsed="false">
      <c r="A439" s="35" t="s">
        <v>2594</v>
      </c>
      <c r="B439" s="35"/>
      <c r="C439" s="35" t="s">
        <v>632</v>
      </c>
      <c r="D439" s="35" t="s">
        <v>53</v>
      </c>
      <c r="E439" s="35"/>
      <c r="F439" s="35"/>
      <c r="G439" s="35" t="s">
        <v>421</v>
      </c>
      <c r="H439" s="35" t="s">
        <v>61</v>
      </c>
      <c r="I439" s="4"/>
    </row>
    <row r="440" customFormat="false" ht="15" hidden="false" customHeight="false" outlineLevel="0" collapsed="false">
      <c r="A440" s="35" t="s">
        <v>2595</v>
      </c>
      <c r="B440" s="35"/>
      <c r="C440" s="35" t="s">
        <v>632</v>
      </c>
      <c r="D440" s="35" t="s">
        <v>114</v>
      </c>
      <c r="E440" s="35"/>
      <c r="F440" s="35"/>
      <c r="G440" s="35" t="s">
        <v>421</v>
      </c>
      <c r="H440" s="35" t="s">
        <v>61</v>
      </c>
      <c r="I440" s="4"/>
    </row>
    <row r="441" customFormat="false" ht="15" hidden="false" customHeight="false" outlineLevel="0" collapsed="false">
      <c r="A441" s="35" t="s">
        <v>2596</v>
      </c>
      <c r="B441" s="35"/>
      <c r="C441" s="35" t="s">
        <v>632</v>
      </c>
      <c r="D441" s="35" t="s">
        <v>114</v>
      </c>
      <c r="E441" s="35"/>
      <c r="F441" s="35" t="s">
        <v>2022</v>
      </c>
      <c r="G441" s="35" t="s">
        <v>421</v>
      </c>
      <c r="H441" s="35" t="s">
        <v>61</v>
      </c>
      <c r="I441" s="4"/>
    </row>
    <row r="442" customFormat="false" ht="15" hidden="false" customHeight="false" outlineLevel="0" collapsed="false">
      <c r="A442" s="35" t="s">
        <v>2597</v>
      </c>
      <c r="B442" s="35"/>
      <c r="C442" s="35" t="s">
        <v>632</v>
      </c>
      <c r="D442" s="35" t="s">
        <v>107</v>
      </c>
      <c r="E442" s="35" t="s">
        <v>863</v>
      </c>
      <c r="F442" s="35"/>
      <c r="G442" s="35" t="s">
        <v>421</v>
      </c>
      <c r="H442" s="35" t="s">
        <v>61</v>
      </c>
      <c r="I442" s="4"/>
    </row>
    <row r="443" customFormat="false" ht="15" hidden="false" customHeight="false" outlineLevel="0" collapsed="false">
      <c r="A443" s="35" t="s">
        <v>2598</v>
      </c>
      <c r="B443" s="35"/>
      <c r="C443" s="35" t="s">
        <v>632</v>
      </c>
      <c r="D443" s="35" t="s">
        <v>107</v>
      </c>
      <c r="E443" s="35" t="s">
        <v>1218</v>
      </c>
      <c r="F443" s="35"/>
      <c r="G443" s="35" t="s">
        <v>421</v>
      </c>
      <c r="H443" s="35" t="s">
        <v>61</v>
      </c>
      <c r="I443" s="4"/>
    </row>
    <row r="444" customFormat="false" ht="15" hidden="false" customHeight="false" outlineLevel="0" collapsed="false">
      <c r="A444" s="35" t="s">
        <v>2599</v>
      </c>
      <c r="B444" s="35"/>
      <c r="C444" s="35" t="s">
        <v>632</v>
      </c>
      <c r="D444" s="35" t="s">
        <v>53</v>
      </c>
      <c r="E444" s="35"/>
      <c r="F444" s="35"/>
      <c r="G444" s="35" t="s">
        <v>421</v>
      </c>
      <c r="H444" s="35" t="s">
        <v>61</v>
      </c>
      <c r="I444" s="4"/>
    </row>
    <row r="445" customFormat="false" ht="15" hidden="false" customHeight="false" outlineLevel="0" collapsed="false">
      <c r="A445" s="35" t="s">
        <v>2600</v>
      </c>
      <c r="B445" s="35"/>
      <c r="C445" s="35" t="s">
        <v>632</v>
      </c>
      <c r="D445" s="35" t="s">
        <v>53</v>
      </c>
      <c r="E445" s="35"/>
      <c r="F445" s="35"/>
      <c r="G445" s="35" t="s">
        <v>421</v>
      </c>
      <c r="H445" s="35" t="s">
        <v>61</v>
      </c>
      <c r="I445" s="4"/>
    </row>
    <row r="446" customFormat="false" ht="15" hidden="false" customHeight="false" outlineLevel="0" collapsed="false">
      <c r="A446" s="35" t="s">
        <v>2601</v>
      </c>
      <c r="B446" s="35"/>
      <c r="C446" s="35" t="s">
        <v>632</v>
      </c>
      <c r="D446" s="35" t="s">
        <v>53</v>
      </c>
      <c r="E446" s="35"/>
      <c r="F446" s="35"/>
      <c r="G446" s="35" t="s">
        <v>421</v>
      </c>
      <c r="H446" s="35" t="s">
        <v>61</v>
      </c>
      <c r="I446" s="4"/>
    </row>
    <row r="447" customFormat="false" ht="15" hidden="false" customHeight="false" outlineLevel="0" collapsed="false">
      <c r="A447" s="35" t="s">
        <v>2602</v>
      </c>
      <c r="B447" s="35"/>
      <c r="C447" s="35" t="s">
        <v>632</v>
      </c>
      <c r="D447" s="35" t="s">
        <v>107</v>
      </c>
      <c r="E447" s="35" t="s">
        <v>936</v>
      </c>
      <c r="F447" s="35" t="s">
        <v>2603</v>
      </c>
      <c r="G447" s="35" t="s">
        <v>421</v>
      </c>
      <c r="H447" s="35" t="s">
        <v>61</v>
      </c>
      <c r="I447" s="4"/>
    </row>
    <row r="448" customFormat="false" ht="15" hidden="false" customHeight="false" outlineLevel="0" collapsed="false">
      <c r="A448" s="35" t="s">
        <v>2604</v>
      </c>
      <c r="B448" s="35"/>
      <c r="C448" s="35" t="s">
        <v>632</v>
      </c>
      <c r="D448" s="35" t="s">
        <v>53</v>
      </c>
      <c r="E448" s="35"/>
      <c r="F448" s="35" t="s">
        <v>2603</v>
      </c>
      <c r="G448" s="35" t="s">
        <v>421</v>
      </c>
      <c r="H448" s="35" t="s">
        <v>61</v>
      </c>
      <c r="I448" s="4"/>
    </row>
    <row r="449" customFormat="false" ht="15" hidden="false" customHeight="false" outlineLevel="0" collapsed="false">
      <c r="A449" s="35" t="s">
        <v>2605</v>
      </c>
      <c r="B449" s="35"/>
      <c r="C449" s="35" t="s">
        <v>632</v>
      </c>
      <c r="D449" s="35" t="s">
        <v>57</v>
      </c>
      <c r="E449" s="35" t="s">
        <v>936</v>
      </c>
      <c r="F449" s="35" t="s">
        <v>2603</v>
      </c>
      <c r="G449" s="35" t="s">
        <v>421</v>
      </c>
      <c r="H449" s="35" t="s">
        <v>61</v>
      </c>
      <c r="I449" s="4"/>
    </row>
    <row r="450" customFormat="false" ht="15" hidden="false" customHeight="false" outlineLevel="0" collapsed="false">
      <c r="A450" s="35" t="s">
        <v>2606</v>
      </c>
      <c r="B450" s="35"/>
      <c r="C450" s="35" t="s">
        <v>632</v>
      </c>
      <c r="D450" s="35" t="s">
        <v>157</v>
      </c>
      <c r="E450" s="35"/>
      <c r="F450" s="35"/>
      <c r="G450" s="35" t="s">
        <v>421</v>
      </c>
      <c r="H450" s="35" t="s">
        <v>61</v>
      </c>
      <c r="I450" s="4"/>
    </row>
    <row r="451" customFormat="false" ht="15" hidden="false" customHeight="false" outlineLevel="0" collapsed="false">
      <c r="A451" s="35" t="s">
        <v>2607</v>
      </c>
      <c r="B451" s="35"/>
      <c r="C451" s="35" t="s">
        <v>632</v>
      </c>
      <c r="D451" s="35" t="s">
        <v>53</v>
      </c>
      <c r="E451" s="35"/>
      <c r="F451" s="35"/>
      <c r="G451" s="35" t="s">
        <v>421</v>
      </c>
      <c r="H451" s="35" t="s">
        <v>61</v>
      </c>
      <c r="I451" s="4"/>
    </row>
    <row r="452" customFormat="false" ht="15" hidden="false" customHeight="false" outlineLevel="0" collapsed="false">
      <c r="A452" s="35" t="s">
        <v>2608</v>
      </c>
      <c r="B452" s="35"/>
      <c r="C452" s="35" t="s">
        <v>632</v>
      </c>
      <c r="D452" s="35" t="s">
        <v>53</v>
      </c>
      <c r="E452" s="35"/>
      <c r="F452" s="35"/>
      <c r="G452" s="35" t="s">
        <v>421</v>
      </c>
      <c r="H452" s="35" t="s">
        <v>61</v>
      </c>
      <c r="I452" s="4"/>
    </row>
    <row r="453" customFormat="false" ht="15" hidden="false" customHeight="false" outlineLevel="0" collapsed="false">
      <c r="A453" s="35" t="s">
        <v>2609</v>
      </c>
      <c r="B453" s="35"/>
      <c r="C453" s="35" t="s">
        <v>632</v>
      </c>
      <c r="D453" s="35" t="s">
        <v>53</v>
      </c>
      <c r="E453" s="35"/>
      <c r="F453" s="35" t="s">
        <v>2603</v>
      </c>
      <c r="G453" s="35" t="s">
        <v>421</v>
      </c>
      <c r="H453" s="35" t="s">
        <v>61</v>
      </c>
      <c r="I453" s="4"/>
    </row>
    <row r="454" customFormat="false" ht="15" hidden="false" customHeight="false" outlineLevel="0" collapsed="false">
      <c r="A454" s="35" t="s">
        <v>2610</v>
      </c>
      <c r="B454" s="35"/>
      <c r="C454" s="35" t="s">
        <v>632</v>
      </c>
      <c r="D454" s="35" t="s">
        <v>53</v>
      </c>
      <c r="E454" s="35"/>
      <c r="F454" s="35"/>
      <c r="G454" s="35" t="s">
        <v>421</v>
      </c>
      <c r="H454" s="35" t="s">
        <v>61</v>
      </c>
      <c r="I454" s="4"/>
    </row>
    <row r="455" customFormat="false" ht="15" hidden="false" customHeight="false" outlineLevel="0" collapsed="false">
      <c r="A455" s="35" t="s">
        <v>2611</v>
      </c>
      <c r="B455" s="35"/>
      <c r="C455" s="35" t="s">
        <v>632</v>
      </c>
      <c r="D455" s="35" t="s">
        <v>53</v>
      </c>
      <c r="E455" s="35"/>
      <c r="F455" s="35"/>
      <c r="G455" s="35" t="s">
        <v>421</v>
      </c>
      <c r="H455" s="35" t="s">
        <v>61</v>
      </c>
      <c r="I455" s="4"/>
    </row>
    <row r="456" customFormat="false" ht="15" hidden="false" customHeight="false" outlineLevel="0" collapsed="false">
      <c r="A456" s="35" t="s">
        <v>2612</v>
      </c>
      <c r="B456" s="35"/>
      <c r="C456" s="35" t="s">
        <v>632</v>
      </c>
      <c r="D456" s="35" t="s">
        <v>114</v>
      </c>
      <c r="E456" s="35"/>
      <c r="F456" s="35" t="s">
        <v>2603</v>
      </c>
      <c r="G456" s="35" t="s">
        <v>421</v>
      </c>
      <c r="H456" s="35" t="s">
        <v>61</v>
      </c>
      <c r="I456" s="4"/>
    </row>
    <row r="457" customFormat="false" ht="15" hidden="false" customHeight="false" outlineLevel="0" collapsed="false">
      <c r="A457" s="35" t="s">
        <v>2613</v>
      </c>
      <c r="B457" s="35"/>
      <c r="C457" s="35" t="s">
        <v>632</v>
      </c>
      <c r="D457" s="35" t="s">
        <v>114</v>
      </c>
      <c r="E457" s="35"/>
      <c r="F457" s="35" t="s">
        <v>2603</v>
      </c>
      <c r="G457" s="35" t="s">
        <v>421</v>
      </c>
      <c r="H457" s="35" t="s">
        <v>61</v>
      </c>
      <c r="I457" s="4"/>
    </row>
    <row r="458" customFormat="false" ht="15" hidden="false" customHeight="false" outlineLevel="0" collapsed="false">
      <c r="A458" s="35" t="s">
        <v>2614</v>
      </c>
      <c r="B458" s="35"/>
      <c r="C458" s="35" t="s">
        <v>632</v>
      </c>
      <c r="D458" s="35" t="s">
        <v>114</v>
      </c>
      <c r="E458" s="35"/>
      <c r="F458" s="35"/>
      <c r="G458" s="35" t="s">
        <v>421</v>
      </c>
      <c r="H458" s="35" t="s">
        <v>61</v>
      </c>
      <c r="I458" s="4"/>
    </row>
    <row r="459" customFormat="false" ht="15" hidden="false" customHeight="false" outlineLevel="0" collapsed="false">
      <c r="A459" s="35" t="s">
        <v>2615</v>
      </c>
      <c r="B459" s="35"/>
      <c r="C459" s="35" t="s">
        <v>632</v>
      </c>
      <c r="D459" s="35" t="s">
        <v>53</v>
      </c>
      <c r="E459" s="35"/>
      <c r="F459" s="35"/>
      <c r="G459" s="35" t="s">
        <v>421</v>
      </c>
      <c r="H459" s="35" t="s">
        <v>61</v>
      </c>
      <c r="I459" s="4"/>
    </row>
    <row r="460" customFormat="false" ht="15" hidden="false" customHeight="false" outlineLevel="0" collapsed="false">
      <c r="A460" s="35" t="s">
        <v>2616</v>
      </c>
      <c r="B460" s="35"/>
      <c r="C460" s="35" t="s">
        <v>632</v>
      </c>
      <c r="D460" s="35" t="s">
        <v>53</v>
      </c>
      <c r="E460" s="35"/>
      <c r="F460" s="35"/>
      <c r="G460" s="35" t="s">
        <v>421</v>
      </c>
      <c r="H460" s="35" t="s">
        <v>61</v>
      </c>
      <c r="I460" s="4"/>
    </row>
    <row r="461" customFormat="false" ht="15" hidden="false" customHeight="false" outlineLevel="0" collapsed="false">
      <c r="A461" s="35" t="s">
        <v>2617</v>
      </c>
      <c r="B461" s="35"/>
      <c r="C461" s="35" t="s">
        <v>632</v>
      </c>
      <c r="D461" s="35" t="s">
        <v>53</v>
      </c>
      <c r="E461" s="35"/>
      <c r="F461" s="35"/>
      <c r="G461" s="35" t="s">
        <v>421</v>
      </c>
      <c r="H461" s="35" t="s">
        <v>61</v>
      </c>
      <c r="I461" s="4"/>
    </row>
    <row r="462" customFormat="false" ht="15" hidden="false" customHeight="false" outlineLevel="0" collapsed="false">
      <c r="A462" s="35" t="s">
        <v>2618</v>
      </c>
      <c r="B462" s="35"/>
      <c r="C462" s="35" t="s">
        <v>632</v>
      </c>
      <c r="D462" s="35" t="s">
        <v>53</v>
      </c>
      <c r="E462" s="35"/>
      <c r="F462" s="35"/>
      <c r="G462" s="35" t="s">
        <v>421</v>
      </c>
      <c r="H462" s="35" t="s">
        <v>61</v>
      </c>
      <c r="I462" s="4"/>
    </row>
    <row r="463" customFormat="false" ht="15" hidden="false" customHeight="false" outlineLevel="0" collapsed="false">
      <c r="A463" s="35" t="s">
        <v>2619</v>
      </c>
      <c r="B463" s="35"/>
      <c r="C463" s="35" t="s">
        <v>632</v>
      </c>
      <c r="D463" s="35" t="s">
        <v>53</v>
      </c>
      <c r="E463" s="35"/>
      <c r="F463" s="35"/>
      <c r="G463" s="35" t="s">
        <v>421</v>
      </c>
      <c r="H463" s="35" t="s">
        <v>61</v>
      </c>
      <c r="I463" s="4"/>
    </row>
    <row r="464" customFormat="false" ht="15" hidden="false" customHeight="false" outlineLevel="0" collapsed="false">
      <c r="A464" s="35" t="s">
        <v>2620</v>
      </c>
      <c r="B464" s="35"/>
      <c r="C464" s="35" t="s">
        <v>632</v>
      </c>
      <c r="D464" s="35" t="s">
        <v>53</v>
      </c>
      <c r="E464" s="35"/>
      <c r="F464" s="35"/>
      <c r="G464" s="35" t="s">
        <v>421</v>
      </c>
      <c r="H464" s="35" t="s">
        <v>61</v>
      </c>
      <c r="I464" s="4"/>
    </row>
    <row r="465" customFormat="false" ht="15" hidden="false" customHeight="false" outlineLevel="0" collapsed="false">
      <c r="A465" s="35" t="s">
        <v>2621</v>
      </c>
      <c r="B465" s="35"/>
      <c r="C465" s="35" t="s">
        <v>632</v>
      </c>
      <c r="D465" s="35" t="s">
        <v>53</v>
      </c>
      <c r="E465" s="35"/>
      <c r="F465" s="35" t="s">
        <v>2022</v>
      </c>
      <c r="G465" s="35" t="s">
        <v>421</v>
      </c>
      <c r="H465" s="35" t="s">
        <v>61</v>
      </c>
      <c r="I465" s="4"/>
    </row>
    <row r="466" customFormat="false" ht="15" hidden="false" customHeight="false" outlineLevel="0" collapsed="false">
      <c r="A466" s="35" t="s">
        <v>2622</v>
      </c>
      <c r="B466" s="35"/>
      <c r="C466" s="35" t="s">
        <v>632</v>
      </c>
      <c r="D466" s="35" t="s">
        <v>57</v>
      </c>
      <c r="E466" s="35" t="s">
        <v>857</v>
      </c>
      <c r="F466" s="35"/>
      <c r="G466" s="35" t="s">
        <v>421</v>
      </c>
      <c r="H466" s="35" t="s">
        <v>61</v>
      </c>
      <c r="I466" s="4"/>
    </row>
    <row r="467" customFormat="false" ht="15" hidden="false" customHeight="false" outlineLevel="0" collapsed="false">
      <c r="A467" s="35" t="s">
        <v>2623</v>
      </c>
      <c r="B467" s="35"/>
      <c r="C467" s="35" t="s">
        <v>632</v>
      </c>
      <c r="D467" s="35" t="s">
        <v>53</v>
      </c>
      <c r="E467" s="35"/>
      <c r="F467" s="35"/>
      <c r="G467" s="35" t="s">
        <v>421</v>
      </c>
      <c r="H467" s="35" t="s">
        <v>61</v>
      </c>
      <c r="I467" s="4"/>
    </row>
    <row r="468" customFormat="false" ht="15" hidden="false" customHeight="false" outlineLevel="0" collapsed="false">
      <c r="A468" s="35" t="s">
        <v>2624</v>
      </c>
      <c r="B468" s="35"/>
      <c r="C468" s="35" t="s">
        <v>632</v>
      </c>
      <c r="D468" s="35" t="s">
        <v>53</v>
      </c>
      <c r="E468" s="35"/>
      <c r="F468" s="35"/>
      <c r="G468" s="35" t="s">
        <v>421</v>
      </c>
      <c r="H468" s="35" t="s">
        <v>61</v>
      </c>
      <c r="I468" s="4"/>
    </row>
    <row r="469" customFormat="false" ht="15" hidden="false" customHeight="false" outlineLevel="0" collapsed="false">
      <c r="A469" s="35" t="s">
        <v>2625</v>
      </c>
      <c r="B469" s="35"/>
      <c r="C469" s="35" t="s">
        <v>632</v>
      </c>
      <c r="D469" s="35" t="s">
        <v>53</v>
      </c>
      <c r="E469" s="35"/>
      <c r="F469" s="35"/>
      <c r="G469" s="35" t="s">
        <v>421</v>
      </c>
      <c r="H469" s="35" t="s">
        <v>61</v>
      </c>
      <c r="I469" s="4"/>
    </row>
    <row r="470" customFormat="false" ht="15" hidden="false" customHeight="false" outlineLevel="0" collapsed="false">
      <c r="A470" s="35" t="s">
        <v>2626</v>
      </c>
      <c r="B470" s="35"/>
      <c r="C470" s="35" t="s">
        <v>632</v>
      </c>
      <c r="D470" s="35" t="s">
        <v>53</v>
      </c>
      <c r="E470" s="35"/>
      <c r="F470" s="35"/>
      <c r="G470" s="35" t="s">
        <v>421</v>
      </c>
      <c r="H470" s="35" t="s">
        <v>61</v>
      </c>
      <c r="I470" s="4"/>
    </row>
    <row r="471" customFormat="false" ht="15" hidden="false" customHeight="false" outlineLevel="0" collapsed="false">
      <c r="A471" s="35" t="s">
        <v>2627</v>
      </c>
      <c r="B471" s="35"/>
      <c r="C471" s="35" t="s">
        <v>632</v>
      </c>
      <c r="D471" s="35" t="s">
        <v>53</v>
      </c>
      <c r="E471" s="35"/>
      <c r="F471" s="35"/>
      <c r="G471" s="35" t="s">
        <v>421</v>
      </c>
      <c r="H471" s="35" t="s">
        <v>61</v>
      </c>
      <c r="I471" s="4"/>
    </row>
    <row r="472" customFormat="false" ht="15" hidden="false" customHeight="false" outlineLevel="0" collapsed="false">
      <c r="A472" s="35" t="s">
        <v>2628</v>
      </c>
      <c r="B472" s="35"/>
      <c r="C472" s="35" t="s">
        <v>632</v>
      </c>
      <c r="D472" s="35" t="s">
        <v>53</v>
      </c>
      <c r="E472" s="35"/>
      <c r="F472" s="35"/>
      <c r="G472" s="35" t="s">
        <v>421</v>
      </c>
      <c r="H472" s="35" t="s">
        <v>61</v>
      </c>
      <c r="I472" s="4"/>
    </row>
    <row r="473" customFormat="false" ht="15" hidden="false" customHeight="false" outlineLevel="0" collapsed="false">
      <c r="A473" s="35" t="s">
        <v>2629</v>
      </c>
      <c r="B473" s="35"/>
      <c r="C473" s="35" t="s">
        <v>632</v>
      </c>
      <c r="D473" s="35" t="s">
        <v>53</v>
      </c>
      <c r="E473" s="35"/>
      <c r="F473" s="35"/>
      <c r="G473" s="35" t="s">
        <v>421</v>
      </c>
      <c r="H473" s="35" t="s">
        <v>61</v>
      </c>
      <c r="I473" s="4"/>
    </row>
    <row r="474" customFormat="false" ht="15" hidden="false" customHeight="false" outlineLevel="0" collapsed="false">
      <c r="A474" s="35" t="s">
        <v>2630</v>
      </c>
      <c r="B474" s="35"/>
      <c r="C474" s="35" t="s">
        <v>632</v>
      </c>
      <c r="D474" s="35" t="s">
        <v>53</v>
      </c>
      <c r="E474" s="35"/>
      <c r="F474" s="35"/>
      <c r="G474" s="35" t="s">
        <v>421</v>
      </c>
      <c r="H474" s="35" t="s">
        <v>61</v>
      </c>
      <c r="I474" s="4"/>
    </row>
    <row r="475" customFormat="false" ht="15" hidden="false" customHeight="false" outlineLevel="0" collapsed="false">
      <c r="A475" s="35" t="s">
        <v>2631</v>
      </c>
      <c r="B475" s="35"/>
      <c r="C475" s="35" t="s">
        <v>632</v>
      </c>
      <c r="D475" s="35" t="s">
        <v>53</v>
      </c>
      <c r="E475" s="35"/>
      <c r="F475" s="35"/>
      <c r="G475" s="35" t="s">
        <v>421</v>
      </c>
      <c r="H475" s="35" t="s">
        <v>61</v>
      </c>
      <c r="I475" s="4"/>
    </row>
    <row r="476" customFormat="false" ht="15" hidden="false" customHeight="false" outlineLevel="0" collapsed="false">
      <c r="A476" s="35" t="s">
        <v>2632</v>
      </c>
      <c r="B476" s="35"/>
      <c r="C476" s="35" t="s">
        <v>632</v>
      </c>
      <c r="D476" s="35" t="s">
        <v>53</v>
      </c>
      <c r="E476" s="35"/>
      <c r="F476" s="35"/>
      <c r="G476" s="35" t="s">
        <v>421</v>
      </c>
      <c r="H476" s="35" t="s">
        <v>61</v>
      </c>
      <c r="I476" s="4"/>
    </row>
    <row r="477" customFormat="false" ht="15" hidden="false" customHeight="false" outlineLevel="0" collapsed="false">
      <c r="A477" s="35" t="s">
        <v>2633</v>
      </c>
      <c r="B477" s="35"/>
      <c r="C477" s="35" t="s">
        <v>632</v>
      </c>
      <c r="D477" s="35" t="s">
        <v>53</v>
      </c>
      <c r="E477" s="35"/>
      <c r="F477" s="35"/>
      <c r="G477" s="35" t="s">
        <v>421</v>
      </c>
      <c r="H477" s="35" t="s">
        <v>61</v>
      </c>
      <c r="I477" s="4"/>
    </row>
    <row r="478" customFormat="false" ht="15" hidden="false" customHeight="false" outlineLevel="0" collapsed="false">
      <c r="A478" s="35" t="s">
        <v>2634</v>
      </c>
      <c r="B478" s="35"/>
      <c r="C478" s="35" t="s">
        <v>632</v>
      </c>
      <c r="D478" s="35" t="s">
        <v>53</v>
      </c>
      <c r="E478" s="35"/>
      <c r="F478" s="35"/>
      <c r="G478" s="35" t="s">
        <v>421</v>
      </c>
      <c r="H478" s="35" t="s">
        <v>61</v>
      </c>
      <c r="I478" s="4"/>
    </row>
    <row r="479" customFormat="false" ht="15" hidden="false" customHeight="false" outlineLevel="0" collapsed="false">
      <c r="A479" s="35" t="s">
        <v>2635</v>
      </c>
      <c r="B479" s="35"/>
      <c r="C479" s="35" t="s">
        <v>632</v>
      </c>
      <c r="D479" s="35" t="s">
        <v>53</v>
      </c>
      <c r="E479" s="35"/>
      <c r="F479" s="35"/>
      <c r="G479" s="35" t="s">
        <v>421</v>
      </c>
      <c r="H479" s="35" t="s">
        <v>61</v>
      </c>
      <c r="I479" s="4"/>
    </row>
    <row r="480" customFormat="false" ht="15" hidden="false" customHeight="false" outlineLevel="0" collapsed="false">
      <c r="A480" s="35" t="s">
        <v>2636</v>
      </c>
      <c r="B480" s="35"/>
      <c r="C480" s="35" t="s">
        <v>632</v>
      </c>
      <c r="D480" s="35" t="s">
        <v>114</v>
      </c>
      <c r="E480" s="35"/>
      <c r="F480" s="35"/>
      <c r="G480" s="35" t="s">
        <v>421</v>
      </c>
      <c r="H480" s="35" t="s">
        <v>61</v>
      </c>
      <c r="I480" s="4"/>
    </row>
    <row r="481" customFormat="false" ht="15" hidden="false" customHeight="false" outlineLevel="0" collapsed="false">
      <c r="A481" s="35" t="s">
        <v>2637</v>
      </c>
      <c r="B481" s="35"/>
      <c r="C481" s="35" t="s">
        <v>632</v>
      </c>
      <c r="D481" s="35" t="s">
        <v>114</v>
      </c>
      <c r="E481" s="35"/>
      <c r="F481" s="35"/>
      <c r="G481" s="35" t="s">
        <v>421</v>
      </c>
      <c r="H481" s="35" t="s">
        <v>61</v>
      </c>
      <c r="I481" s="4"/>
    </row>
    <row r="482" customFormat="false" ht="15" hidden="false" customHeight="false" outlineLevel="0" collapsed="false">
      <c r="A482" s="35" t="s">
        <v>2638</v>
      </c>
      <c r="B482" s="35"/>
      <c r="C482" s="35" t="s">
        <v>632</v>
      </c>
      <c r="D482" s="35" t="s">
        <v>114</v>
      </c>
      <c r="E482" s="35"/>
      <c r="F482" s="35"/>
      <c r="G482" s="35" t="s">
        <v>421</v>
      </c>
      <c r="H482" s="35" t="s">
        <v>61</v>
      </c>
      <c r="I482" s="4"/>
    </row>
    <row r="483" customFormat="false" ht="15" hidden="false" customHeight="false" outlineLevel="0" collapsed="false">
      <c r="A483" s="35" t="s">
        <v>2639</v>
      </c>
      <c r="B483" s="35"/>
      <c r="C483" s="35" t="s">
        <v>632</v>
      </c>
      <c r="D483" s="35" t="s">
        <v>114</v>
      </c>
      <c r="E483" s="35"/>
      <c r="F483" s="35"/>
      <c r="G483" s="35" t="s">
        <v>421</v>
      </c>
      <c r="H483" s="35" t="s">
        <v>61</v>
      </c>
      <c r="I483" s="4"/>
    </row>
    <row r="484" customFormat="false" ht="15" hidden="false" customHeight="false" outlineLevel="0" collapsed="false">
      <c r="A484" s="35" t="s">
        <v>2640</v>
      </c>
      <c r="B484" s="35"/>
      <c r="C484" s="35" t="s">
        <v>632</v>
      </c>
      <c r="D484" s="35" t="s">
        <v>114</v>
      </c>
      <c r="E484" s="35"/>
      <c r="F484" s="35"/>
      <c r="G484" s="35" t="s">
        <v>421</v>
      </c>
      <c r="H484" s="35" t="s">
        <v>61</v>
      </c>
      <c r="I484" s="4"/>
    </row>
    <row r="485" customFormat="false" ht="15" hidden="false" customHeight="false" outlineLevel="0" collapsed="false">
      <c r="A485" s="35" t="s">
        <v>2641</v>
      </c>
      <c r="B485" s="35"/>
      <c r="C485" s="35" t="s">
        <v>632</v>
      </c>
      <c r="D485" s="35" t="s">
        <v>114</v>
      </c>
      <c r="E485" s="35"/>
      <c r="F485" s="35" t="s">
        <v>2022</v>
      </c>
      <c r="G485" s="35" t="s">
        <v>421</v>
      </c>
      <c r="H485" s="35" t="s">
        <v>61</v>
      </c>
      <c r="I485" s="4"/>
    </row>
    <row r="486" customFormat="false" ht="15" hidden="false" customHeight="false" outlineLevel="0" collapsed="false">
      <c r="A486" s="35" t="s">
        <v>2642</v>
      </c>
      <c r="B486" s="35"/>
      <c r="C486" s="35" t="s">
        <v>632</v>
      </c>
      <c r="D486" s="35" t="s">
        <v>114</v>
      </c>
      <c r="E486" s="35"/>
      <c r="F486" s="35"/>
      <c r="G486" s="35" t="s">
        <v>421</v>
      </c>
      <c r="H486" s="35" t="s">
        <v>61</v>
      </c>
      <c r="I486" s="4"/>
    </row>
    <row r="487" customFormat="false" ht="15" hidden="false" customHeight="false" outlineLevel="0" collapsed="false">
      <c r="A487" s="35" t="s">
        <v>2643</v>
      </c>
      <c r="B487" s="35"/>
      <c r="C487" s="35" t="s">
        <v>632</v>
      </c>
      <c r="D487" s="35" t="s">
        <v>114</v>
      </c>
      <c r="E487" s="35"/>
      <c r="F487" s="35"/>
      <c r="G487" s="35" t="s">
        <v>421</v>
      </c>
      <c r="H487" s="35" t="s">
        <v>61</v>
      </c>
      <c r="I487" s="4"/>
    </row>
    <row r="488" customFormat="false" ht="15" hidden="false" customHeight="false" outlineLevel="0" collapsed="false">
      <c r="A488" s="35" t="s">
        <v>2644</v>
      </c>
      <c r="B488" s="35"/>
      <c r="C488" s="35" t="s">
        <v>632</v>
      </c>
      <c r="D488" s="35" t="s">
        <v>114</v>
      </c>
      <c r="E488" s="35"/>
      <c r="F488" s="35"/>
      <c r="G488" s="35" t="s">
        <v>421</v>
      </c>
      <c r="H488" s="35" t="s">
        <v>61</v>
      </c>
      <c r="I488" s="4"/>
    </row>
    <row r="489" customFormat="false" ht="15" hidden="false" customHeight="false" outlineLevel="0" collapsed="false">
      <c r="A489" s="35" t="s">
        <v>2645</v>
      </c>
      <c r="B489" s="35"/>
      <c r="C489" s="35" t="s">
        <v>632</v>
      </c>
      <c r="D489" s="35" t="s">
        <v>114</v>
      </c>
      <c r="E489" s="35"/>
      <c r="F489" s="35"/>
      <c r="G489" s="35" t="s">
        <v>421</v>
      </c>
      <c r="H489" s="35" t="s">
        <v>61</v>
      </c>
      <c r="I489" s="4"/>
    </row>
    <row r="490" customFormat="false" ht="15" hidden="false" customHeight="false" outlineLevel="0" collapsed="false">
      <c r="A490" s="35" t="s">
        <v>2646</v>
      </c>
      <c r="B490" s="35"/>
      <c r="C490" s="35" t="s">
        <v>632</v>
      </c>
      <c r="D490" s="35" t="s">
        <v>114</v>
      </c>
      <c r="E490" s="35"/>
      <c r="F490" s="35"/>
      <c r="G490" s="35" t="s">
        <v>421</v>
      </c>
      <c r="H490" s="35" t="s">
        <v>61</v>
      </c>
      <c r="I490" s="4"/>
    </row>
    <row r="491" customFormat="false" ht="15" hidden="false" customHeight="false" outlineLevel="0" collapsed="false">
      <c r="A491" s="35" t="s">
        <v>2647</v>
      </c>
      <c r="B491" s="35"/>
      <c r="C491" s="35" t="s">
        <v>632</v>
      </c>
      <c r="D491" s="35" t="s">
        <v>53</v>
      </c>
      <c r="E491" s="35"/>
      <c r="F491" s="35"/>
      <c r="G491" s="35" t="s">
        <v>421</v>
      </c>
      <c r="H491" s="35" t="s">
        <v>61</v>
      </c>
      <c r="I491" s="4"/>
    </row>
    <row r="492" customFormat="false" ht="15" hidden="false" customHeight="false" outlineLevel="0" collapsed="false">
      <c r="A492" s="35" t="s">
        <v>2648</v>
      </c>
      <c r="B492" s="35"/>
      <c r="C492" s="35" t="s">
        <v>632</v>
      </c>
      <c r="D492" s="35" t="s">
        <v>53</v>
      </c>
      <c r="E492" s="35"/>
      <c r="F492" s="35"/>
      <c r="G492" s="35" t="s">
        <v>421</v>
      </c>
      <c r="H492" s="35" t="s">
        <v>61</v>
      </c>
      <c r="I492" s="4"/>
    </row>
    <row r="493" customFormat="false" ht="15" hidden="false" customHeight="false" outlineLevel="0" collapsed="false">
      <c r="A493" s="35" t="s">
        <v>2648</v>
      </c>
      <c r="B493" s="35"/>
      <c r="C493" s="35" t="s">
        <v>632</v>
      </c>
      <c r="D493" s="35" t="s">
        <v>53</v>
      </c>
      <c r="E493" s="35"/>
      <c r="F493" s="35"/>
      <c r="G493" s="35" t="s">
        <v>421</v>
      </c>
      <c r="H493" s="35" t="s">
        <v>61</v>
      </c>
      <c r="I493" s="4"/>
    </row>
    <row r="494" customFormat="false" ht="15" hidden="false" customHeight="false" outlineLevel="0" collapsed="false">
      <c r="A494" s="35" t="s">
        <v>2649</v>
      </c>
      <c r="B494" s="35"/>
      <c r="C494" s="35" t="s">
        <v>632</v>
      </c>
      <c r="D494" s="35" t="s">
        <v>53</v>
      </c>
      <c r="E494" s="35"/>
      <c r="F494" s="35"/>
      <c r="G494" s="35" t="s">
        <v>421</v>
      </c>
      <c r="H494" s="35" t="s">
        <v>61</v>
      </c>
      <c r="I494" s="4"/>
    </row>
    <row r="495" customFormat="false" ht="15" hidden="false" customHeight="false" outlineLevel="0" collapsed="false">
      <c r="A495" s="35" t="s">
        <v>2650</v>
      </c>
      <c r="B495" s="35"/>
      <c r="C495" s="35" t="s">
        <v>632</v>
      </c>
      <c r="D495" s="35" t="s">
        <v>53</v>
      </c>
      <c r="E495" s="35"/>
      <c r="F495" s="35"/>
      <c r="G495" s="35" t="s">
        <v>421</v>
      </c>
      <c r="H495" s="35" t="s">
        <v>61</v>
      </c>
      <c r="I495" s="4"/>
    </row>
    <row r="496" customFormat="false" ht="15" hidden="false" customHeight="false" outlineLevel="0" collapsed="false">
      <c r="A496" s="35" t="s">
        <v>2651</v>
      </c>
      <c r="B496" s="35"/>
      <c r="C496" s="35" t="s">
        <v>632</v>
      </c>
      <c r="D496" s="35" t="s">
        <v>53</v>
      </c>
      <c r="E496" s="35"/>
      <c r="F496" s="35"/>
      <c r="G496" s="35" t="s">
        <v>421</v>
      </c>
      <c r="H496" s="35" t="s">
        <v>61</v>
      </c>
      <c r="I496" s="4"/>
    </row>
    <row r="497" customFormat="false" ht="15" hidden="false" customHeight="false" outlineLevel="0" collapsed="false">
      <c r="A497" s="35" t="s">
        <v>2652</v>
      </c>
      <c r="B497" s="35"/>
      <c r="C497" s="35" t="s">
        <v>632</v>
      </c>
      <c r="D497" s="35" t="s">
        <v>53</v>
      </c>
      <c r="E497" s="35"/>
      <c r="F497" s="35"/>
      <c r="G497" s="35" t="s">
        <v>421</v>
      </c>
      <c r="H497" s="35" t="s">
        <v>61</v>
      </c>
      <c r="I497" s="4"/>
    </row>
    <row r="498" customFormat="false" ht="15" hidden="false" customHeight="false" outlineLevel="0" collapsed="false">
      <c r="A498" s="35" t="s">
        <v>2653</v>
      </c>
      <c r="B498" s="35"/>
      <c r="C498" s="35" t="s">
        <v>632</v>
      </c>
      <c r="D498" s="35" t="s">
        <v>53</v>
      </c>
      <c r="E498" s="35"/>
      <c r="F498" s="35"/>
      <c r="G498" s="35" t="s">
        <v>421</v>
      </c>
      <c r="H498" s="35" t="s">
        <v>61</v>
      </c>
      <c r="I498" s="4"/>
    </row>
    <row r="499" customFormat="false" ht="15" hidden="false" customHeight="false" outlineLevel="0" collapsed="false">
      <c r="A499" s="35" t="s">
        <v>2654</v>
      </c>
      <c r="B499" s="35"/>
      <c r="C499" s="35" t="s">
        <v>632</v>
      </c>
      <c r="D499" s="35" t="s">
        <v>53</v>
      </c>
      <c r="E499" s="35"/>
      <c r="F499" s="35"/>
      <c r="G499" s="35" t="s">
        <v>421</v>
      </c>
      <c r="H499" s="35" t="s">
        <v>61</v>
      </c>
      <c r="I499" s="4"/>
    </row>
    <row r="500" customFormat="false" ht="15" hidden="false" customHeight="false" outlineLevel="0" collapsed="false">
      <c r="A500" s="35" t="s">
        <v>2655</v>
      </c>
      <c r="B500" s="35"/>
      <c r="C500" s="35" t="s">
        <v>632</v>
      </c>
      <c r="D500" s="35" t="s">
        <v>53</v>
      </c>
      <c r="E500" s="35"/>
      <c r="F500" s="35"/>
      <c r="G500" s="35" t="s">
        <v>421</v>
      </c>
      <c r="H500" s="35" t="s">
        <v>61</v>
      </c>
      <c r="I500" s="4"/>
    </row>
    <row r="501" customFormat="false" ht="15" hidden="false" customHeight="false" outlineLevel="0" collapsed="false">
      <c r="A501" s="35" t="s">
        <v>2656</v>
      </c>
      <c r="B501" s="35"/>
      <c r="C501" s="35" t="s">
        <v>632</v>
      </c>
      <c r="D501" s="35" t="s">
        <v>53</v>
      </c>
      <c r="E501" s="35"/>
      <c r="F501" s="35"/>
      <c r="G501" s="35" t="s">
        <v>421</v>
      </c>
      <c r="H501" s="35" t="s">
        <v>61</v>
      </c>
      <c r="I501" s="4"/>
    </row>
    <row r="502" customFormat="false" ht="15" hidden="false" customHeight="false" outlineLevel="0" collapsed="false">
      <c r="A502" s="35" t="s">
        <v>2657</v>
      </c>
      <c r="B502" s="35"/>
      <c r="C502" s="35" t="s">
        <v>632</v>
      </c>
      <c r="D502" s="35" t="s">
        <v>53</v>
      </c>
      <c r="E502" s="35"/>
      <c r="F502" s="35"/>
      <c r="G502" s="35" t="s">
        <v>421</v>
      </c>
      <c r="H502" s="35" t="s">
        <v>61</v>
      </c>
      <c r="I502" s="4"/>
    </row>
    <row r="503" customFormat="false" ht="15" hidden="false" customHeight="false" outlineLevel="0" collapsed="false">
      <c r="A503" s="35" t="s">
        <v>2658</v>
      </c>
      <c r="B503" s="35"/>
      <c r="C503" s="35" t="s">
        <v>632</v>
      </c>
      <c r="D503" s="35" t="s">
        <v>53</v>
      </c>
      <c r="E503" s="35"/>
      <c r="F503" s="35"/>
      <c r="G503" s="35" t="s">
        <v>421</v>
      </c>
      <c r="H503" s="35" t="s">
        <v>61</v>
      </c>
      <c r="I503" s="4"/>
    </row>
    <row r="504" customFormat="false" ht="15" hidden="false" customHeight="false" outlineLevel="0" collapsed="false">
      <c r="A504" s="35" t="s">
        <v>2659</v>
      </c>
      <c r="B504" s="35"/>
      <c r="C504" s="35" t="s">
        <v>632</v>
      </c>
      <c r="D504" s="35" t="s">
        <v>53</v>
      </c>
      <c r="E504" s="35"/>
      <c r="F504" s="35"/>
      <c r="G504" s="35" t="s">
        <v>421</v>
      </c>
      <c r="H504" s="35" t="s">
        <v>61</v>
      </c>
      <c r="I504" s="4"/>
    </row>
    <row r="505" customFormat="false" ht="15" hidden="false" customHeight="false" outlineLevel="0" collapsed="false">
      <c r="A505" s="35" t="s">
        <v>2660</v>
      </c>
      <c r="B505" s="35"/>
      <c r="C505" s="35" t="s">
        <v>632</v>
      </c>
      <c r="D505" s="35" t="s">
        <v>114</v>
      </c>
      <c r="E505" s="35"/>
      <c r="F505" s="35"/>
      <c r="G505" s="35" t="s">
        <v>421</v>
      </c>
      <c r="H505" s="35" t="s">
        <v>61</v>
      </c>
      <c r="I505" s="4"/>
    </row>
    <row r="506" customFormat="false" ht="15" hidden="false" customHeight="false" outlineLevel="0" collapsed="false">
      <c r="A506" s="35" t="s">
        <v>2661</v>
      </c>
      <c r="B506" s="35"/>
      <c r="C506" s="35" t="s">
        <v>632</v>
      </c>
      <c r="D506" s="35" t="s">
        <v>114</v>
      </c>
      <c r="E506" s="35"/>
      <c r="F506" s="35"/>
      <c r="G506" s="35" t="s">
        <v>421</v>
      </c>
      <c r="H506" s="35" t="s">
        <v>61</v>
      </c>
      <c r="I506" s="4"/>
    </row>
    <row r="507" customFormat="false" ht="15" hidden="false" customHeight="false" outlineLevel="0" collapsed="false">
      <c r="A507" s="35" t="s">
        <v>2662</v>
      </c>
      <c r="B507" s="35"/>
      <c r="C507" s="35" t="s">
        <v>632</v>
      </c>
      <c r="D507" s="35" t="s">
        <v>53</v>
      </c>
      <c r="E507" s="35"/>
      <c r="F507" s="35"/>
      <c r="G507" s="35" t="s">
        <v>421</v>
      </c>
      <c r="H507" s="35" t="s">
        <v>61</v>
      </c>
      <c r="I507" s="4"/>
    </row>
    <row r="508" customFormat="false" ht="15" hidden="false" customHeight="false" outlineLevel="0" collapsed="false">
      <c r="A508" s="35" t="s">
        <v>2663</v>
      </c>
      <c r="B508" s="35"/>
      <c r="C508" s="35" t="s">
        <v>632</v>
      </c>
      <c r="D508" s="35" t="s">
        <v>53</v>
      </c>
      <c r="E508" s="35"/>
      <c r="F508" s="35"/>
      <c r="G508" s="35" t="s">
        <v>421</v>
      </c>
      <c r="H508" s="35" t="s">
        <v>61</v>
      </c>
      <c r="I508" s="4"/>
    </row>
    <row r="509" customFormat="false" ht="15" hidden="false" customHeight="false" outlineLevel="0" collapsed="false">
      <c r="A509" s="35" t="s">
        <v>2664</v>
      </c>
      <c r="B509" s="35"/>
      <c r="C509" s="35" t="s">
        <v>632</v>
      </c>
      <c r="D509" s="35" t="s">
        <v>114</v>
      </c>
      <c r="E509" s="35"/>
      <c r="F509" s="35"/>
      <c r="G509" s="35" t="s">
        <v>421</v>
      </c>
      <c r="H509" s="35" t="s">
        <v>61</v>
      </c>
      <c r="I509" s="4"/>
    </row>
    <row r="510" customFormat="false" ht="15" hidden="false" customHeight="false" outlineLevel="0" collapsed="false">
      <c r="A510" s="35" t="s">
        <v>2665</v>
      </c>
      <c r="B510" s="35"/>
      <c r="C510" s="35" t="s">
        <v>632</v>
      </c>
      <c r="D510" s="35" t="s">
        <v>114</v>
      </c>
      <c r="E510" s="35"/>
      <c r="F510" s="35"/>
      <c r="G510" s="35" t="s">
        <v>421</v>
      </c>
      <c r="H510" s="35" t="s">
        <v>61</v>
      </c>
      <c r="I510" s="4"/>
    </row>
    <row r="511" customFormat="false" ht="15" hidden="false" customHeight="false" outlineLevel="0" collapsed="false">
      <c r="A511" s="35" t="s">
        <v>2666</v>
      </c>
      <c r="B511" s="35"/>
      <c r="C511" s="35" t="s">
        <v>632</v>
      </c>
      <c r="D511" s="35" t="s">
        <v>114</v>
      </c>
      <c r="E511" s="35"/>
      <c r="F511" s="35"/>
      <c r="G511" s="35" t="s">
        <v>421</v>
      </c>
      <c r="H511" s="35" t="s">
        <v>61</v>
      </c>
      <c r="I511" s="4"/>
    </row>
    <row r="512" customFormat="false" ht="15" hidden="false" customHeight="false" outlineLevel="0" collapsed="false">
      <c r="A512" s="35" t="s">
        <v>2667</v>
      </c>
      <c r="B512" s="35"/>
      <c r="C512" s="35" t="s">
        <v>632</v>
      </c>
      <c r="D512" s="35" t="s">
        <v>114</v>
      </c>
      <c r="E512" s="35"/>
      <c r="F512" s="35"/>
      <c r="G512" s="35" t="s">
        <v>421</v>
      </c>
      <c r="H512" s="35" t="s">
        <v>61</v>
      </c>
      <c r="I512" s="4"/>
    </row>
    <row r="513" customFormat="false" ht="15" hidden="false" customHeight="false" outlineLevel="0" collapsed="false">
      <c r="A513" s="35" t="s">
        <v>2668</v>
      </c>
      <c r="B513" s="35"/>
      <c r="C513" s="35" t="s">
        <v>632</v>
      </c>
      <c r="D513" s="35" t="s">
        <v>114</v>
      </c>
      <c r="E513" s="35"/>
      <c r="F513" s="35"/>
      <c r="G513" s="35" t="s">
        <v>421</v>
      </c>
      <c r="H513" s="35" t="s">
        <v>61</v>
      </c>
      <c r="I513" s="4"/>
    </row>
    <row r="514" customFormat="false" ht="15" hidden="false" customHeight="false" outlineLevel="0" collapsed="false">
      <c r="A514" s="35" t="s">
        <v>2669</v>
      </c>
      <c r="B514" s="35"/>
      <c r="C514" s="35" t="s">
        <v>632</v>
      </c>
      <c r="D514" s="35" t="s">
        <v>114</v>
      </c>
      <c r="E514" s="35"/>
      <c r="F514" s="35"/>
      <c r="G514" s="35" t="s">
        <v>421</v>
      </c>
      <c r="H514" s="35" t="s">
        <v>61</v>
      </c>
      <c r="I514" s="4"/>
    </row>
    <row r="515" customFormat="false" ht="15" hidden="false" customHeight="false" outlineLevel="0" collapsed="false">
      <c r="A515" s="35" t="s">
        <v>2670</v>
      </c>
      <c r="B515" s="35"/>
      <c r="C515" s="35" t="s">
        <v>632</v>
      </c>
      <c r="D515" s="35" t="s">
        <v>114</v>
      </c>
      <c r="E515" s="35"/>
      <c r="F515" s="35"/>
      <c r="G515" s="35" t="s">
        <v>421</v>
      </c>
      <c r="H515" s="35" t="s">
        <v>61</v>
      </c>
      <c r="I515" s="4"/>
    </row>
    <row r="516" customFormat="false" ht="15" hidden="false" customHeight="false" outlineLevel="0" collapsed="false">
      <c r="A516" s="35" t="s">
        <v>2671</v>
      </c>
      <c r="B516" s="35"/>
      <c r="C516" s="35" t="s">
        <v>632</v>
      </c>
      <c r="D516" s="35" t="s">
        <v>114</v>
      </c>
      <c r="E516" s="35"/>
      <c r="F516" s="35"/>
      <c r="G516" s="35" t="s">
        <v>421</v>
      </c>
      <c r="H516" s="35" t="s">
        <v>61</v>
      </c>
      <c r="I516" s="4"/>
    </row>
    <row r="517" customFormat="false" ht="15" hidden="false" customHeight="false" outlineLevel="0" collapsed="false">
      <c r="A517" s="35" t="s">
        <v>2672</v>
      </c>
      <c r="B517" s="35"/>
      <c r="C517" s="35" t="s">
        <v>632</v>
      </c>
      <c r="D517" s="35" t="s">
        <v>114</v>
      </c>
      <c r="E517" s="35"/>
      <c r="F517" s="35"/>
      <c r="G517" s="35" t="s">
        <v>421</v>
      </c>
      <c r="H517" s="35" t="s">
        <v>61</v>
      </c>
      <c r="I517" s="4"/>
    </row>
    <row r="518" customFormat="false" ht="15" hidden="false" customHeight="false" outlineLevel="0" collapsed="false">
      <c r="A518" s="35" t="s">
        <v>2673</v>
      </c>
      <c r="B518" s="35"/>
      <c r="C518" s="35" t="s">
        <v>632</v>
      </c>
      <c r="D518" s="35" t="s">
        <v>114</v>
      </c>
      <c r="E518" s="35"/>
      <c r="F518" s="35"/>
      <c r="G518" s="35" t="s">
        <v>421</v>
      </c>
      <c r="H518" s="35" t="s">
        <v>61</v>
      </c>
      <c r="I518" s="4"/>
    </row>
    <row r="519" customFormat="false" ht="15" hidden="false" customHeight="false" outlineLevel="0" collapsed="false">
      <c r="A519" s="35" t="s">
        <v>2674</v>
      </c>
      <c r="B519" s="35"/>
      <c r="C519" s="35" t="s">
        <v>632</v>
      </c>
      <c r="D519" s="35" t="s">
        <v>53</v>
      </c>
      <c r="E519" s="35"/>
      <c r="F519" s="35"/>
      <c r="G519" s="35" t="s">
        <v>421</v>
      </c>
      <c r="H519" s="35" t="s">
        <v>61</v>
      </c>
      <c r="I519" s="4"/>
    </row>
    <row r="520" customFormat="false" ht="15" hidden="false" customHeight="false" outlineLevel="0" collapsed="false">
      <c r="A520" s="35" t="s">
        <v>2675</v>
      </c>
      <c r="B520" s="35"/>
      <c r="C520" s="35" t="s">
        <v>632</v>
      </c>
      <c r="D520" s="35" t="s">
        <v>53</v>
      </c>
      <c r="E520" s="35"/>
      <c r="F520" s="35" t="s">
        <v>2022</v>
      </c>
      <c r="G520" s="35" t="s">
        <v>421</v>
      </c>
      <c r="H520" s="35" t="s">
        <v>61</v>
      </c>
      <c r="I520" s="4"/>
    </row>
    <row r="521" customFormat="false" ht="15" hidden="false" customHeight="false" outlineLevel="0" collapsed="false">
      <c r="A521" s="35" t="s">
        <v>2676</v>
      </c>
      <c r="B521" s="35"/>
      <c r="C521" s="35" t="s">
        <v>632</v>
      </c>
      <c r="D521" s="35" t="s">
        <v>53</v>
      </c>
      <c r="E521" s="35"/>
      <c r="F521" s="35"/>
      <c r="G521" s="35" t="s">
        <v>421</v>
      </c>
      <c r="H521" s="35" t="s">
        <v>61</v>
      </c>
      <c r="I521" s="4"/>
    </row>
    <row r="522" customFormat="false" ht="15" hidden="false" customHeight="false" outlineLevel="0" collapsed="false">
      <c r="A522" s="35" t="s">
        <v>2677</v>
      </c>
      <c r="B522" s="35"/>
      <c r="C522" s="35" t="s">
        <v>632</v>
      </c>
      <c r="D522" s="35" t="s">
        <v>53</v>
      </c>
      <c r="E522" s="35"/>
      <c r="F522" s="35"/>
      <c r="G522" s="35" t="s">
        <v>421</v>
      </c>
      <c r="H522" s="35" t="s">
        <v>61</v>
      </c>
      <c r="I522" s="4"/>
    </row>
    <row r="523" customFormat="false" ht="15" hidden="false" customHeight="false" outlineLevel="0" collapsed="false">
      <c r="A523" s="35" t="s">
        <v>2678</v>
      </c>
      <c r="B523" s="35"/>
      <c r="C523" s="35" t="s">
        <v>632</v>
      </c>
      <c r="D523" s="35" t="s">
        <v>53</v>
      </c>
      <c r="E523" s="35"/>
      <c r="F523" s="35"/>
      <c r="G523" s="35" t="s">
        <v>421</v>
      </c>
      <c r="H523" s="35" t="s">
        <v>61</v>
      </c>
      <c r="I523" s="4"/>
    </row>
    <row r="524" customFormat="false" ht="15" hidden="false" customHeight="false" outlineLevel="0" collapsed="false">
      <c r="A524" s="35" t="s">
        <v>2679</v>
      </c>
      <c r="B524" s="35"/>
      <c r="C524" s="35" t="s">
        <v>632</v>
      </c>
      <c r="D524" s="35" t="s">
        <v>53</v>
      </c>
      <c r="E524" s="35"/>
      <c r="F524" s="35"/>
      <c r="G524" s="35" t="s">
        <v>421</v>
      </c>
      <c r="H524" s="35" t="s">
        <v>61</v>
      </c>
      <c r="I524" s="4"/>
    </row>
    <row r="525" customFormat="false" ht="15" hidden="false" customHeight="false" outlineLevel="0" collapsed="false">
      <c r="A525" s="35" t="s">
        <v>2680</v>
      </c>
      <c r="B525" s="35"/>
      <c r="C525" s="35" t="s">
        <v>632</v>
      </c>
      <c r="D525" s="35" t="s">
        <v>53</v>
      </c>
      <c r="E525" s="35"/>
      <c r="F525" s="35"/>
      <c r="G525" s="35" t="s">
        <v>421</v>
      </c>
      <c r="H525" s="35" t="s">
        <v>61</v>
      </c>
      <c r="I525" s="4"/>
    </row>
    <row r="526" customFormat="false" ht="15" hidden="false" customHeight="false" outlineLevel="0" collapsed="false">
      <c r="A526" s="35" t="s">
        <v>2681</v>
      </c>
      <c r="B526" s="35"/>
      <c r="C526" s="35" t="s">
        <v>632</v>
      </c>
      <c r="D526" s="35" t="s">
        <v>53</v>
      </c>
      <c r="E526" s="35"/>
      <c r="F526" s="35"/>
      <c r="G526" s="35" t="s">
        <v>421</v>
      </c>
      <c r="H526" s="35" t="s">
        <v>61</v>
      </c>
      <c r="I526" s="4"/>
    </row>
    <row r="527" customFormat="false" ht="15" hidden="false" customHeight="false" outlineLevel="0" collapsed="false">
      <c r="A527" s="35" t="s">
        <v>2682</v>
      </c>
      <c r="B527" s="35"/>
      <c r="C527" s="35" t="s">
        <v>632</v>
      </c>
      <c r="D527" s="35" t="s">
        <v>53</v>
      </c>
      <c r="E527" s="35"/>
      <c r="F527" s="35"/>
      <c r="G527" s="35" t="s">
        <v>421</v>
      </c>
      <c r="H527" s="35" t="s">
        <v>61</v>
      </c>
      <c r="I527" s="4"/>
    </row>
    <row r="528" customFormat="false" ht="15" hidden="false" customHeight="false" outlineLevel="0" collapsed="false">
      <c r="A528" s="35" t="s">
        <v>2683</v>
      </c>
      <c r="B528" s="35"/>
      <c r="C528" s="35" t="s">
        <v>632</v>
      </c>
      <c r="D528" s="35" t="s">
        <v>53</v>
      </c>
      <c r="E528" s="35"/>
      <c r="F528" s="35"/>
      <c r="G528" s="35" t="s">
        <v>421</v>
      </c>
      <c r="H528" s="35" t="s">
        <v>61</v>
      </c>
      <c r="I528" s="4"/>
    </row>
    <row r="529" customFormat="false" ht="15" hidden="false" customHeight="false" outlineLevel="0" collapsed="false">
      <c r="A529" s="35" t="s">
        <v>2684</v>
      </c>
      <c r="B529" s="35"/>
      <c r="C529" s="35" t="s">
        <v>632</v>
      </c>
      <c r="D529" s="35" t="s">
        <v>53</v>
      </c>
      <c r="E529" s="35"/>
      <c r="F529" s="35"/>
      <c r="G529" s="35" t="s">
        <v>421</v>
      </c>
      <c r="H529" s="35" t="s">
        <v>61</v>
      </c>
      <c r="I529" s="4"/>
    </row>
    <row r="530" customFormat="false" ht="15" hidden="false" customHeight="false" outlineLevel="0" collapsed="false">
      <c r="A530" s="35" t="s">
        <v>2685</v>
      </c>
      <c r="B530" s="35"/>
      <c r="C530" s="35" t="s">
        <v>632</v>
      </c>
      <c r="D530" s="35" t="s">
        <v>53</v>
      </c>
      <c r="E530" s="35"/>
      <c r="F530" s="35"/>
      <c r="G530" s="35" t="s">
        <v>421</v>
      </c>
      <c r="H530" s="35" t="s">
        <v>61</v>
      </c>
      <c r="I530" s="4"/>
    </row>
    <row r="531" customFormat="false" ht="15" hidden="false" customHeight="false" outlineLevel="0" collapsed="false">
      <c r="A531" s="35" t="s">
        <v>2686</v>
      </c>
      <c r="B531" s="35"/>
      <c r="C531" s="35" t="s">
        <v>632</v>
      </c>
      <c r="D531" s="35" t="s">
        <v>53</v>
      </c>
      <c r="E531" s="35"/>
      <c r="F531" s="35"/>
      <c r="G531" s="35" t="s">
        <v>421</v>
      </c>
      <c r="H531" s="35" t="s">
        <v>61</v>
      </c>
      <c r="I531" s="4"/>
    </row>
    <row r="532" customFormat="false" ht="15" hidden="false" customHeight="false" outlineLevel="0" collapsed="false">
      <c r="A532" s="35" t="s">
        <v>2687</v>
      </c>
      <c r="B532" s="35"/>
      <c r="C532" s="35" t="s">
        <v>632</v>
      </c>
      <c r="D532" s="35" t="s">
        <v>53</v>
      </c>
      <c r="E532" s="35"/>
      <c r="F532" s="35"/>
      <c r="G532" s="35" t="s">
        <v>421</v>
      </c>
      <c r="H532" s="35" t="s">
        <v>61</v>
      </c>
      <c r="I532" s="4"/>
    </row>
    <row r="533" customFormat="false" ht="15" hidden="false" customHeight="false" outlineLevel="0" collapsed="false">
      <c r="A533" s="35" t="s">
        <v>2688</v>
      </c>
      <c r="B533" s="35"/>
      <c r="C533" s="35" t="s">
        <v>632</v>
      </c>
      <c r="D533" s="35" t="s">
        <v>53</v>
      </c>
      <c r="E533" s="35"/>
      <c r="F533" s="35"/>
      <c r="G533" s="35" t="s">
        <v>421</v>
      </c>
      <c r="H533" s="35" t="s">
        <v>61</v>
      </c>
      <c r="I533" s="4"/>
    </row>
    <row r="534" customFormat="false" ht="15" hidden="false" customHeight="false" outlineLevel="0" collapsed="false">
      <c r="A534" s="35" t="s">
        <v>2689</v>
      </c>
      <c r="B534" s="35"/>
      <c r="C534" s="35" t="s">
        <v>632</v>
      </c>
      <c r="D534" s="35" t="s">
        <v>53</v>
      </c>
      <c r="E534" s="35"/>
      <c r="F534" s="35"/>
      <c r="G534" s="35" t="s">
        <v>421</v>
      </c>
      <c r="H534" s="35" t="s">
        <v>61</v>
      </c>
      <c r="I534" s="4"/>
    </row>
    <row r="535" customFormat="false" ht="15" hidden="false" customHeight="false" outlineLevel="0" collapsed="false">
      <c r="A535" s="35" t="s">
        <v>2690</v>
      </c>
      <c r="B535" s="35"/>
      <c r="C535" s="35" t="s">
        <v>632</v>
      </c>
      <c r="D535" s="35" t="s">
        <v>114</v>
      </c>
      <c r="E535" s="35"/>
      <c r="F535" s="35"/>
      <c r="G535" s="35" t="s">
        <v>421</v>
      </c>
      <c r="H535" s="35" t="s">
        <v>61</v>
      </c>
      <c r="I535" s="4"/>
    </row>
    <row r="536" customFormat="false" ht="15" hidden="false" customHeight="false" outlineLevel="0" collapsed="false">
      <c r="A536" s="35" t="s">
        <v>2691</v>
      </c>
      <c r="B536" s="35"/>
      <c r="C536" s="35" t="s">
        <v>632</v>
      </c>
      <c r="D536" s="35" t="s">
        <v>114</v>
      </c>
      <c r="E536" s="35"/>
      <c r="F536" s="35"/>
      <c r="G536" s="35" t="s">
        <v>421</v>
      </c>
      <c r="H536" s="35" t="s">
        <v>61</v>
      </c>
      <c r="I536" s="4"/>
    </row>
    <row r="537" customFormat="false" ht="15" hidden="false" customHeight="false" outlineLevel="0" collapsed="false">
      <c r="A537" s="35" t="s">
        <v>2692</v>
      </c>
      <c r="B537" s="35"/>
      <c r="C537" s="35" t="s">
        <v>632</v>
      </c>
      <c r="D537" s="35" t="s">
        <v>114</v>
      </c>
      <c r="E537" s="35"/>
      <c r="F537" s="35"/>
      <c r="G537" s="35" t="s">
        <v>421</v>
      </c>
      <c r="H537" s="35" t="s">
        <v>61</v>
      </c>
      <c r="I537" s="4"/>
    </row>
    <row r="538" customFormat="false" ht="15" hidden="false" customHeight="false" outlineLevel="0" collapsed="false">
      <c r="A538" s="35" t="s">
        <v>2693</v>
      </c>
      <c r="B538" s="35"/>
      <c r="C538" s="35" t="s">
        <v>632</v>
      </c>
      <c r="D538" s="35" t="s">
        <v>114</v>
      </c>
      <c r="E538" s="35"/>
      <c r="F538" s="35"/>
      <c r="G538" s="35" t="s">
        <v>421</v>
      </c>
      <c r="H538" s="35" t="s">
        <v>61</v>
      </c>
      <c r="I538" s="4"/>
    </row>
    <row r="539" customFormat="false" ht="15" hidden="false" customHeight="false" outlineLevel="0" collapsed="false">
      <c r="A539" s="35" t="s">
        <v>2694</v>
      </c>
      <c r="B539" s="35"/>
      <c r="C539" s="35" t="s">
        <v>632</v>
      </c>
      <c r="D539" s="35" t="s">
        <v>114</v>
      </c>
      <c r="E539" s="35"/>
      <c r="F539" s="35"/>
      <c r="G539" s="35" t="s">
        <v>421</v>
      </c>
      <c r="H539" s="35" t="s">
        <v>61</v>
      </c>
      <c r="I539" s="4"/>
    </row>
    <row r="540" customFormat="false" ht="15" hidden="false" customHeight="false" outlineLevel="0" collapsed="false">
      <c r="A540" s="35" t="s">
        <v>2695</v>
      </c>
      <c r="B540" s="35"/>
      <c r="C540" s="35" t="s">
        <v>632</v>
      </c>
      <c r="D540" s="35" t="s">
        <v>114</v>
      </c>
      <c r="E540" s="35"/>
      <c r="F540" s="35"/>
      <c r="G540" s="35" t="s">
        <v>421</v>
      </c>
      <c r="H540" s="35" t="s">
        <v>61</v>
      </c>
      <c r="I540" s="4"/>
    </row>
    <row r="541" customFormat="false" ht="15" hidden="false" customHeight="false" outlineLevel="0" collapsed="false">
      <c r="A541" s="35" t="s">
        <v>2696</v>
      </c>
      <c r="B541" s="35"/>
      <c r="C541" s="35" t="s">
        <v>632</v>
      </c>
      <c r="D541" s="35" t="s">
        <v>114</v>
      </c>
      <c r="E541" s="35"/>
      <c r="F541" s="35"/>
      <c r="G541" s="35" t="s">
        <v>421</v>
      </c>
      <c r="H541" s="35" t="s">
        <v>61</v>
      </c>
      <c r="I541" s="4"/>
    </row>
    <row r="542" customFormat="false" ht="15" hidden="false" customHeight="false" outlineLevel="0" collapsed="false">
      <c r="A542" s="35" t="s">
        <v>2697</v>
      </c>
      <c r="B542" s="35"/>
      <c r="C542" s="35" t="s">
        <v>632</v>
      </c>
      <c r="D542" s="35" t="s">
        <v>114</v>
      </c>
      <c r="E542" s="35"/>
      <c r="F542" s="35"/>
      <c r="G542" s="35" t="s">
        <v>421</v>
      </c>
      <c r="H542" s="35" t="s">
        <v>61</v>
      </c>
      <c r="I542" s="4"/>
    </row>
    <row r="543" customFormat="false" ht="15" hidden="false" customHeight="false" outlineLevel="0" collapsed="false">
      <c r="A543" s="35" t="s">
        <v>2698</v>
      </c>
      <c r="B543" s="35"/>
      <c r="C543" s="35" t="s">
        <v>632</v>
      </c>
      <c r="D543" s="35" t="s">
        <v>114</v>
      </c>
      <c r="E543" s="35"/>
      <c r="F543" s="35"/>
      <c r="G543" s="35" t="s">
        <v>421</v>
      </c>
      <c r="H543" s="35" t="s">
        <v>61</v>
      </c>
      <c r="I543" s="4"/>
    </row>
    <row r="544" customFormat="false" ht="15" hidden="false" customHeight="false" outlineLevel="0" collapsed="false">
      <c r="A544" s="35" t="s">
        <v>2699</v>
      </c>
      <c r="B544" s="35"/>
      <c r="C544" s="35" t="s">
        <v>632</v>
      </c>
      <c r="D544" s="35" t="s">
        <v>114</v>
      </c>
      <c r="E544" s="35"/>
      <c r="F544" s="35"/>
      <c r="G544" s="35" t="s">
        <v>421</v>
      </c>
      <c r="H544" s="35" t="s">
        <v>61</v>
      </c>
      <c r="I544" s="4"/>
    </row>
    <row r="545" customFormat="false" ht="15" hidden="false" customHeight="false" outlineLevel="0" collapsed="false">
      <c r="A545" s="35" t="s">
        <v>2700</v>
      </c>
      <c r="B545" s="35"/>
      <c r="C545" s="35" t="s">
        <v>632</v>
      </c>
      <c r="D545" s="35" t="s">
        <v>53</v>
      </c>
      <c r="E545" s="35"/>
      <c r="F545" s="35"/>
      <c r="G545" s="35" t="s">
        <v>421</v>
      </c>
      <c r="H545" s="35" t="s">
        <v>61</v>
      </c>
      <c r="I545" s="4"/>
    </row>
    <row r="546" customFormat="false" ht="15" hidden="false" customHeight="false" outlineLevel="0" collapsed="false">
      <c r="A546" s="35" t="s">
        <v>2701</v>
      </c>
      <c r="B546" s="35"/>
      <c r="C546" s="35" t="s">
        <v>632</v>
      </c>
      <c r="D546" s="35" t="s">
        <v>53</v>
      </c>
      <c r="E546" s="35"/>
      <c r="F546" s="35"/>
      <c r="G546" s="35" t="s">
        <v>421</v>
      </c>
      <c r="H546" s="35" t="s">
        <v>61</v>
      </c>
      <c r="I546" s="4"/>
    </row>
    <row r="547" customFormat="false" ht="15" hidden="false" customHeight="false" outlineLevel="0" collapsed="false">
      <c r="A547" s="35" t="s">
        <v>2702</v>
      </c>
      <c r="B547" s="35"/>
      <c r="C547" s="35" t="s">
        <v>632</v>
      </c>
      <c r="D547" s="35" t="s">
        <v>53</v>
      </c>
      <c r="E547" s="35"/>
      <c r="F547" s="35"/>
      <c r="G547" s="35" t="s">
        <v>421</v>
      </c>
      <c r="H547" s="35" t="s">
        <v>61</v>
      </c>
      <c r="I547" s="4"/>
    </row>
    <row r="548" customFormat="false" ht="15" hidden="false" customHeight="false" outlineLevel="0" collapsed="false">
      <c r="A548" s="35" t="s">
        <v>2703</v>
      </c>
      <c r="B548" s="35"/>
      <c r="C548" s="35" t="s">
        <v>632</v>
      </c>
      <c r="D548" s="35" t="s">
        <v>53</v>
      </c>
      <c r="E548" s="35"/>
      <c r="F548" s="35"/>
      <c r="G548" s="35" t="s">
        <v>421</v>
      </c>
      <c r="H548" s="35" t="s">
        <v>61</v>
      </c>
      <c r="I548" s="4"/>
    </row>
    <row r="549" customFormat="false" ht="15" hidden="false" customHeight="false" outlineLevel="0" collapsed="false">
      <c r="A549" s="35" t="s">
        <v>2704</v>
      </c>
      <c r="B549" s="35"/>
      <c r="C549" s="35" t="s">
        <v>632</v>
      </c>
      <c r="D549" s="35" t="s">
        <v>53</v>
      </c>
      <c r="E549" s="35"/>
      <c r="F549" s="35"/>
      <c r="G549" s="35" t="s">
        <v>421</v>
      </c>
      <c r="H549" s="35" t="s">
        <v>61</v>
      </c>
      <c r="I549" s="4"/>
    </row>
    <row r="550" customFormat="false" ht="15" hidden="false" customHeight="false" outlineLevel="0" collapsed="false">
      <c r="A550" s="35" t="s">
        <v>2705</v>
      </c>
      <c r="B550" s="35"/>
      <c r="C550" s="35" t="s">
        <v>632</v>
      </c>
      <c r="D550" s="35" t="s">
        <v>53</v>
      </c>
      <c r="E550" s="35"/>
      <c r="F550" s="35"/>
      <c r="G550" s="35" t="s">
        <v>421</v>
      </c>
      <c r="H550" s="35" t="s">
        <v>61</v>
      </c>
      <c r="I550" s="4"/>
    </row>
    <row r="551" customFormat="false" ht="15" hidden="false" customHeight="false" outlineLevel="0" collapsed="false">
      <c r="A551" s="35" t="s">
        <v>2706</v>
      </c>
      <c r="B551" s="35"/>
      <c r="C551" s="35" t="s">
        <v>632</v>
      </c>
      <c r="D551" s="35" t="s">
        <v>53</v>
      </c>
      <c r="E551" s="35"/>
      <c r="F551" s="35"/>
      <c r="G551" s="35" t="s">
        <v>421</v>
      </c>
      <c r="H551" s="35" t="s">
        <v>61</v>
      </c>
      <c r="I551" s="4"/>
    </row>
    <row r="552" customFormat="false" ht="15" hidden="false" customHeight="false" outlineLevel="0" collapsed="false">
      <c r="A552" s="35" t="s">
        <v>2707</v>
      </c>
      <c r="B552" s="35"/>
      <c r="C552" s="35" t="s">
        <v>632</v>
      </c>
      <c r="D552" s="35" t="s">
        <v>447</v>
      </c>
      <c r="E552" s="35"/>
      <c r="F552" s="35"/>
      <c r="G552" s="35" t="s">
        <v>421</v>
      </c>
      <c r="H552" s="35" t="s">
        <v>61</v>
      </c>
      <c r="I552" s="4"/>
    </row>
    <row r="553" customFormat="false" ht="15" hidden="false" customHeight="false" outlineLevel="0" collapsed="false">
      <c r="A553" s="35" t="s">
        <v>2708</v>
      </c>
      <c r="B553" s="35"/>
      <c r="C553" s="35" t="s">
        <v>632</v>
      </c>
      <c r="D553" s="35" t="s">
        <v>53</v>
      </c>
      <c r="E553" s="35"/>
      <c r="F553" s="35"/>
      <c r="G553" s="35" t="s">
        <v>421</v>
      </c>
      <c r="H553" s="35" t="s">
        <v>61</v>
      </c>
      <c r="I553" s="4"/>
    </row>
    <row r="554" customFormat="false" ht="15" hidden="false" customHeight="false" outlineLevel="0" collapsed="false">
      <c r="A554" s="35" t="s">
        <v>2709</v>
      </c>
      <c r="B554" s="35"/>
      <c r="C554" s="35" t="s">
        <v>632</v>
      </c>
      <c r="D554" s="35" t="s">
        <v>53</v>
      </c>
      <c r="E554" s="35"/>
      <c r="F554" s="35"/>
      <c r="G554" s="35" t="s">
        <v>421</v>
      </c>
      <c r="H554" s="35" t="s">
        <v>61</v>
      </c>
      <c r="I554" s="4"/>
    </row>
    <row r="555" customFormat="false" ht="15" hidden="false" customHeight="false" outlineLevel="0" collapsed="false">
      <c r="A555" s="35" t="s">
        <v>2710</v>
      </c>
      <c r="B555" s="35"/>
      <c r="C555" s="35" t="s">
        <v>632</v>
      </c>
      <c r="D555" s="35" t="s">
        <v>53</v>
      </c>
      <c r="E555" s="35"/>
      <c r="F555" s="35"/>
      <c r="G555" s="35" t="s">
        <v>421</v>
      </c>
      <c r="H555" s="35" t="s">
        <v>61</v>
      </c>
      <c r="I555" s="4"/>
    </row>
    <row r="556" customFormat="false" ht="15" hidden="false" customHeight="false" outlineLevel="0" collapsed="false">
      <c r="A556" s="35" t="s">
        <v>2711</v>
      </c>
      <c r="B556" s="35"/>
      <c r="C556" s="35" t="s">
        <v>632</v>
      </c>
      <c r="D556" s="35" t="s">
        <v>53</v>
      </c>
      <c r="E556" s="35"/>
      <c r="F556" s="35"/>
      <c r="G556" s="35" t="s">
        <v>421</v>
      </c>
      <c r="H556" s="35" t="s">
        <v>61</v>
      </c>
      <c r="I556" s="4"/>
    </row>
    <row r="557" customFormat="false" ht="15" hidden="false" customHeight="false" outlineLevel="0" collapsed="false">
      <c r="A557" s="35" t="s">
        <v>2712</v>
      </c>
      <c r="B557" s="35"/>
      <c r="C557" s="35" t="s">
        <v>632</v>
      </c>
      <c r="D557" s="35" t="s">
        <v>53</v>
      </c>
      <c r="E557" s="35"/>
      <c r="F557" s="35"/>
      <c r="G557" s="35" t="s">
        <v>421</v>
      </c>
      <c r="H557" s="35" t="s">
        <v>61</v>
      </c>
      <c r="I557" s="4"/>
    </row>
    <row r="558" customFormat="false" ht="15" hidden="false" customHeight="false" outlineLevel="0" collapsed="false">
      <c r="A558" s="35" t="s">
        <v>2713</v>
      </c>
      <c r="B558" s="35"/>
      <c r="C558" s="35" t="s">
        <v>632</v>
      </c>
      <c r="D558" s="35" t="s">
        <v>114</v>
      </c>
      <c r="E558" s="35"/>
      <c r="F558" s="35"/>
      <c r="G558" s="35" t="s">
        <v>421</v>
      </c>
      <c r="H558" s="35" t="s">
        <v>61</v>
      </c>
      <c r="I558" s="4"/>
    </row>
    <row r="559" customFormat="false" ht="15" hidden="false" customHeight="false" outlineLevel="0" collapsed="false">
      <c r="A559" s="35" t="s">
        <v>2714</v>
      </c>
      <c r="B559" s="35"/>
      <c r="C559" s="35" t="s">
        <v>632</v>
      </c>
      <c r="D559" s="35" t="s">
        <v>114</v>
      </c>
      <c r="E559" s="35"/>
      <c r="F559" s="35"/>
      <c r="G559" s="35" t="s">
        <v>421</v>
      </c>
      <c r="H559" s="35" t="s">
        <v>61</v>
      </c>
      <c r="I559" s="4"/>
    </row>
    <row r="560" customFormat="false" ht="15" hidden="false" customHeight="false" outlineLevel="0" collapsed="false">
      <c r="A560" s="35" t="s">
        <v>2715</v>
      </c>
      <c r="B560" s="35"/>
      <c r="C560" s="35" t="s">
        <v>632</v>
      </c>
      <c r="D560" s="35" t="s">
        <v>114</v>
      </c>
      <c r="E560" s="35"/>
      <c r="F560" s="35"/>
      <c r="G560" s="35" t="s">
        <v>421</v>
      </c>
      <c r="H560" s="35" t="s">
        <v>61</v>
      </c>
      <c r="I560" s="4"/>
    </row>
    <row r="561" customFormat="false" ht="15" hidden="false" customHeight="false" outlineLevel="0" collapsed="false">
      <c r="A561" s="35" t="s">
        <v>2716</v>
      </c>
      <c r="B561" s="35"/>
      <c r="C561" s="35" t="s">
        <v>632</v>
      </c>
      <c r="D561" s="35" t="s">
        <v>447</v>
      </c>
      <c r="E561" s="35"/>
      <c r="F561" s="35" t="s">
        <v>2717</v>
      </c>
      <c r="G561" s="35" t="s">
        <v>421</v>
      </c>
      <c r="H561" s="35" t="s">
        <v>61</v>
      </c>
      <c r="I561" s="4"/>
    </row>
    <row r="562" customFormat="false" ht="15" hidden="false" customHeight="false" outlineLevel="0" collapsed="false">
      <c r="A562" s="35" t="s">
        <v>2718</v>
      </c>
      <c r="B562" s="35"/>
      <c r="C562" s="35" t="s">
        <v>632</v>
      </c>
      <c r="D562" s="35" t="s">
        <v>447</v>
      </c>
      <c r="E562" s="35"/>
      <c r="F562" s="35" t="s">
        <v>2717</v>
      </c>
      <c r="G562" s="35" t="s">
        <v>421</v>
      </c>
      <c r="H562" s="35" t="s">
        <v>61</v>
      </c>
      <c r="I562" s="4"/>
    </row>
    <row r="563" customFormat="false" ht="15" hidden="false" customHeight="false" outlineLevel="0" collapsed="false">
      <c r="A563" s="35" t="s">
        <v>2719</v>
      </c>
      <c r="B563" s="35"/>
      <c r="C563" s="35" t="s">
        <v>632</v>
      </c>
      <c r="D563" s="35" t="s">
        <v>146</v>
      </c>
      <c r="E563" s="35"/>
      <c r="F563" s="35" t="s">
        <v>2717</v>
      </c>
      <c r="G563" s="35" t="s">
        <v>421</v>
      </c>
      <c r="H563" s="35" t="s">
        <v>61</v>
      </c>
      <c r="I563" s="4"/>
    </row>
    <row r="564" customFormat="false" ht="15" hidden="false" customHeight="false" outlineLevel="0" collapsed="false">
      <c r="A564" s="35" t="s">
        <v>2720</v>
      </c>
      <c r="B564" s="35"/>
      <c r="C564" s="35" t="s">
        <v>632</v>
      </c>
      <c r="D564" s="35" t="s">
        <v>53</v>
      </c>
      <c r="E564" s="35"/>
      <c r="F564" s="35"/>
      <c r="G564" s="35" t="s">
        <v>421</v>
      </c>
      <c r="H564" s="35" t="s">
        <v>61</v>
      </c>
      <c r="I564" s="4"/>
    </row>
    <row r="565" customFormat="false" ht="15" hidden="false" customHeight="false" outlineLevel="0" collapsed="false">
      <c r="A565" s="35" t="s">
        <v>2721</v>
      </c>
      <c r="B565" s="35"/>
      <c r="C565" s="35" t="s">
        <v>632</v>
      </c>
      <c r="D565" s="35" t="s">
        <v>57</v>
      </c>
      <c r="E565" s="35" t="s">
        <v>857</v>
      </c>
      <c r="F565" s="35"/>
      <c r="G565" s="35" t="s">
        <v>421</v>
      </c>
      <c r="H565" s="35" t="s">
        <v>61</v>
      </c>
      <c r="I565" s="4"/>
    </row>
    <row r="566" customFormat="false" ht="15" hidden="false" customHeight="false" outlineLevel="0" collapsed="false">
      <c r="A566" s="35" t="s">
        <v>2722</v>
      </c>
      <c r="B566" s="35"/>
      <c r="C566" s="35" t="s">
        <v>632</v>
      </c>
      <c r="D566" s="35" t="s">
        <v>53</v>
      </c>
      <c r="E566" s="35"/>
      <c r="F566" s="35"/>
      <c r="G566" s="35" t="s">
        <v>421</v>
      </c>
      <c r="H566" s="35" t="s">
        <v>61</v>
      </c>
      <c r="I566" s="4"/>
    </row>
    <row r="567" customFormat="false" ht="15" hidden="false" customHeight="false" outlineLevel="0" collapsed="false">
      <c r="A567" s="35" t="s">
        <v>2723</v>
      </c>
      <c r="B567" s="35"/>
      <c r="C567" s="35" t="s">
        <v>632</v>
      </c>
      <c r="D567" s="35" t="s">
        <v>57</v>
      </c>
      <c r="E567" s="35" t="s">
        <v>857</v>
      </c>
      <c r="F567" s="35"/>
      <c r="G567" s="35" t="s">
        <v>421</v>
      </c>
      <c r="H567" s="35" t="s">
        <v>61</v>
      </c>
      <c r="I567" s="4"/>
    </row>
    <row r="568" customFormat="false" ht="15" hidden="false" customHeight="false" outlineLevel="0" collapsed="false">
      <c r="A568" s="35" t="s">
        <v>2724</v>
      </c>
      <c r="B568" s="35"/>
      <c r="C568" s="35" t="s">
        <v>632</v>
      </c>
      <c r="D568" s="35" t="s">
        <v>57</v>
      </c>
      <c r="E568" s="35" t="s">
        <v>506</v>
      </c>
      <c r="F568" s="35"/>
      <c r="G568" s="35" t="s">
        <v>421</v>
      </c>
      <c r="H568" s="35" t="s">
        <v>61</v>
      </c>
      <c r="I568" s="4"/>
    </row>
    <row r="569" customFormat="false" ht="15" hidden="false" customHeight="false" outlineLevel="0" collapsed="false">
      <c r="A569" s="35" t="s">
        <v>2725</v>
      </c>
      <c r="B569" s="35"/>
      <c r="C569" s="35" t="s">
        <v>632</v>
      </c>
      <c r="D569" s="35" t="s">
        <v>157</v>
      </c>
      <c r="E569" s="35"/>
      <c r="F569" s="35" t="s">
        <v>2147</v>
      </c>
      <c r="G569" s="35" t="s">
        <v>421</v>
      </c>
      <c r="H569" s="35" t="s">
        <v>61</v>
      </c>
      <c r="I569" s="4"/>
    </row>
    <row r="570" customFormat="false" ht="15" hidden="false" customHeight="false" outlineLevel="0" collapsed="false">
      <c r="A570" s="35" t="s">
        <v>2726</v>
      </c>
      <c r="B570" s="35"/>
      <c r="C570" s="35" t="s">
        <v>632</v>
      </c>
      <c r="D570" s="35" t="s">
        <v>157</v>
      </c>
      <c r="E570" s="35"/>
      <c r="F570" s="35"/>
      <c r="G570" s="35" t="s">
        <v>421</v>
      </c>
      <c r="H570" s="35" t="s">
        <v>61</v>
      </c>
      <c r="I570" s="4"/>
    </row>
    <row r="571" customFormat="false" ht="15" hidden="false" customHeight="false" outlineLevel="0" collapsed="false">
      <c r="A571" s="35" t="s">
        <v>2727</v>
      </c>
      <c r="B571" s="35"/>
      <c r="C571" s="35" t="s">
        <v>632</v>
      </c>
      <c r="D571" s="35" t="s">
        <v>53</v>
      </c>
      <c r="E571" s="35"/>
      <c r="F571" s="35"/>
      <c r="G571" s="35" t="s">
        <v>421</v>
      </c>
      <c r="H571" s="35" t="s">
        <v>61</v>
      </c>
      <c r="I571" s="4"/>
    </row>
    <row r="572" customFormat="false" ht="15" hidden="false" customHeight="false" outlineLevel="0" collapsed="false">
      <c r="A572" s="35" t="s">
        <v>2728</v>
      </c>
      <c r="B572" s="35"/>
      <c r="C572" s="35" t="s">
        <v>632</v>
      </c>
      <c r="D572" s="35" t="s">
        <v>57</v>
      </c>
      <c r="E572" s="35" t="s">
        <v>45</v>
      </c>
      <c r="F572" s="35"/>
      <c r="G572" s="35" t="s">
        <v>421</v>
      </c>
      <c r="H572" s="35" t="s">
        <v>61</v>
      </c>
      <c r="I572" s="4"/>
    </row>
    <row r="573" customFormat="false" ht="15" hidden="false" customHeight="false" outlineLevel="0" collapsed="false">
      <c r="A573" s="35" t="s">
        <v>2729</v>
      </c>
      <c r="B573" s="35"/>
      <c r="C573" s="35" t="s">
        <v>632</v>
      </c>
      <c r="D573" s="35" t="s">
        <v>57</v>
      </c>
      <c r="E573" s="35" t="s">
        <v>45</v>
      </c>
      <c r="F573" s="35"/>
      <c r="G573" s="35" t="s">
        <v>421</v>
      </c>
      <c r="H573" s="35" t="s">
        <v>61</v>
      </c>
      <c r="I573" s="4"/>
    </row>
    <row r="574" customFormat="false" ht="15" hidden="false" customHeight="false" outlineLevel="0" collapsed="false">
      <c r="A574" s="35" t="s">
        <v>2730</v>
      </c>
      <c r="B574" s="35"/>
      <c r="C574" s="35" t="s">
        <v>632</v>
      </c>
      <c r="D574" s="35" t="s">
        <v>53</v>
      </c>
      <c r="E574" s="35"/>
      <c r="F574" s="35"/>
      <c r="G574" s="35" t="s">
        <v>421</v>
      </c>
      <c r="H574" s="35" t="s">
        <v>61</v>
      </c>
      <c r="I574" s="4"/>
    </row>
    <row r="575" customFormat="false" ht="15" hidden="false" customHeight="false" outlineLevel="0" collapsed="false">
      <c r="A575" s="35" t="s">
        <v>2731</v>
      </c>
      <c r="B575" s="35"/>
      <c r="C575" s="35" t="s">
        <v>632</v>
      </c>
      <c r="D575" s="35" t="s">
        <v>53</v>
      </c>
      <c r="E575" s="35"/>
      <c r="F575" s="35"/>
      <c r="G575" s="35" t="s">
        <v>421</v>
      </c>
      <c r="H575" s="35" t="s">
        <v>61</v>
      </c>
      <c r="I575" s="4"/>
    </row>
    <row r="576" customFormat="false" ht="15" hidden="false" customHeight="false" outlineLevel="0" collapsed="false">
      <c r="A576" s="35" t="s">
        <v>2732</v>
      </c>
      <c r="B576" s="35"/>
      <c r="C576" s="35" t="s">
        <v>632</v>
      </c>
      <c r="D576" s="35" t="s">
        <v>53</v>
      </c>
      <c r="E576" s="35"/>
      <c r="F576" s="35"/>
      <c r="G576" s="35" t="s">
        <v>421</v>
      </c>
      <c r="H576" s="35" t="s">
        <v>61</v>
      </c>
      <c r="I576" s="4"/>
    </row>
    <row r="577" customFormat="false" ht="15" hidden="false" customHeight="false" outlineLevel="0" collapsed="false">
      <c r="A577" s="35" t="s">
        <v>2733</v>
      </c>
      <c r="B577" s="35"/>
      <c r="C577" s="35" t="s">
        <v>632</v>
      </c>
      <c r="D577" s="35" t="s">
        <v>53</v>
      </c>
      <c r="E577" s="35"/>
      <c r="F577" s="35"/>
      <c r="G577" s="35" t="s">
        <v>421</v>
      </c>
      <c r="H577" s="35" t="s">
        <v>61</v>
      </c>
      <c r="I577" s="4"/>
    </row>
    <row r="578" customFormat="false" ht="15" hidden="false" customHeight="false" outlineLevel="0" collapsed="false">
      <c r="A578" s="35" t="s">
        <v>2734</v>
      </c>
      <c r="B578" s="35"/>
      <c r="C578" s="35" t="s">
        <v>632</v>
      </c>
      <c r="D578" s="35" t="s">
        <v>53</v>
      </c>
      <c r="E578" s="35"/>
      <c r="F578" s="35"/>
      <c r="G578" s="35" t="s">
        <v>421</v>
      </c>
      <c r="H578" s="35" t="s">
        <v>61</v>
      </c>
      <c r="I578" s="4"/>
    </row>
    <row r="579" customFormat="false" ht="15" hidden="false" customHeight="false" outlineLevel="0" collapsed="false">
      <c r="A579" s="35" t="s">
        <v>2735</v>
      </c>
      <c r="B579" s="35"/>
      <c r="C579" s="35" t="s">
        <v>632</v>
      </c>
      <c r="D579" s="35" t="s">
        <v>53</v>
      </c>
      <c r="E579" s="35"/>
      <c r="F579" s="35"/>
      <c r="G579" s="35" t="s">
        <v>421</v>
      </c>
      <c r="H579" s="35" t="s">
        <v>61</v>
      </c>
      <c r="I579" s="4"/>
    </row>
    <row r="580" customFormat="false" ht="15" hidden="false" customHeight="false" outlineLevel="0" collapsed="false">
      <c r="A580" s="35" t="s">
        <v>2736</v>
      </c>
      <c r="B580" s="35" t="s">
        <v>2737</v>
      </c>
      <c r="C580" s="35" t="s">
        <v>632</v>
      </c>
      <c r="D580" s="35" t="s">
        <v>53</v>
      </c>
      <c r="E580" s="35"/>
      <c r="F580" s="35"/>
      <c r="G580" s="35" t="s">
        <v>421</v>
      </c>
      <c r="H580" s="35" t="s">
        <v>61</v>
      </c>
      <c r="I580" s="4"/>
    </row>
    <row r="581" customFormat="false" ht="15" hidden="false" customHeight="false" outlineLevel="0" collapsed="false">
      <c r="A581" s="35" t="s">
        <v>2738</v>
      </c>
      <c r="B581" s="35"/>
      <c r="C581" s="35" t="s">
        <v>632</v>
      </c>
      <c r="D581" s="35" t="s">
        <v>53</v>
      </c>
      <c r="E581" s="35"/>
      <c r="F581" s="35"/>
      <c r="G581" s="35" t="s">
        <v>421</v>
      </c>
      <c r="H581" s="35" t="s">
        <v>61</v>
      </c>
      <c r="I581" s="4"/>
    </row>
    <row r="582" customFormat="false" ht="15" hidden="false" customHeight="false" outlineLevel="0" collapsed="false">
      <c r="A582" s="35" t="s">
        <v>2739</v>
      </c>
      <c r="B582" s="35"/>
      <c r="C582" s="35" t="s">
        <v>632</v>
      </c>
      <c r="D582" s="35" t="s">
        <v>53</v>
      </c>
      <c r="E582" s="35"/>
      <c r="F582" s="35"/>
      <c r="G582" s="35" t="s">
        <v>421</v>
      </c>
      <c r="H582" s="35" t="s">
        <v>61</v>
      </c>
      <c r="I582" s="4"/>
    </row>
    <row r="583" customFormat="false" ht="15" hidden="false" customHeight="false" outlineLevel="0" collapsed="false">
      <c r="A583" s="35" t="s">
        <v>2740</v>
      </c>
      <c r="B583" s="35"/>
      <c r="C583" s="35" t="s">
        <v>632</v>
      </c>
      <c r="D583" s="35" t="s">
        <v>53</v>
      </c>
      <c r="E583" s="35"/>
      <c r="F583" s="35"/>
      <c r="G583" s="35" t="s">
        <v>421</v>
      </c>
      <c r="H583" s="35" t="s">
        <v>61</v>
      </c>
      <c r="I583" s="4"/>
    </row>
    <row r="584" customFormat="false" ht="15" hidden="false" customHeight="false" outlineLevel="0" collapsed="false">
      <c r="A584" s="35" t="s">
        <v>2741</v>
      </c>
      <c r="B584" s="35"/>
      <c r="C584" s="35" t="s">
        <v>632</v>
      </c>
      <c r="D584" s="35" t="s">
        <v>53</v>
      </c>
      <c r="E584" s="35"/>
      <c r="F584" s="35"/>
      <c r="G584" s="35" t="s">
        <v>421</v>
      </c>
      <c r="H584" s="35" t="s">
        <v>61</v>
      </c>
      <c r="I584" s="4"/>
    </row>
    <row r="585" customFormat="false" ht="15" hidden="false" customHeight="false" outlineLevel="0" collapsed="false">
      <c r="A585" s="35" t="s">
        <v>2742</v>
      </c>
      <c r="B585" s="35"/>
      <c r="C585" s="35" t="s">
        <v>632</v>
      </c>
      <c r="D585" s="35" t="s">
        <v>53</v>
      </c>
      <c r="E585" s="35"/>
      <c r="F585" s="35"/>
      <c r="G585" s="35" t="s">
        <v>421</v>
      </c>
      <c r="H585" s="35" t="s">
        <v>61</v>
      </c>
      <c r="I585" s="4"/>
    </row>
    <row r="586" customFormat="false" ht="15" hidden="false" customHeight="false" outlineLevel="0" collapsed="false">
      <c r="A586" s="35" t="s">
        <v>2743</v>
      </c>
      <c r="B586" s="35"/>
      <c r="C586" s="35" t="s">
        <v>632</v>
      </c>
      <c r="D586" s="35" t="s">
        <v>114</v>
      </c>
      <c r="E586" s="35"/>
      <c r="F586" s="35"/>
      <c r="G586" s="35" t="s">
        <v>421</v>
      </c>
      <c r="H586" s="35" t="s">
        <v>61</v>
      </c>
      <c r="I586" s="4"/>
    </row>
    <row r="587" customFormat="false" ht="15" hidden="false" customHeight="false" outlineLevel="0" collapsed="false">
      <c r="A587" s="35" t="s">
        <v>2744</v>
      </c>
      <c r="B587" s="35"/>
      <c r="C587" s="35" t="s">
        <v>632</v>
      </c>
      <c r="D587" s="35" t="s">
        <v>114</v>
      </c>
      <c r="E587" s="35"/>
      <c r="F587" s="35"/>
      <c r="G587" s="35" t="s">
        <v>421</v>
      </c>
      <c r="H587" s="35" t="s">
        <v>61</v>
      </c>
      <c r="I587" s="4"/>
    </row>
    <row r="588" customFormat="false" ht="15" hidden="false" customHeight="false" outlineLevel="0" collapsed="false">
      <c r="A588" s="35" t="s">
        <v>2745</v>
      </c>
      <c r="B588" s="35"/>
      <c r="C588" s="35" t="s">
        <v>632</v>
      </c>
      <c r="D588" s="35" t="s">
        <v>114</v>
      </c>
      <c r="E588" s="35"/>
      <c r="F588" s="35"/>
      <c r="G588" s="35" t="s">
        <v>421</v>
      </c>
      <c r="H588" s="35" t="s">
        <v>61</v>
      </c>
      <c r="I588" s="4"/>
    </row>
    <row r="589" customFormat="false" ht="15" hidden="false" customHeight="false" outlineLevel="0" collapsed="false">
      <c r="A589" s="35" t="s">
        <v>2746</v>
      </c>
      <c r="B589" s="35"/>
      <c r="C589" s="35" t="s">
        <v>632</v>
      </c>
      <c r="D589" s="35" t="s">
        <v>114</v>
      </c>
      <c r="E589" s="35"/>
      <c r="F589" s="35" t="s">
        <v>2022</v>
      </c>
      <c r="G589" s="35" t="s">
        <v>421</v>
      </c>
      <c r="H589" s="35" t="s">
        <v>61</v>
      </c>
      <c r="I589" s="4"/>
    </row>
    <row r="590" customFormat="false" ht="15" hidden="false" customHeight="false" outlineLevel="0" collapsed="false">
      <c r="A590" s="35" t="s">
        <v>2747</v>
      </c>
      <c r="B590" s="35"/>
      <c r="C590" s="35" t="s">
        <v>632</v>
      </c>
      <c r="D590" s="35" t="s">
        <v>114</v>
      </c>
      <c r="E590" s="35"/>
      <c r="F590" s="35"/>
      <c r="G590" s="35" t="s">
        <v>421</v>
      </c>
      <c r="H590" s="35" t="s">
        <v>61</v>
      </c>
      <c r="I590" s="4"/>
    </row>
    <row r="591" customFormat="false" ht="15" hidden="false" customHeight="false" outlineLevel="0" collapsed="false">
      <c r="A591" s="35" t="s">
        <v>2748</v>
      </c>
      <c r="B591" s="35"/>
      <c r="C591" s="35" t="s">
        <v>632</v>
      </c>
      <c r="D591" s="35" t="s">
        <v>114</v>
      </c>
      <c r="E591" s="35"/>
      <c r="F591" s="35"/>
      <c r="G591" s="35" t="s">
        <v>421</v>
      </c>
      <c r="H591" s="35" t="s">
        <v>61</v>
      </c>
      <c r="I591" s="4"/>
    </row>
    <row r="592" customFormat="false" ht="15" hidden="false" customHeight="false" outlineLevel="0" collapsed="false">
      <c r="A592" s="35" t="s">
        <v>2749</v>
      </c>
      <c r="B592" s="35"/>
      <c r="C592" s="35" t="s">
        <v>632</v>
      </c>
      <c r="D592" s="35" t="s">
        <v>114</v>
      </c>
      <c r="E592" s="35"/>
      <c r="F592" s="35"/>
      <c r="G592" s="35" t="s">
        <v>421</v>
      </c>
      <c r="H592" s="35" t="s">
        <v>61</v>
      </c>
      <c r="I592" s="4"/>
    </row>
    <row r="593" customFormat="false" ht="15" hidden="false" customHeight="false" outlineLevel="0" collapsed="false">
      <c r="A593" s="35" t="s">
        <v>2750</v>
      </c>
      <c r="B593" s="35"/>
      <c r="C593" s="35" t="s">
        <v>632</v>
      </c>
      <c r="D593" s="35" t="s">
        <v>114</v>
      </c>
      <c r="E593" s="35"/>
      <c r="F593" s="35"/>
      <c r="G593" s="35" t="s">
        <v>421</v>
      </c>
      <c r="H593" s="35" t="s">
        <v>61</v>
      </c>
      <c r="I593" s="4"/>
    </row>
    <row r="594" customFormat="false" ht="15" hidden="false" customHeight="false" outlineLevel="0" collapsed="false">
      <c r="A594" s="35" t="s">
        <v>2751</v>
      </c>
      <c r="B594" s="35"/>
      <c r="C594" s="35" t="s">
        <v>632</v>
      </c>
      <c r="D594" s="35" t="s">
        <v>114</v>
      </c>
      <c r="E594" s="35"/>
      <c r="F594" s="35"/>
      <c r="G594" s="35" t="s">
        <v>421</v>
      </c>
      <c r="H594" s="35" t="s">
        <v>61</v>
      </c>
      <c r="I594" s="4"/>
    </row>
    <row r="595" customFormat="false" ht="15" hidden="false" customHeight="false" outlineLevel="0" collapsed="false">
      <c r="A595" s="35" t="s">
        <v>2752</v>
      </c>
      <c r="B595" s="35"/>
      <c r="C595" s="35" t="s">
        <v>632</v>
      </c>
      <c r="D595" s="35" t="s">
        <v>114</v>
      </c>
      <c r="E595" s="35"/>
      <c r="F595" s="35"/>
      <c r="G595" s="35" t="s">
        <v>421</v>
      </c>
      <c r="H595" s="35" t="s">
        <v>61</v>
      </c>
      <c r="I595" s="4"/>
    </row>
    <row r="596" customFormat="false" ht="15" hidden="false" customHeight="false" outlineLevel="0" collapsed="false">
      <c r="A596" s="35" t="s">
        <v>2753</v>
      </c>
      <c r="B596" s="35"/>
      <c r="C596" s="35" t="s">
        <v>632</v>
      </c>
      <c r="D596" s="35" t="s">
        <v>114</v>
      </c>
      <c r="E596" s="35"/>
      <c r="F596" s="35"/>
      <c r="G596" s="35" t="s">
        <v>421</v>
      </c>
      <c r="H596" s="35" t="s">
        <v>61</v>
      </c>
      <c r="I596" s="4"/>
    </row>
    <row r="597" customFormat="false" ht="15" hidden="false" customHeight="false" outlineLevel="0" collapsed="false">
      <c r="A597" s="35" t="s">
        <v>2754</v>
      </c>
      <c r="B597" s="35"/>
      <c r="C597" s="35" t="s">
        <v>632</v>
      </c>
      <c r="D597" s="35" t="s">
        <v>114</v>
      </c>
      <c r="E597" s="35"/>
      <c r="F597" s="35"/>
      <c r="G597" s="35" t="s">
        <v>421</v>
      </c>
      <c r="H597" s="35" t="s">
        <v>61</v>
      </c>
      <c r="I597" s="4"/>
    </row>
    <row r="598" customFormat="false" ht="15" hidden="false" customHeight="false" outlineLevel="0" collapsed="false">
      <c r="A598" s="35" t="s">
        <v>2755</v>
      </c>
      <c r="B598" s="35"/>
      <c r="C598" s="35" t="s">
        <v>632</v>
      </c>
      <c r="D598" s="35" t="s">
        <v>114</v>
      </c>
      <c r="E598" s="35"/>
      <c r="F598" s="35"/>
      <c r="G598" s="35" t="s">
        <v>421</v>
      </c>
      <c r="H598" s="35" t="s">
        <v>61</v>
      </c>
      <c r="I598" s="4"/>
    </row>
    <row r="599" customFormat="false" ht="15" hidden="false" customHeight="false" outlineLevel="0" collapsed="false">
      <c r="A599" s="35" t="s">
        <v>2756</v>
      </c>
      <c r="B599" s="35"/>
      <c r="C599" s="35" t="s">
        <v>632</v>
      </c>
      <c r="D599" s="35" t="s">
        <v>114</v>
      </c>
      <c r="E599" s="35"/>
      <c r="F599" s="35"/>
      <c r="G599" s="35" t="s">
        <v>421</v>
      </c>
      <c r="H599" s="35" t="s">
        <v>61</v>
      </c>
      <c r="I599" s="4"/>
    </row>
    <row r="600" customFormat="false" ht="15" hidden="false" customHeight="false" outlineLevel="0" collapsed="false">
      <c r="A600" s="35" t="s">
        <v>2757</v>
      </c>
      <c r="B600" s="35"/>
      <c r="C600" s="35" t="s">
        <v>632</v>
      </c>
      <c r="D600" s="35" t="s">
        <v>114</v>
      </c>
      <c r="E600" s="35"/>
      <c r="F600" s="35"/>
      <c r="G600" s="35" t="s">
        <v>421</v>
      </c>
      <c r="H600" s="35" t="s">
        <v>61</v>
      </c>
      <c r="I600" s="4"/>
    </row>
    <row r="601" customFormat="false" ht="15" hidden="false" customHeight="false" outlineLevel="0" collapsed="false">
      <c r="A601" s="35" t="s">
        <v>2758</v>
      </c>
      <c r="B601" s="35"/>
      <c r="C601" s="35" t="s">
        <v>632</v>
      </c>
      <c r="D601" s="35" t="s">
        <v>114</v>
      </c>
      <c r="E601" s="35"/>
      <c r="F601" s="35"/>
      <c r="G601" s="35" t="s">
        <v>421</v>
      </c>
      <c r="H601" s="35" t="s">
        <v>61</v>
      </c>
      <c r="I601" s="4"/>
    </row>
    <row r="602" customFormat="false" ht="15" hidden="false" customHeight="false" outlineLevel="0" collapsed="false">
      <c r="A602" s="35" t="s">
        <v>2759</v>
      </c>
      <c r="B602" s="35"/>
      <c r="C602" s="35" t="s">
        <v>632</v>
      </c>
      <c r="D602" s="35" t="s">
        <v>114</v>
      </c>
      <c r="E602" s="35"/>
      <c r="F602" s="35"/>
      <c r="G602" s="35" t="s">
        <v>421</v>
      </c>
      <c r="H602" s="35" t="s">
        <v>61</v>
      </c>
      <c r="I602" s="4"/>
    </row>
    <row r="603" customFormat="false" ht="15" hidden="false" customHeight="false" outlineLevel="0" collapsed="false">
      <c r="A603" s="35" t="s">
        <v>2760</v>
      </c>
      <c r="B603" s="35"/>
      <c r="C603" s="35" t="s">
        <v>632</v>
      </c>
      <c r="D603" s="35" t="s">
        <v>114</v>
      </c>
      <c r="E603" s="35"/>
      <c r="F603" s="35"/>
      <c r="G603" s="35" t="s">
        <v>421</v>
      </c>
      <c r="H603" s="35" t="s">
        <v>61</v>
      </c>
      <c r="I603" s="4"/>
    </row>
    <row r="604" customFormat="false" ht="15" hidden="false" customHeight="false" outlineLevel="0" collapsed="false">
      <c r="A604" s="35" t="s">
        <v>2761</v>
      </c>
      <c r="B604" s="35"/>
      <c r="C604" s="35" t="s">
        <v>632</v>
      </c>
      <c r="D604" s="35" t="s">
        <v>114</v>
      </c>
      <c r="E604" s="35"/>
      <c r="F604" s="35"/>
      <c r="G604" s="35" t="s">
        <v>421</v>
      </c>
      <c r="H604" s="35" t="s">
        <v>61</v>
      </c>
      <c r="I604" s="4"/>
    </row>
    <row r="605" customFormat="false" ht="15" hidden="false" customHeight="false" outlineLevel="0" collapsed="false">
      <c r="A605" s="35" t="s">
        <v>2762</v>
      </c>
      <c r="B605" s="35"/>
      <c r="C605" s="35" t="s">
        <v>632</v>
      </c>
      <c r="D605" s="35" t="s">
        <v>114</v>
      </c>
      <c r="E605" s="35"/>
      <c r="F605" s="35"/>
      <c r="G605" s="35" t="s">
        <v>421</v>
      </c>
      <c r="H605" s="35" t="s">
        <v>61</v>
      </c>
      <c r="I605" s="4"/>
    </row>
    <row r="606" customFormat="false" ht="15" hidden="false" customHeight="false" outlineLevel="0" collapsed="false">
      <c r="A606" s="35" t="s">
        <v>2763</v>
      </c>
      <c r="B606" s="35"/>
      <c r="C606" s="35" t="s">
        <v>632</v>
      </c>
      <c r="D606" s="35" t="s">
        <v>114</v>
      </c>
      <c r="E606" s="35"/>
      <c r="F606" s="35"/>
      <c r="G606" s="35" t="s">
        <v>421</v>
      </c>
      <c r="H606" s="35" t="s">
        <v>61</v>
      </c>
      <c r="I606" s="4"/>
    </row>
    <row r="607" customFormat="false" ht="15" hidden="false" customHeight="false" outlineLevel="0" collapsed="false">
      <c r="A607" s="35" t="s">
        <v>2764</v>
      </c>
      <c r="B607" s="35"/>
      <c r="C607" s="35" t="s">
        <v>632</v>
      </c>
      <c r="D607" s="35" t="s">
        <v>114</v>
      </c>
      <c r="E607" s="35"/>
      <c r="F607" s="35"/>
      <c r="G607" s="35" t="s">
        <v>421</v>
      </c>
      <c r="H607" s="35" t="s">
        <v>61</v>
      </c>
      <c r="I607" s="4"/>
    </row>
    <row r="608" customFormat="false" ht="15" hidden="false" customHeight="false" outlineLevel="0" collapsed="false">
      <c r="A608" s="35" t="s">
        <v>2765</v>
      </c>
      <c r="B608" s="35"/>
      <c r="C608" s="35" t="s">
        <v>632</v>
      </c>
      <c r="D608" s="35" t="s">
        <v>114</v>
      </c>
      <c r="E608" s="35"/>
      <c r="F608" s="35"/>
      <c r="G608" s="35" t="s">
        <v>421</v>
      </c>
      <c r="H608" s="35" t="s">
        <v>61</v>
      </c>
      <c r="I608" s="4"/>
    </row>
    <row r="609" customFormat="false" ht="15" hidden="false" customHeight="false" outlineLevel="0" collapsed="false">
      <c r="A609" s="35" t="s">
        <v>2766</v>
      </c>
      <c r="B609" s="35"/>
      <c r="C609" s="35" t="s">
        <v>632</v>
      </c>
      <c r="D609" s="35" t="s">
        <v>53</v>
      </c>
      <c r="E609" s="35"/>
      <c r="F609" s="35"/>
      <c r="G609" s="35" t="s">
        <v>421</v>
      </c>
      <c r="H609" s="35" t="s">
        <v>61</v>
      </c>
      <c r="I609" s="4"/>
    </row>
    <row r="610" customFormat="false" ht="15" hidden="false" customHeight="false" outlineLevel="0" collapsed="false">
      <c r="A610" s="35" t="s">
        <v>2767</v>
      </c>
      <c r="B610" s="35"/>
      <c r="C610" s="35" t="s">
        <v>632</v>
      </c>
      <c r="D610" s="35" t="s">
        <v>57</v>
      </c>
      <c r="E610" s="35" t="s">
        <v>247</v>
      </c>
      <c r="F610" s="35"/>
      <c r="G610" s="35" t="s">
        <v>421</v>
      </c>
      <c r="H610" s="35" t="s">
        <v>61</v>
      </c>
      <c r="I610" s="4"/>
    </row>
    <row r="611" customFormat="false" ht="15" hidden="false" customHeight="false" outlineLevel="0" collapsed="false">
      <c r="A611" s="35" t="s">
        <v>2768</v>
      </c>
      <c r="B611" s="35"/>
      <c r="C611" s="35" t="s">
        <v>632</v>
      </c>
      <c r="D611" s="35" t="s">
        <v>57</v>
      </c>
      <c r="E611" s="35" t="s">
        <v>247</v>
      </c>
      <c r="F611" s="35"/>
      <c r="G611" s="35" t="s">
        <v>421</v>
      </c>
      <c r="H611" s="35" t="s">
        <v>61</v>
      </c>
      <c r="I611" s="4"/>
    </row>
    <row r="612" customFormat="false" ht="15" hidden="false" customHeight="false" outlineLevel="0" collapsed="false">
      <c r="A612" s="35" t="s">
        <v>2769</v>
      </c>
      <c r="B612" s="35"/>
      <c r="C612" s="35" t="s">
        <v>632</v>
      </c>
      <c r="D612" s="35" t="s">
        <v>57</v>
      </c>
      <c r="E612" s="35" t="s">
        <v>262</v>
      </c>
      <c r="F612" s="35"/>
      <c r="G612" s="35" t="s">
        <v>421</v>
      </c>
      <c r="H612" s="35" t="s">
        <v>61</v>
      </c>
      <c r="I612" s="4"/>
    </row>
    <row r="613" customFormat="false" ht="15" hidden="false" customHeight="false" outlineLevel="0" collapsed="false">
      <c r="A613" s="35" t="s">
        <v>2770</v>
      </c>
      <c r="B613" s="35"/>
      <c r="C613" s="35" t="s">
        <v>632</v>
      </c>
      <c r="D613" s="35" t="s">
        <v>57</v>
      </c>
      <c r="E613" s="35" t="s">
        <v>247</v>
      </c>
      <c r="F613" s="35"/>
      <c r="G613" s="35" t="s">
        <v>421</v>
      </c>
      <c r="H613" s="35" t="s">
        <v>61</v>
      </c>
      <c r="I613" s="4"/>
    </row>
    <row r="614" customFormat="false" ht="15" hidden="false" customHeight="false" outlineLevel="0" collapsed="false">
      <c r="A614" s="35" t="s">
        <v>2771</v>
      </c>
      <c r="B614" s="35"/>
      <c r="C614" s="35" t="s">
        <v>632</v>
      </c>
      <c r="D614" s="35" t="s">
        <v>57</v>
      </c>
      <c r="E614" s="35" t="s">
        <v>247</v>
      </c>
      <c r="F614" s="35"/>
      <c r="G614" s="35" t="s">
        <v>421</v>
      </c>
      <c r="H614" s="35" t="s">
        <v>61</v>
      </c>
      <c r="I614" s="4"/>
    </row>
    <row r="615" customFormat="false" ht="15" hidden="false" customHeight="false" outlineLevel="0" collapsed="false">
      <c r="A615" s="35" t="s">
        <v>2772</v>
      </c>
      <c r="B615" s="35"/>
      <c r="C615" s="35" t="s">
        <v>632</v>
      </c>
      <c r="D615" s="35" t="s">
        <v>57</v>
      </c>
      <c r="E615" s="35" t="s">
        <v>247</v>
      </c>
      <c r="F615" s="35"/>
      <c r="G615" s="35" t="s">
        <v>421</v>
      </c>
      <c r="H615" s="35" t="s">
        <v>61</v>
      </c>
      <c r="I615" s="4"/>
    </row>
    <row r="616" customFormat="false" ht="15" hidden="false" customHeight="false" outlineLevel="0" collapsed="false">
      <c r="A616" s="35" t="s">
        <v>2773</v>
      </c>
      <c r="B616" s="35"/>
      <c r="C616" s="35" t="s">
        <v>632</v>
      </c>
      <c r="D616" s="35" t="s">
        <v>57</v>
      </c>
      <c r="E616" s="35" t="s">
        <v>247</v>
      </c>
      <c r="F616" s="35"/>
      <c r="G616" s="35" t="s">
        <v>421</v>
      </c>
      <c r="H616" s="35" t="s">
        <v>61</v>
      </c>
      <c r="I616" s="4"/>
    </row>
    <row r="617" customFormat="false" ht="15" hidden="false" customHeight="false" outlineLevel="0" collapsed="false">
      <c r="A617" s="35" t="s">
        <v>2773</v>
      </c>
      <c r="B617" s="35"/>
      <c r="C617" s="35" t="s">
        <v>632</v>
      </c>
      <c r="D617" s="35" t="s">
        <v>57</v>
      </c>
      <c r="E617" s="35" t="s">
        <v>247</v>
      </c>
      <c r="F617" s="35"/>
      <c r="G617" s="35" t="s">
        <v>421</v>
      </c>
      <c r="H617" s="35" t="s">
        <v>61</v>
      </c>
      <c r="I617" s="4"/>
    </row>
    <row r="618" customFormat="false" ht="15" hidden="false" customHeight="false" outlineLevel="0" collapsed="false">
      <c r="A618" s="35" t="s">
        <v>2774</v>
      </c>
      <c r="B618" s="35"/>
      <c r="C618" s="35" t="s">
        <v>632</v>
      </c>
      <c r="D618" s="35" t="s">
        <v>57</v>
      </c>
      <c r="E618" s="35" t="s">
        <v>247</v>
      </c>
      <c r="F618" s="35"/>
      <c r="G618" s="35" t="s">
        <v>421</v>
      </c>
      <c r="H618" s="35" t="s">
        <v>61</v>
      </c>
      <c r="I618" s="4"/>
    </row>
    <row r="619" customFormat="false" ht="15" hidden="false" customHeight="false" outlineLevel="0" collapsed="false">
      <c r="A619" s="35" t="s">
        <v>2774</v>
      </c>
      <c r="B619" s="35"/>
      <c r="C619" s="35" t="s">
        <v>632</v>
      </c>
      <c r="D619" s="35" t="s">
        <v>57</v>
      </c>
      <c r="E619" s="35" t="s">
        <v>247</v>
      </c>
      <c r="F619" s="35"/>
      <c r="G619" s="35" t="s">
        <v>421</v>
      </c>
      <c r="H619" s="35" t="s">
        <v>61</v>
      </c>
      <c r="I619" s="4"/>
    </row>
    <row r="620" customFormat="false" ht="15" hidden="false" customHeight="false" outlineLevel="0" collapsed="false">
      <c r="A620" s="35" t="s">
        <v>2775</v>
      </c>
      <c r="B620" s="35"/>
      <c r="C620" s="35" t="s">
        <v>632</v>
      </c>
      <c r="D620" s="35" t="s">
        <v>57</v>
      </c>
      <c r="E620" s="35" t="s">
        <v>247</v>
      </c>
      <c r="F620" s="35"/>
      <c r="G620" s="35" t="s">
        <v>421</v>
      </c>
      <c r="H620" s="35" t="s">
        <v>61</v>
      </c>
      <c r="I620" s="4"/>
    </row>
    <row r="621" customFormat="false" ht="15" hidden="false" customHeight="false" outlineLevel="0" collapsed="false">
      <c r="A621" s="35" t="s">
        <v>2776</v>
      </c>
      <c r="B621" s="35"/>
      <c r="C621" s="35" t="s">
        <v>632</v>
      </c>
      <c r="D621" s="35" t="s">
        <v>57</v>
      </c>
      <c r="E621" s="35" t="s">
        <v>247</v>
      </c>
      <c r="F621" s="35"/>
      <c r="G621" s="35" t="s">
        <v>421</v>
      </c>
      <c r="H621" s="35" t="s">
        <v>61</v>
      </c>
      <c r="I621" s="4"/>
    </row>
    <row r="622" customFormat="false" ht="15" hidden="false" customHeight="false" outlineLevel="0" collapsed="false">
      <c r="A622" s="35" t="s">
        <v>2777</v>
      </c>
      <c r="B622" s="35"/>
      <c r="C622" s="35" t="s">
        <v>632</v>
      </c>
      <c r="D622" s="35" t="s">
        <v>57</v>
      </c>
      <c r="E622" s="35" t="s">
        <v>247</v>
      </c>
      <c r="F622" s="35"/>
      <c r="G622" s="35" t="s">
        <v>421</v>
      </c>
      <c r="H622" s="35" t="s">
        <v>61</v>
      </c>
      <c r="I622" s="4"/>
    </row>
    <row r="623" customFormat="false" ht="15" hidden="false" customHeight="false" outlineLevel="0" collapsed="false">
      <c r="A623" s="35" t="s">
        <v>2778</v>
      </c>
      <c r="B623" s="35"/>
      <c r="C623" s="35" t="s">
        <v>632</v>
      </c>
      <c r="D623" s="35" t="s">
        <v>57</v>
      </c>
      <c r="E623" s="35" t="s">
        <v>247</v>
      </c>
      <c r="F623" s="35"/>
      <c r="G623" s="35" t="s">
        <v>421</v>
      </c>
      <c r="H623" s="35" t="s">
        <v>61</v>
      </c>
      <c r="I623" s="4"/>
    </row>
    <row r="624" customFormat="false" ht="15" hidden="false" customHeight="false" outlineLevel="0" collapsed="false">
      <c r="A624" s="35" t="s">
        <v>2779</v>
      </c>
      <c r="B624" s="35"/>
      <c r="C624" s="35" t="s">
        <v>632</v>
      </c>
      <c r="D624" s="35" t="s">
        <v>57</v>
      </c>
      <c r="E624" s="35" t="s">
        <v>247</v>
      </c>
      <c r="F624" s="35"/>
      <c r="G624" s="35" t="s">
        <v>421</v>
      </c>
      <c r="H624" s="35" t="s">
        <v>61</v>
      </c>
      <c r="I624" s="4"/>
    </row>
    <row r="625" customFormat="false" ht="15" hidden="false" customHeight="false" outlineLevel="0" collapsed="false">
      <c r="A625" s="35" t="s">
        <v>2780</v>
      </c>
      <c r="B625" s="35"/>
      <c r="C625" s="35" t="s">
        <v>632</v>
      </c>
      <c r="D625" s="35" t="s">
        <v>57</v>
      </c>
      <c r="E625" s="35" t="s">
        <v>247</v>
      </c>
      <c r="F625" s="35"/>
      <c r="G625" s="35" t="s">
        <v>421</v>
      </c>
      <c r="H625" s="35" t="s">
        <v>61</v>
      </c>
      <c r="I625" s="4"/>
    </row>
    <row r="626" customFormat="false" ht="15" hidden="false" customHeight="false" outlineLevel="0" collapsed="false">
      <c r="A626" s="35" t="s">
        <v>2781</v>
      </c>
      <c r="B626" s="35"/>
      <c r="C626" s="35" t="s">
        <v>632</v>
      </c>
      <c r="D626" s="35" t="s">
        <v>53</v>
      </c>
      <c r="E626" s="35"/>
      <c r="F626" s="35"/>
      <c r="G626" s="35" t="s">
        <v>421</v>
      </c>
      <c r="H626" s="35" t="s">
        <v>61</v>
      </c>
      <c r="I626" s="4"/>
    </row>
    <row r="627" customFormat="false" ht="15" hidden="false" customHeight="false" outlineLevel="0" collapsed="false">
      <c r="A627" s="35" t="s">
        <v>2782</v>
      </c>
      <c r="B627" s="35"/>
      <c r="C627" s="35" t="s">
        <v>632</v>
      </c>
      <c r="D627" s="35" t="s">
        <v>53</v>
      </c>
      <c r="E627" s="35"/>
      <c r="F627" s="35"/>
      <c r="G627" s="35" t="s">
        <v>421</v>
      </c>
      <c r="H627" s="35" t="s">
        <v>61</v>
      </c>
      <c r="I627" s="4"/>
    </row>
    <row r="628" customFormat="false" ht="15" hidden="false" customHeight="false" outlineLevel="0" collapsed="false">
      <c r="A628" s="35" t="s">
        <v>2783</v>
      </c>
      <c r="B628" s="35"/>
      <c r="C628" s="35" t="s">
        <v>632</v>
      </c>
      <c r="D628" s="35" t="s">
        <v>53</v>
      </c>
      <c r="E628" s="35"/>
      <c r="F628" s="35"/>
      <c r="G628" s="35" t="s">
        <v>421</v>
      </c>
      <c r="H628" s="35" t="s">
        <v>61</v>
      </c>
      <c r="I628" s="4"/>
    </row>
    <row r="629" customFormat="false" ht="15" hidden="false" customHeight="false" outlineLevel="0" collapsed="false">
      <c r="A629" s="35" t="s">
        <v>2784</v>
      </c>
      <c r="B629" s="35"/>
      <c r="C629" s="35" t="s">
        <v>632</v>
      </c>
      <c r="D629" s="35" t="s">
        <v>53</v>
      </c>
      <c r="E629" s="35"/>
      <c r="F629" s="35"/>
      <c r="G629" s="35" t="s">
        <v>421</v>
      </c>
      <c r="H629" s="35" t="s">
        <v>61</v>
      </c>
      <c r="I629" s="4"/>
    </row>
    <row r="630" customFormat="false" ht="15" hidden="false" customHeight="false" outlineLevel="0" collapsed="false">
      <c r="A630" s="35" t="s">
        <v>2785</v>
      </c>
      <c r="B630" s="35"/>
      <c r="C630" s="35" t="s">
        <v>632</v>
      </c>
      <c r="D630" s="35" t="s">
        <v>53</v>
      </c>
      <c r="E630" s="35"/>
      <c r="F630" s="35"/>
      <c r="G630" s="35" t="s">
        <v>421</v>
      </c>
      <c r="H630" s="35" t="s">
        <v>61</v>
      </c>
      <c r="I630" s="4"/>
    </row>
    <row r="631" customFormat="false" ht="15" hidden="false" customHeight="false" outlineLevel="0" collapsed="false">
      <c r="A631" s="35" t="s">
        <v>2786</v>
      </c>
      <c r="B631" s="35"/>
      <c r="C631" s="35" t="s">
        <v>632</v>
      </c>
      <c r="D631" s="35" t="s">
        <v>53</v>
      </c>
      <c r="E631" s="35"/>
      <c r="F631" s="35"/>
      <c r="G631" s="35" t="s">
        <v>421</v>
      </c>
      <c r="H631" s="35" t="s">
        <v>61</v>
      </c>
      <c r="I631" s="4"/>
    </row>
    <row r="632" customFormat="false" ht="15" hidden="false" customHeight="false" outlineLevel="0" collapsed="false">
      <c r="A632" s="35" t="s">
        <v>2787</v>
      </c>
      <c r="B632" s="35"/>
      <c r="C632" s="35" t="s">
        <v>632</v>
      </c>
      <c r="D632" s="35" t="s">
        <v>53</v>
      </c>
      <c r="E632" s="35"/>
      <c r="F632" s="35"/>
      <c r="G632" s="35" t="s">
        <v>421</v>
      </c>
      <c r="H632" s="35" t="s">
        <v>61</v>
      </c>
      <c r="I632" s="4"/>
    </row>
    <row r="633" customFormat="false" ht="15" hidden="false" customHeight="false" outlineLevel="0" collapsed="false">
      <c r="A633" s="35" t="s">
        <v>2788</v>
      </c>
      <c r="B633" s="35"/>
      <c r="C633" s="35" t="s">
        <v>632</v>
      </c>
      <c r="D633" s="35" t="s">
        <v>53</v>
      </c>
      <c r="E633" s="35"/>
      <c r="F633" s="35"/>
      <c r="G633" s="35" t="s">
        <v>421</v>
      </c>
      <c r="H633" s="35" t="s">
        <v>61</v>
      </c>
      <c r="I633" s="4"/>
    </row>
    <row r="634" customFormat="false" ht="15" hidden="false" customHeight="false" outlineLevel="0" collapsed="false">
      <c r="A634" s="35" t="s">
        <v>2789</v>
      </c>
      <c r="B634" s="35"/>
      <c r="C634" s="35" t="s">
        <v>632</v>
      </c>
      <c r="D634" s="35" t="s">
        <v>53</v>
      </c>
      <c r="E634" s="35"/>
      <c r="F634" s="35"/>
      <c r="G634" s="35" t="s">
        <v>421</v>
      </c>
      <c r="H634" s="35" t="s">
        <v>61</v>
      </c>
      <c r="I634" s="4"/>
    </row>
    <row r="635" customFormat="false" ht="15" hidden="false" customHeight="false" outlineLevel="0" collapsed="false">
      <c r="A635" s="35" t="s">
        <v>2789</v>
      </c>
      <c r="B635" s="35"/>
      <c r="C635" s="35" t="s">
        <v>632</v>
      </c>
      <c r="D635" s="35" t="s">
        <v>53</v>
      </c>
      <c r="E635" s="35"/>
      <c r="F635" s="35"/>
      <c r="G635" s="35" t="s">
        <v>421</v>
      </c>
      <c r="H635" s="35" t="s">
        <v>61</v>
      </c>
      <c r="I635" s="4"/>
    </row>
    <row r="636" customFormat="false" ht="15" hidden="false" customHeight="false" outlineLevel="0" collapsed="false">
      <c r="A636" s="35" t="s">
        <v>2790</v>
      </c>
      <c r="B636" s="35"/>
      <c r="C636" s="35" t="s">
        <v>632</v>
      </c>
      <c r="D636" s="35" t="s">
        <v>53</v>
      </c>
      <c r="E636" s="35"/>
      <c r="F636" s="35"/>
      <c r="G636" s="35" t="s">
        <v>421</v>
      </c>
      <c r="H636" s="35" t="s">
        <v>61</v>
      </c>
      <c r="I636" s="4"/>
    </row>
    <row r="637" customFormat="false" ht="15" hidden="false" customHeight="false" outlineLevel="0" collapsed="false">
      <c r="A637" s="35" t="s">
        <v>2791</v>
      </c>
      <c r="B637" s="35"/>
      <c r="C637" s="35" t="s">
        <v>632</v>
      </c>
      <c r="D637" s="35" t="s">
        <v>53</v>
      </c>
      <c r="E637" s="35"/>
      <c r="F637" s="35"/>
      <c r="G637" s="35" t="s">
        <v>421</v>
      </c>
      <c r="H637" s="35" t="s">
        <v>61</v>
      </c>
      <c r="I637" s="4"/>
    </row>
    <row r="638" customFormat="false" ht="15" hidden="false" customHeight="false" outlineLevel="0" collapsed="false">
      <c r="A638" s="35" t="s">
        <v>2792</v>
      </c>
      <c r="B638" s="35"/>
      <c r="C638" s="35" t="s">
        <v>632</v>
      </c>
      <c r="D638" s="35" t="s">
        <v>53</v>
      </c>
      <c r="E638" s="35"/>
      <c r="F638" s="35"/>
      <c r="G638" s="35" t="s">
        <v>421</v>
      </c>
      <c r="H638" s="35" t="s">
        <v>61</v>
      </c>
      <c r="I638" s="4"/>
    </row>
    <row r="639" customFormat="false" ht="15" hidden="false" customHeight="false" outlineLevel="0" collapsed="false">
      <c r="A639" s="35" t="s">
        <v>2793</v>
      </c>
      <c r="B639" s="35"/>
      <c r="C639" s="35" t="s">
        <v>632</v>
      </c>
      <c r="D639" s="35" t="s">
        <v>53</v>
      </c>
      <c r="E639" s="35"/>
      <c r="F639" s="35"/>
      <c r="G639" s="35" t="s">
        <v>421</v>
      </c>
      <c r="H639" s="35" t="s">
        <v>61</v>
      </c>
      <c r="I639" s="4"/>
    </row>
    <row r="640" customFormat="false" ht="15" hidden="false" customHeight="false" outlineLevel="0" collapsed="false">
      <c r="A640" s="35" t="s">
        <v>2794</v>
      </c>
      <c r="B640" s="35"/>
      <c r="C640" s="35" t="s">
        <v>632</v>
      </c>
      <c r="D640" s="35" t="s">
        <v>53</v>
      </c>
      <c r="E640" s="35"/>
      <c r="F640" s="35"/>
      <c r="G640" s="35" t="s">
        <v>421</v>
      </c>
      <c r="H640" s="35" t="s">
        <v>61</v>
      </c>
      <c r="I640" s="4"/>
    </row>
    <row r="641" customFormat="false" ht="15" hidden="false" customHeight="false" outlineLevel="0" collapsed="false">
      <c r="A641" s="35" t="s">
        <v>2795</v>
      </c>
      <c r="B641" s="35"/>
      <c r="C641" s="35" t="s">
        <v>632</v>
      </c>
      <c r="D641" s="35" t="s">
        <v>53</v>
      </c>
      <c r="E641" s="35"/>
      <c r="F641" s="35"/>
      <c r="G641" s="35" t="s">
        <v>421</v>
      </c>
      <c r="H641" s="35" t="s">
        <v>61</v>
      </c>
      <c r="I641" s="4"/>
    </row>
    <row r="642" customFormat="false" ht="15" hidden="false" customHeight="false" outlineLevel="0" collapsed="false">
      <c r="A642" s="35" t="s">
        <v>2796</v>
      </c>
      <c r="B642" s="35"/>
      <c r="C642" s="35" t="s">
        <v>632</v>
      </c>
      <c r="D642" s="35" t="s">
        <v>53</v>
      </c>
      <c r="E642" s="35"/>
      <c r="F642" s="35"/>
      <c r="G642" s="35" t="s">
        <v>421</v>
      </c>
      <c r="H642" s="35" t="s">
        <v>61</v>
      </c>
      <c r="I642" s="4"/>
    </row>
    <row r="643" customFormat="false" ht="15" hidden="false" customHeight="false" outlineLevel="0" collapsed="false">
      <c r="A643" s="35" t="s">
        <v>2797</v>
      </c>
      <c r="B643" s="35"/>
      <c r="C643" s="35" t="s">
        <v>632</v>
      </c>
      <c r="D643" s="35" t="s">
        <v>53</v>
      </c>
      <c r="E643" s="35"/>
      <c r="F643" s="35"/>
      <c r="G643" s="35" t="s">
        <v>421</v>
      </c>
      <c r="H643" s="35" t="s">
        <v>61</v>
      </c>
      <c r="I643" s="4"/>
    </row>
    <row r="644" customFormat="false" ht="15" hidden="false" customHeight="false" outlineLevel="0" collapsed="false">
      <c r="A644" s="35" t="s">
        <v>2798</v>
      </c>
      <c r="B644" s="35"/>
      <c r="C644" s="35" t="s">
        <v>632</v>
      </c>
      <c r="D644" s="35" t="s">
        <v>53</v>
      </c>
      <c r="E644" s="35"/>
      <c r="F644" s="35"/>
      <c r="G644" s="35" t="s">
        <v>421</v>
      </c>
      <c r="H644" s="35" t="s">
        <v>61</v>
      </c>
      <c r="I644" s="4"/>
    </row>
    <row r="645" customFormat="false" ht="15" hidden="false" customHeight="false" outlineLevel="0" collapsed="false">
      <c r="A645" s="35" t="s">
        <v>2799</v>
      </c>
      <c r="B645" s="35"/>
      <c r="C645" s="35" t="s">
        <v>632</v>
      </c>
      <c r="D645" s="35" t="s">
        <v>53</v>
      </c>
      <c r="E645" s="35"/>
      <c r="F645" s="35"/>
      <c r="G645" s="35" t="s">
        <v>421</v>
      </c>
      <c r="H645" s="35" t="s">
        <v>61</v>
      </c>
      <c r="I645" s="4"/>
    </row>
    <row r="646" customFormat="false" ht="15" hidden="false" customHeight="false" outlineLevel="0" collapsed="false">
      <c r="A646" s="35" t="s">
        <v>2800</v>
      </c>
      <c r="B646" s="35"/>
      <c r="C646" s="35" t="s">
        <v>632</v>
      </c>
      <c r="D646" s="35" t="s">
        <v>53</v>
      </c>
      <c r="E646" s="35"/>
      <c r="F646" s="35"/>
      <c r="G646" s="35" t="s">
        <v>421</v>
      </c>
      <c r="H646" s="35" t="s">
        <v>61</v>
      </c>
      <c r="I646" s="4"/>
    </row>
    <row r="647" customFormat="false" ht="15" hidden="false" customHeight="false" outlineLevel="0" collapsed="false">
      <c r="A647" s="35" t="s">
        <v>2801</v>
      </c>
      <c r="B647" s="35"/>
      <c r="C647" s="35" t="s">
        <v>632</v>
      </c>
      <c r="D647" s="35" t="s">
        <v>53</v>
      </c>
      <c r="E647" s="35"/>
      <c r="F647" s="35"/>
      <c r="G647" s="35" t="s">
        <v>421</v>
      </c>
      <c r="H647" s="35" t="s">
        <v>61</v>
      </c>
      <c r="I647" s="4"/>
    </row>
    <row r="648" customFormat="false" ht="15" hidden="false" customHeight="false" outlineLevel="0" collapsed="false">
      <c r="A648" s="35" t="s">
        <v>2802</v>
      </c>
      <c r="B648" s="35"/>
      <c r="C648" s="35" t="s">
        <v>632</v>
      </c>
      <c r="D648" s="35" t="s">
        <v>53</v>
      </c>
      <c r="E648" s="35"/>
      <c r="F648" s="35"/>
      <c r="G648" s="35" t="s">
        <v>421</v>
      </c>
      <c r="H648" s="35" t="s">
        <v>61</v>
      </c>
      <c r="I648" s="4"/>
    </row>
    <row r="649" customFormat="false" ht="15" hidden="false" customHeight="false" outlineLevel="0" collapsed="false">
      <c r="A649" s="35" t="s">
        <v>2803</v>
      </c>
      <c r="B649" s="35"/>
      <c r="C649" s="35" t="s">
        <v>632</v>
      </c>
      <c r="D649" s="35" t="s">
        <v>53</v>
      </c>
      <c r="E649" s="35"/>
      <c r="F649" s="35"/>
      <c r="G649" s="35" t="s">
        <v>421</v>
      </c>
      <c r="H649" s="35" t="s">
        <v>61</v>
      </c>
      <c r="I649" s="4"/>
    </row>
    <row r="650" customFormat="false" ht="15" hidden="false" customHeight="false" outlineLevel="0" collapsed="false">
      <c r="A650" s="35" t="s">
        <v>2804</v>
      </c>
      <c r="B650" s="35"/>
      <c r="C650" s="35" t="s">
        <v>632</v>
      </c>
      <c r="D650" s="35" t="s">
        <v>53</v>
      </c>
      <c r="E650" s="35"/>
      <c r="F650" s="35"/>
      <c r="G650" s="35" t="s">
        <v>421</v>
      </c>
      <c r="H650" s="35" t="s">
        <v>61</v>
      </c>
      <c r="I650" s="4"/>
    </row>
    <row r="651" customFormat="false" ht="15" hidden="false" customHeight="false" outlineLevel="0" collapsed="false">
      <c r="A651" s="35" t="s">
        <v>2805</v>
      </c>
      <c r="B651" s="35"/>
      <c r="C651" s="35" t="s">
        <v>632</v>
      </c>
      <c r="D651" s="35" t="s">
        <v>53</v>
      </c>
      <c r="E651" s="35"/>
      <c r="F651" s="35"/>
      <c r="G651" s="35" t="s">
        <v>421</v>
      </c>
      <c r="H651" s="35" t="s">
        <v>61</v>
      </c>
      <c r="I651" s="4"/>
    </row>
    <row r="652" customFormat="false" ht="15" hidden="false" customHeight="false" outlineLevel="0" collapsed="false">
      <c r="A652" s="35" t="s">
        <v>2806</v>
      </c>
      <c r="B652" s="35"/>
      <c r="C652" s="35" t="s">
        <v>632</v>
      </c>
      <c r="D652" s="35" t="s">
        <v>53</v>
      </c>
      <c r="E652" s="35"/>
      <c r="F652" s="35"/>
      <c r="G652" s="35" t="s">
        <v>421</v>
      </c>
      <c r="H652" s="35" t="s">
        <v>61</v>
      </c>
      <c r="I652" s="4"/>
    </row>
    <row r="653" customFormat="false" ht="15" hidden="false" customHeight="false" outlineLevel="0" collapsed="false">
      <c r="A653" s="35" t="s">
        <v>2807</v>
      </c>
      <c r="B653" s="35"/>
      <c r="C653" s="35" t="s">
        <v>632</v>
      </c>
      <c r="D653" s="35" t="s">
        <v>53</v>
      </c>
      <c r="E653" s="35"/>
      <c r="F653" s="35"/>
      <c r="G653" s="35" t="s">
        <v>421</v>
      </c>
      <c r="H653" s="35" t="s">
        <v>61</v>
      </c>
      <c r="I653" s="4"/>
    </row>
    <row r="654" customFormat="false" ht="15" hidden="false" customHeight="false" outlineLevel="0" collapsed="false">
      <c r="A654" s="35" t="s">
        <v>2808</v>
      </c>
      <c r="B654" s="35"/>
      <c r="C654" s="35" t="s">
        <v>632</v>
      </c>
      <c r="D654" s="35" t="s">
        <v>53</v>
      </c>
      <c r="E654" s="35"/>
      <c r="F654" s="35"/>
      <c r="G654" s="35" t="s">
        <v>421</v>
      </c>
      <c r="H654" s="35" t="s">
        <v>61</v>
      </c>
      <c r="I654" s="4"/>
    </row>
    <row r="655" customFormat="false" ht="15" hidden="false" customHeight="false" outlineLevel="0" collapsed="false">
      <c r="A655" s="35" t="s">
        <v>2809</v>
      </c>
      <c r="B655" s="35"/>
      <c r="C655" s="35" t="s">
        <v>632</v>
      </c>
      <c r="D655" s="35" t="s">
        <v>53</v>
      </c>
      <c r="E655" s="35"/>
      <c r="F655" s="35"/>
      <c r="G655" s="35" t="s">
        <v>421</v>
      </c>
      <c r="H655" s="35" t="s">
        <v>61</v>
      </c>
      <c r="I655" s="4"/>
    </row>
    <row r="656" customFormat="false" ht="15" hidden="false" customHeight="false" outlineLevel="0" collapsed="false">
      <c r="A656" s="35" t="s">
        <v>2810</v>
      </c>
      <c r="B656" s="35"/>
      <c r="C656" s="35" t="s">
        <v>632</v>
      </c>
      <c r="D656" s="35" t="s">
        <v>107</v>
      </c>
      <c r="E656" s="35" t="s">
        <v>331</v>
      </c>
      <c r="F656" s="35"/>
      <c r="G656" s="35" t="s">
        <v>421</v>
      </c>
      <c r="H656" s="35" t="s">
        <v>61</v>
      </c>
      <c r="I656" s="4"/>
    </row>
    <row r="657" customFormat="false" ht="15" hidden="false" customHeight="false" outlineLevel="0" collapsed="false">
      <c r="A657" s="35" t="s">
        <v>2811</v>
      </c>
      <c r="B657" s="35"/>
      <c r="C657" s="35" t="s">
        <v>632</v>
      </c>
      <c r="D657" s="35" t="s">
        <v>114</v>
      </c>
      <c r="E657" s="35"/>
      <c r="F657" s="35"/>
      <c r="G657" s="35" t="s">
        <v>421</v>
      </c>
      <c r="H657" s="35" t="s">
        <v>61</v>
      </c>
      <c r="I657" s="4"/>
    </row>
    <row r="658" customFormat="false" ht="15" hidden="false" customHeight="false" outlineLevel="0" collapsed="false">
      <c r="A658" s="35" t="s">
        <v>2812</v>
      </c>
      <c r="B658" s="35"/>
      <c r="C658" s="35" t="s">
        <v>632</v>
      </c>
      <c r="D658" s="35" t="s">
        <v>114</v>
      </c>
      <c r="E658" s="35"/>
      <c r="F658" s="35"/>
      <c r="G658" s="35" t="s">
        <v>421</v>
      </c>
      <c r="H658" s="35" t="s">
        <v>61</v>
      </c>
      <c r="I658" s="4"/>
    </row>
    <row r="659" customFormat="false" ht="15" hidden="false" customHeight="false" outlineLevel="0" collapsed="false">
      <c r="A659" s="35" t="s">
        <v>2813</v>
      </c>
      <c r="B659" s="35"/>
      <c r="C659" s="35" t="s">
        <v>632</v>
      </c>
      <c r="D659" s="35" t="s">
        <v>114</v>
      </c>
      <c r="E659" s="35"/>
      <c r="F659" s="35"/>
      <c r="G659" s="35" t="s">
        <v>421</v>
      </c>
      <c r="H659" s="35" t="s">
        <v>61</v>
      </c>
      <c r="I659" s="4"/>
    </row>
    <row r="660" customFormat="false" ht="15" hidden="false" customHeight="false" outlineLevel="0" collapsed="false">
      <c r="A660" s="35" t="s">
        <v>2814</v>
      </c>
      <c r="B660" s="35"/>
      <c r="C660" s="35" t="s">
        <v>632</v>
      </c>
      <c r="D660" s="35" t="s">
        <v>114</v>
      </c>
      <c r="E660" s="35"/>
      <c r="F660" s="35"/>
      <c r="G660" s="35" t="s">
        <v>421</v>
      </c>
      <c r="H660" s="35" t="s">
        <v>61</v>
      </c>
      <c r="I660" s="4"/>
    </row>
    <row r="661" customFormat="false" ht="15" hidden="false" customHeight="false" outlineLevel="0" collapsed="false">
      <c r="A661" s="35" t="s">
        <v>2815</v>
      </c>
      <c r="B661" s="35"/>
      <c r="C661" s="35" t="s">
        <v>632</v>
      </c>
      <c r="D661" s="35" t="s">
        <v>114</v>
      </c>
      <c r="E661" s="35"/>
      <c r="F661" s="35"/>
      <c r="G661" s="35" t="s">
        <v>421</v>
      </c>
      <c r="H661" s="35" t="s">
        <v>61</v>
      </c>
      <c r="I661" s="4"/>
    </row>
    <row r="662" customFormat="false" ht="15" hidden="false" customHeight="false" outlineLevel="0" collapsed="false">
      <c r="A662" s="35" t="s">
        <v>2816</v>
      </c>
      <c r="B662" s="35"/>
      <c r="C662" s="35" t="s">
        <v>632</v>
      </c>
      <c r="D662" s="35" t="s">
        <v>114</v>
      </c>
      <c r="E662" s="35"/>
      <c r="F662" s="35"/>
      <c r="G662" s="35" t="s">
        <v>421</v>
      </c>
      <c r="H662" s="35" t="s">
        <v>61</v>
      </c>
      <c r="I662" s="4"/>
    </row>
    <row r="663" customFormat="false" ht="15" hidden="false" customHeight="false" outlineLevel="0" collapsed="false">
      <c r="A663" s="35" t="s">
        <v>2817</v>
      </c>
      <c r="B663" s="35"/>
      <c r="C663" s="35" t="s">
        <v>632</v>
      </c>
      <c r="D663" s="35" t="s">
        <v>53</v>
      </c>
      <c r="E663" s="35"/>
      <c r="F663" s="35"/>
      <c r="G663" s="35" t="s">
        <v>421</v>
      </c>
      <c r="H663" s="35" t="s">
        <v>61</v>
      </c>
      <c r="I663" s="4"/>
    </row>
    <row r="664" customFormat="false" ht="15" hidden="false" customHeight="false" outlineLevel="0" collapsed="false">
      <c r="A664" s="35" t="s">
        <v>2818</v>
      </c>
      <c r="B664" s="35"/>
      <c r="C664" s="35" t="s">
        <v>632</v>
      </c>
      <c r="D664" s="35" t="s">
        <v>114</v>
      </c>
      <c r="E664" s="35"/>
      <c r="F664" s="35"/>
      <c r="G664" s="35" t="s">
        <v>421</v>
      </c>
      <c r="H664" s="35" t="s">
        <v>61</v>
      </c>
      <c r="I664" s="4"/>
    </row>
    <row r="665" customFormat="false" ht="15" hidden="false" customHeight="false" outlineLevel="0" collapsed="false">
      <c r="A665" s="35" t="s">
        <v>2819</v>
      </c>
      <c r="B665" s="35"/>
      <c r="C665" s="35" t="s">
        <v>632</v>
      </c>
      <c r="D665" s="35" t="s">
        <v>114</v>
      </c>
      <c r="E665" s="35"/>
      <c r="F665" s="35"/>
      <c r="G665" s="35" t="s">
        <v>421</v>
      </c>
      <c r="H665" s="35" t="s">
        <v>61</v>
      </c>
      <c r="I665" s="4"/>
    </row>
    <row r="666" customFormat="false" ht="15" hidden="false" customHeight="false" outlineLevel="0" collapsed="false">
      <c r="A666" s="35" t="s">
        <v>2820</v>
      </c>
      <c r="B666" s="35"/>
      <c r="C666" s="35" t="s">
        <v>632</v>
      </c>
      <c r="D666" s="35" t="s">
        <v>114</v>
      </c>
      <c r="E666" s="35"/>
      <c r="F666" s="35"/>
      <c r="G666" s="35" t="s">
        <v>421</v>
      </c>
      <c r="H666" s="35" t="s">
        <v>61</v>
      </c>
      <c r="I666" s="4"/>
    </row>
    <row r="667" customFormat="false" ht="15" hidden="false" customHeight="false" outlineLevel="0" collapsed="false">
      <c r="A667" s="35" t="s">
        <v>2821</v>
      </c>
      <c r="B667" s="35"/>
      <c r="C667" s="35" t="s">
        <v>632</v>
      </c>
      <c r="D667" s="35" t="s">
        <v>57</v>
      </c>
      <c r="E667" s="35" t="s">
        <v>841</v>
      </c>
      <c r="F667" s="35"/>
      <c r="G667" s="35" t="s">
        <v>421</v>
      </c>
      <c r="H667" s="35" t="s">
        <v>61</v>
      </c>
      <c r="I667" s="4"/>
    </row>
    <row r="668" customFormat="false" ht="15" hidden="false" customHeight="false" outlineLevel="0" collapsed="false">
      <c r="A668" s="35" t="s">
        <v>2822</v>
      </c>
      <c r="B668" s="35"/>
      <c r="C668" s="35" t="s">
        <v>632</v>
      </c>
      <c r="D668" s="35" t="s">
        <v>57</v>
      </c>
      <c r="E668" s="35" t="s">
        <v>863</v>
      </c>
      <c r="F668" s="35"/>
      <c r="G668" s="35" t="s">
        <v>421</v>
      </c>
      <c r="H668" s="35" t="s">
        <v>61</v>
      </c>
      <c r="I668" s="4"/>
    </row>
    <row r="669" customFormat="false" ht="15" hidden="false" customHeight="false" outlineLevel="0" collapsed="false">
      <c r="A669" s="35" t="s">
        <v>2823</v>
      </c>
      <c r="B669" s="35"/>
      <c r="C669" s="35" t="s">
        <v>632</v>
      </c>
      <c r="D669" s="35" t="s">
        <v>53</v>
      </c>
      <c r="E669" s="35"/>
      <c r="F669" s="35"/>
      <c r="G669" s="35" t="s">
        <v>421</v>
      </c>
      <c r="H669" s="35" t="s">
        <v>61</v>
      </c>
      <c r="I669" s="4"/>
    </row>
    <row r="670" customFormat="false" ht="15" hidden="false" customHeight="false" outlineLevel="0" collapsed="false">
      <c r="A670" s="35" t="s">
        <v>2824</v>
      </c>
      <c r="B670" s="35"/>
      <c r="C670" s="35" t="s">
        <v>632</v>
      </c>
      <c r="D670" s="35" t="s">
        <v>53</v>
      </c>
      <c r="E670" s="35"/>
      <c r="F670" s="35"/>
      <c r="G670" s="35" t="s">
        <v>421</v>
      </c>
      <c r="H670" s="35" t="s">
        <v>61</v>
      </c>
      <c r="I670" s="4"/>
    </row>
    <row r="671" customFormat="false" ht="15" hidden="false" customHeight="false" outlineLevel="0" collapsed="false">
      <c r="A671" s="35" t="s">
        <v>2825</v>
      </c>
      <c r="B671" s="35"/>
      <c r="C671" s="35" t="s">
        <v>632</v>
      </c>
      <c r="D671" s="35" t="s">
        <v>53</v>
      </c>
      <c r="E671" s="35"/>
      <c r="F671" s="35"/>
      <c r="G671" s="35" t="s">
        <v>421</v>
      </c>
      <c r="H671" s="35" t="s">
        <v>61</v>
      </c>
      <c r="I671" s="4"/>
    </row>
    <row r="672" customFormat="false" ht="15" hidden="false" customHeight="false" outlineLevel="0" collapsed="false">
      <c r="A672" s="35" t="s">
        <v>1813</v>
      </c>
      <c r="B672" s="35" t="s">
        <v>2826</v>
      </c>
      <c r="C672" s="35" t="s">
        <v>48</v>
      </c>
      <c r="D672" s="35" t="s">
        <v>57</v>
      </c>
      <c r="E672" s="35" t="s">
        <v>1812</v>
      </c>
      <c r="F672" s="35"/>
      <c r="G672" s="35" t="s">
        <v>697</v>
      </c>
      <c r="H672" s="35" t="s">
        <v>50</v>
      </c>
      <c r="I672" s="4"/>
    </row>
    <row r="673" customFormat="false" ht="15" hidden="false" customHeight="false" outlineLevel="0" collapsed="false">
      <c r="A673" s="35" t="s">
        <v>1090</v>
      </c>
      <c r="B673" s="35" t="s">
        <v>2827</v>
      </c>
      <c r="C673" s="35" t="s">
        <v>48</v>
      </c>
      <c r="D673" s="35" t="s">
        <v>107</v>
      </c>
      <c r="E673" s="35" t="s">
        <v>1089</v>
      </c>
      <c r="F673" s="35"/>
      <c r="G673" s="35" t="s">
        <v>571</v>
      </c>
      <c r="H673" s="35" t="s">
        <v>61</v>
      </c>
      <c r="I673" s="4"/>
    </row>
    <row r="674" customFormat="false" ht="15" hidden="false" customHeight="false" outlineLevel="0" collapsed="false">
      <c r="A674" s="35" t="s">
        <v>1088</v>
      </c>
      <c r="B674" s="35" t="s">
        <v>2828</v>
      </c>
      <c r="C674" s="35" t="s">
        <v>48</v>
      </c>
      <c r="D674" s="35" t="s">
        <v>107</v>
      </c>
      <c r="E674" s="35" t="s">
        <v>1087</v>
      </c>
      <c r="F674" s="35"/>
      <c r="G674" s="35" t="s">
        <v>571</v>
      </c>
      <c r="H674" s="35" t="s">
        <v>61</v>
      </c>
      <c r="I674" s="4"/>
    </row>
    <row r="675" customFormat="false" ht="15" hidden="false" customHeight="false" outlineLevel="0" collapsed="false">
      <c r="A675" s="35" t="s">
        <v>2829</v>
      </c>
      <c r="B675" s="35" t="s">
        <v>2830</v>
      </c>
      <c r="C675" s="35" t="s">
        <v>48</v>
      </c>
      <c r="D675" s="35" t="s">
        <v>107</v>
      </c>
      <c r="E675" s="35" t="s">
        <v>827</v>
      </c>
      <c r="F675" s="35"/>
      <c r="G675" s="35" t="s">
        <v>682</v>
      </c>
      <c r="H675" s="35" t="s">
        <v>49</v>
      </c>
      <c r="I675" s="4"/>
    </row>
    <row r="676" customFormat="false" ht="15" hidden="false" customHeight="false" outlineLevel="0" collapsed="false">
      <c r="A676" s="35" t="s">
        <v>2831</v>
      </c>
      <c r="B676" s="35" t="s">
        <v>2832</v>
      </c>
      <c r="C676" s="35" t="s">
        <v>48</v>
      </c>
      <c r="D676" s="35" t="s">
        <v>107</v>
      </c>
      <c r="E676" s="35" t="s">
        <v>827</v>
      </c>
      <c r="F676" s="35"/>
      <c r="G676" s="35" t="s">
        <v>682</v>
      </c>
      <c r="H676" s="35" t="s">
        <v>49</v>
      </c>
      <c r="I676" s="4"/>
    </row>
    <row r="677" customFormat="false" ht="15" hidden="false" customHeight="false" outlineLevel="0" collapsed="false">
      <c r="A677" s="35" t="s">
        <v>2833</v>
      </c>
      <c r="B677" s="35" t="s">
        <v>2834</v>
      </c>
      <c r="C677" s="35" t="s">
        <v>48</v>
      </c>
      <c r="D677" s="35" t="s">
        <v>107</v>
      </c>
      <c r="E677" s="35" t="s">
        <v>827</v>
      </c>
      <c r="F677" s="35"/>
      <c r="G677" s="35" t="s">
        <v>682</v>
      </c>
      <c r="H677" s="35" t="s">
        <v>49</v>
      </c>
      <c r="I677" s="4"/>
    </row>
    <row r="678" customFormat="false" ht="15" hidden="false" customHeight="false" outlineLevel="0" collapsed="false">
      <c r="A678" s="35" t="s">
        <v>2835</v>
      </c>
      <c r="B678" s="35" t="s">
        <v>2836</v>
      </c>
      <c r="C678" s="35" t="s">
        <v>48</v>
      </c>
      <c r="D678" s="35" t="s">
        <v>107</v>
      </c>
      <c r="E678" s="35" t="s">
        <v>827</v>
      </c>
      <c r="F678" s="35"/>
      <c r="G678" s="35" t="s">
        <v>682</v>
      </c>
      <c r="H678" s="35" t="s">
        <v>49</v>
      </c>
      <c r="I678" s="4"/>
    </row>
    <row r="679" customFormat="false" ht="15" hidden="false" customHeight="false" outlineLevel="0" collapsed="false">
      <c r="A679" s="35" t="s">
        <v>2837</v>
      </c>
      <c r="B679" s="35" t="s">
        <v>2838</v>
      </c>
      <c r="C679" s="35" t="s">
        <v>48</v>
      </c>
      <c r="D679" s="35" t="s">
        <v>57</v>
      </c>
      <c r="E679" s="35" t="s">
        <v>1091</v>
      </c>
      <c r="F679" s="35"/>
      <c r="G679" s="35" t="s">
        <v>713</v>
      </c>
      <c r="H679" s="35" t="s">
        <v>61</v>
      </c>
      <c r="I679" s="4"/>
    </row>
    <row r="680" customFormat="false" ht="15" hidden="false" customHeight="false" outlineLevel="0" collapsed="false">
      <c r="A680" s="35" t="s">
        <v>2839</v>
      </c>
      <c r="B680" s="35" t="s">
        <v>2840</v>
      </c>
      <c r="C680" s="35" t="s">
        <v>48</v>
      </c>
      <c r="D680" s="35" t="s">
        <v>107</v>
      </c>
      <c r="E680" s="35" t="s">
        <v>320</v>
      </c>
      <c r="F680" s="35"/>
      <c r="G680" s="35" t="s">
        <v>49</v>
      </c>
      <c r="H680" s="35" t="s">
        <v>49</v>
      </c>
      <c r="I680" s="4"/>
    </row>
    <row r="681" customFormat="false" ht="15" hidden="false" customHeight="false" outlineLevel="0" collapsed="false">
      <c r="A681" s="35" t="s">
        <v>409</v>
      </c>
      <c r="B681" s="35" t="s">
        <v>411</v>
      </c>
      <c r="C681" s="35" t="s">
        <v>48</v>
      </c>
      <c r="D681" s="35" t="s">
        <v>107</v>
      </c>
      <c r="E681" s="35" t="s">
        <v>410</v>
      </c>
      <c r="F681" s="35"/>
      <c r="G681" s="35" t="s">
        <v>49</v>
      </c>
      <c r="H681" s="35" t="s">
        <v>49</v>
      </c>
      <c r="I681" s="4" t="s">
        <v>2025</v>
      </c>
    </row>
    <row r="682" customFormat="false" ht="15" hidden="false" customHeight="false" outlineLevel="0" collapsed="false">
      <c r="A682" s="35" t="s">
        <v>2841</v>
      </c>
      <c r="B682" s="35" t="s">
        <v>2842</v>
      </c>
      <c r="C682" s="35" t="s">
        <v>48</v>
      </c>
      <c r="D682" s="35" t="s">
        <v>107</v>
      </c>
      <c r="E682" s="35" t="s">
        <v>985</v>
      </c>
      <c r="F682" s="35"/>
      <c r="G682" s="35" t="s">
        <v>87</v>
      </c>
      <c r="H682" s="35" t="s">
        <v>61</v>
      </c>
      <c r="I682" s="4"/>
    </row>
    <row r="683" customFormat="false" ht="15" hidden="false" customHeight="false" outlineLevel="0" collapsed="false">
      <c r="A683" s="35" t="s">
        <v>2843</v>
      </c>
      <c r="B683" s="35" t="s">
        <v>2844</v>
      </c>
      <c r="C683" s="35" t="s">
        <v>48</v>
      </c>
      <c r="D683" s="35" t="s">
        <v>53</v>
      </c>
      <c r="E683" s="35"/>
      <c r="F683" s="35"/>
      <c r="G683" s="35" t="s">
        <v>87</v>
      </c>
      <c r="H683" s="35" t="s">
        <v>61</v>
      </c>
      <c r="I683" s="4"/>
    </row>
    <row r="684" customFormat="false" ht="15" hidden="false" customHeight="false" outlineLevel="0" collapsed="false">
      <c r="A684" s="35" t="s">
        <v>2845</v>
      </c>
      <c r="B684" s="35" t="s">
        <v>2844</v>
      </c>
      <c r="C684" s="35" t="s">
        <v>48</v>
      </c>
      <c r="D684" s="35" t="s">
        <v>57</v>
      </c>
      <c r="E684" s="35" t="s">
        <v>1107</v>
      </c>
      <c r="F684" s="35"/>
      <c r="G684" s="35" t="s">
        <v>87</v>
      </c>
      <c r="H684" s="35" t="s">
        <v>61</v>
      </c>
      <c r="I684" s="4"/>
    </row>
    <row r="685" customFormat="false" ht="15" hidden="false" customHeight="false" outlineLevel="0" collapsed="false">
      <c r="A685" s="35" t="s">
        <v>2846</v>
      </c>
      <c r="B685" s="35" t="s">
        <v>2847</v>
      </c>
      <c r="C685" s="35" t="s">
        <v>48</v>
      </c>
      <c r="D685" s="35" t="s">
        <v>57</v>
      </c>
      <c r="E685" s="35" t="s">
        <v>1093</v>
      </c>
      <c r="F685" s="35" t="s">
        <v>2022</v>
      </c>
      <c r="G685" s="35" t="s">
        <v>681</v>
      </c>
      <c r="H685" s="35" t="s">
        <v>61</v>
      </c>
      <c r="I685" s="4"/>
    </row>
    <row r="686" customFormat="false" ht="15" hidden="false" customHeight="false" outlineLevel="0" collapsed="false">
      <c r="A686" s="35" t="s">
        <v>2848</v>
      </c>
      <c r="B686" s="35" t="s">
        <v>2849</v>
      </c>
      <c r="C686" s="35" t="s">
        <v>48</v>
      </c>
      <c r="D686" s="35" t="s">
        <v>57</v>
      </c>
      <c r="E686" s="35" t="s">
        <v>1093</v>
      </c>
      <c r="F686" s="35" t="s">
        <v>2022</v>
      </c>
      <c r="G686" s="35" t="s">
        <v>681</v>
      </c>
      <c r="H686" s="35" t="s">
        <v>61</v>
      </c>
      <c r="I686" s="4"/>
    </row>
    <row r="687" customFormat="false" ht="15" hidden="false" customHeight="false" outlineLevel="0" collapsed="false">
      <c r="A687" s="35" t="s">
        <v>2850</v>
      </c>
      <c r="B687" s="35" t="s">
        <v>2851</v>
      </c>
      <c r="C687" s="35" t="s">
        <v>48</v>
      </c>
      <c r="D687" s="35" t="s">
        <v>107</v>
      </c>
      <c r="E687" s="35" t="s">
        <v>890</v>
      </c>
      <c r="F687" s="35" t="s">
        <v>2022</v>
      </c>
      <c r="G687" s="35" t="s">
        <v>681</v>
      </c>
      <c r="H687" s="35" t="s">
        <v>61</v>
      </c>
      <c r="I687" s="4"/>
    </row>
    <row r="688" customFormat="false" ht="15" hidden="false" customHeight="false" outlineLevel="0" collapsed="false">
      <c r="A688" s="35" t="s">
        <v>2852</v>
      </c>
      <c r="B688" s="35" t="s">
        <v>2853</v>
      </c>
      <c r="C688" s="35" t="s">
        <v>48</v>
      </c>
      <c r="D688" s="35" t="s">
        <v>107</v>
      </c>
      <c r="E688" s="35" t="s">
        <v>890</v>
      </c>
      <c r="F688" s="35" t="s">
        <v>2022</v>
      </c>
      <c r="G688" s="35" t="s">
        <v>681</v>
      </c>
      <c r="H688" s="35" t="s">
        <v>61</v>
      </c>
      <c r="I688" s="4"/>
    </row>
    <row r="689" customFormat="false" ht="15" hidden="false" customHeight="false" outlineLevel="0" collapsed="false">
      <c r="A689" s="35" t="s">
        <v>2854</v>
      </c>
      <c r="B689" s="35" t="s">
        <v>2855</v>
      </c>
      <c r="C689" s="35" t="s">
        <v>48</v>
      </c>
      <c r="D689" s="35" t="s">
        <v>107</v>
      </c>
      <c r="E689" s="35" t="s">
        <v>890</v>
      </c>
      <c r="F689" s="35" t="s">
        <v>2022</v>
      </c>
      <c r="G689" s="35" t="s">
        <v>681</v>
      </c>
      <c r="H689" s="35" t="s">
        <v>61</v>
      </c>
      <c r="I689" s="4"/>
    </row>
    <row r="690" customFormat="false" ht="15" hidden="false" customHeight="false" outlineLevel="0" collapsed="false">
      <c r="A690" s="35" t="s">
        <v>2856</v>
      </c>
      <c r="B690" s="35" t="s">
        <v>2857</v>
      </c>
      <c r="C690" s="35" t="s">
        <v>48</v>
      </c>
      <c r="D690" s="35" t="s">
        <v>107</v>
      </c>
      <c r="E690" s="35" t="s">
        <v>890</v>
      </c>
      <c r="F690" s="35"/>
      <c r="G690" s="35" t="s">
        <v>681</v>
      </c>
      <c r="H690" s="35" t="s">
        <v>61</v>
      </c>
      <c r="I690" s="4"/>
    </row>
    <row r="691" customFormat="false" ht="15" hidden="false" customHeight="false" outlineLevel="0" collapsed="false">
      <c r="A691" s="35" t="s">
        <v>2858</v>
      </c>
      <c r="B691" s="35" t="s">
        <v>2859</v>
      </c>
      <c r="C691" s="35" t="s">
        <v>48</v>
      </c>
      <c r="D691" s="35" t="s">
        <v>114</v>
      </c>
      <c r="E691" s="35"/>
      <c r="F691" s="35"/>
      <c r="G691" s="35" t="s">
        <v>681</v>
      </c>
      <c r="H691" s="35" t="s">
        <v>61</v>
      </c>
      <c r="I691" s="4"/>
    </row>
    <row r="692" customFormat="false" ht="15" hidden="false" customHeight="false" outlineLevel="0" collapsed="false">
      <c r="A692" s="35" t="s">
        <v>2860</v>
      </c>
      <c r="B692" s="35" t="s">
        <v>2861</v>
      </c>
      <c r="C692" s="35" t="s">
        <v>48</v>
      </c>
      <c r="D692" s="35" t="s">
        <v>114</v>
      </c>
      <c r="E692" s="35"/>
      <c r="F692" s="35" t="s">
        <v>2147</v>
      </c>
      <c r="G692" s="35" t="s">
        <v>681</v>
      </c>
      <c r="H692" s="35" t="s">
        <v>61</v>
      </c>
      <c r="I692" s="4"/>
    </row>
    <row r="693" customFormat="false" ht="15" hidden="false" customHeight="false" outlineLevel="0" collapsed="false">
      <c r="A693" s="35" t="s">
        <v>2862</v>
      </c>
      <c r="B693" s="35" t="s">
        <v>2863</v>
      </c>
      <c r="C693" s="35" t="s">
        <v>48</v>
      </c>
      <c r="D693" s="35" t="s">
        <v>107</v>
      </c>
      <c r="E693" s="35" t="s">
        <v>890</v>
      </c>
      <c r="F693" s="35" t="s">
        <v>2147</v>
      </c>
      <c r="G693" s="35" t="s">
        <v>681</v>
      </c>
      <c r="H693" s="35" t="s">
        <v>61</v>
      </c>
      <c r="I693" s="4"/>
    </row>
    <row r="694" customFormat="false" ht="15" hidden="false" customHeight="false" outlineLevel="0" collapsed="false">
      <c r="A694" s="35" t="s">
        <v>693</v>
      </c>
      <c r="B694" s="35" t="s">
        <v>2864</v>
      </c>
      <c r="C694" s="35" t="s">
        <v>48</v>
      </c>
      <c r="D694" s="35" t="s">
        <v>57</v>
      </c>
      <c r="E694" s="35" t="s">
        <v>693</v>
      </c>
      <c r="F694" s="35"/>
      <c r="G694" s="35" t="s">
        <v>693</v>
      </c>
      <c r="H694" s="35" t="s">
        <v>369</v>
      </c>
      <c r="I694" s="4"/>
    </row>
    <row r="695" customFormat="false" ht="15" hidden="false" customHeight="false" outlineLevel="0" collapsed="false">
      <c r="A695" s="35" t="s">
        <v>2865</v>
      </c>
      <c r="B695" s="35" t="s">
        <v>2866</v>
      </c>
      <c r="C695" s="35" t="s">
        <v>48</v>
      </c>
      <c r="D695" s="35" t="s">
        <v>57</v>
      </c>
      <c r="E695" s="35" t="s">
        <v>810</v>
      </c>
      <c r="F695" s="35"/>
      <c r="G695" s="35" t="s">
        <v>693</v>
      </c>
      <c r="H695" s="35" t="s">
        <v>369</v>
      </c>
      <c r="I695" s="4"/>
    </row>
    <row r="696" customFormat="false" ht="15" hidden="false" customHeight="false" outlineLevel="0" collapsed="false">
      <c r="A696" s="35" t="s">
        <v>2867</v>
      </c>
      <c r="B696" s="35" t="s">
        <v>2868</v>
      </c>
      <c r="C696" s="35" t="s">
        <v>48</v>
      </c>
      <c r="D696" s="35" t="s">
        <v>57</v>
      </c>
      <c r="E696" s="35" t="s">
        <v>810</v>
      </c>
      <c r="F696" s="35"/>
      <c r="G696" s="35" t="s">
        <v>693</v>
      </c>
      <c r="H696" s="35" t="s">
        <v>369</v>
      </c>
      <c r="I696" s="4"/>
    </row>
    <row r="697" customFormat="false" ht="15" hidden="false" customHeight="false" outlineLevel="0" collapsed="false">
      <c r="A697" s="35" t="s">
        <v>2869</v>
      </c>
      <c r="B697" s="35" t="s">
        <v>2870</v>
      </c>
      <c r="C697" s="35" t="s">
        <v>48</v>
      </c>
      <c r="D697" s="35" t="s">
        <v>57</v>
      </c>
      <c r="E697" s="35" t="s">
        <v>810</v>
      </c>
      <c r="F697" s="35"/>
      <c r="G697" s="35" t="s">
        <v>693</v>
      </c>
      <c r="H697" s="35" t="s">
        <v>369</v>
      </c>
      <c r="I697" s="4"/>
    </row>
    <row r="698" customFormat="false" ht="15" hidden="false" customHeight="false" outlineLevel="0" collapsed="false">
      <c r="A698" s="35" t="s">
        <v>2871</v>
      </c>
      <c r="B698" s="35" t="s">
        <v>2872</v>
      </c>
      <c r="C698" s="35" t="s">
        <v>48</v>
      </c>
      <c r="D698" s="35" t="s">
        <v>157</v>
      </c>
      <c r="E698" s="35"/>
      <c r="F698" s="35"/>
      <c r="G698" s="35" t="s">
        <v>693</v>
      </c>
      <c r="H698" s="35" t="s">
        <v>61</v>
      </c>
      <c r="I698" s="4"/>
    </row>
    <row r="699" customFormat="false" ht="15" hidden="false" customHeight="false" outlineLevel="0" collapsed="false">
      <c r="A699" s="35" t="s">
        <v>2873</v>
      </c>
      <c r="B699" s="35" t="s">
        <v>2874</v>
      </c>
      <c r="C699" s="35" t="s">
        <v>48</v>
      </c>
      <c r="D699" s="35" t="s">
        <v>57</v>
      </c>
      <c r="E699" s="35" t="s">
        <v>865</v>
      </c>
      <c r="F699" s="35" t="s">
        <v>2534</v>
      </c>
      <c r="G699" s="35" t="s">
        <v>328</v>
      </c>
      <c r="H699" s="35" t="s">
        <v>61</v>
      </c>
      <c r="I699" s="4"/>
    </row>
    <row r="700" customFormat="false" ht="15" hidden="false" customHeight="false" outlineLevel="0" collapsed="false">
      <c r="A700" s="35" t="s">
        <v>2875</v>
      </c>
      <c r="B700" s="35" t="s">
        <v>2876</v>
      </c>
      <c r="C700" s="35" t="s">
        <v>48</v>
      </c>
      <c r="D700" s="35" t="s">
        <v>57</v>
      </c>
      <c r="E700" s="35" t="s">
        <v>865</v>
      </c>
      <c r="F700" s="35" t="s">
        <v>2534</v>
      </c>
      <c r="G700" s="35" t="s">
        <v>328</v>
      </c>
      <c r="H700" s="35" t="s">
        <v>61</v>
      </c>
      <c r="I700" s="4"/>
    </row>
    <row r="701" customFormat="false" ht="15" hidden="false" customHeight="false" outlineLevel="0" collapsed="false">
      <c r="A701" s="35" t="s">
        <v>2877</v>
      </c>
      <c r="B701" s="35" t="s">
        <v>2878</v>
      </c>
      <c r="C701" s="35" t="s">
        <v>48</v>
      </c>
      <c r="D701" s="35" t="s">
        <v>57</v>
      </c>
      <c r="E701" s="35" t="s">
        <v>865</v>
      </c>
      <c r="F701" s="35" t="s">
        <v>2534</v>
      </c>
      <c r="G701" s="35" t="s">
        <v>328</v>
      </c>
      <c r="H701" s="35" t="s">
        <v>61</v>
      </c>
      <c r="I701" s="4"/>
    </row>
    <row r="702" customFormat="false" ht="15" hidden="false" customHeight="false" outlineLevel="0" collapsed="false">
      <c r="A702" s="35" t="s">
        <v>2879</v>
      </c>
      <c r="B702" s="35" t="s">
        <v>2880</v>
      </c>
      <c r="C702" s="35" t="s">
        <v>48</v>
      </c>
      <c r="D702" s="35" t="s">
        <v>57</v>
      </c>
      <c r="E702" s="35" t="s">
        <v>865</v>
      </c>
      <c r="F702" s="35" t="s">
        <v>2534</v>
      </c>
      <c r="G702" s="35" t="s">
        <v>328</v>
      </c>
      <c r="H702" s="35" t="s">
        <v>61</v>
      </c>
      <c r="I702" s="4"/>
    </row>
    <row r="703" customFormat="false" ht="15" hidden="false" customHeight="false" outlineLevel="0" collapsed="false">
      <c r="A703" s="35" t="s">
        <v>2881</v>
      </c>
      <c r="B703" s="35" t="s">
        <v>2882</v>
      </c>
      <c r="C703" s="35" t="s">
        <v>48</v>
      </c>
      <c r="D703" s="35" t="s">
        <v>57</v>
      </c>
      <c r="E703" s="35" t="s">
        <v>865</v>
      </c>
      <c r="F703" s="35" t="s">
        <v>2534</v>
      </c>
      <c r="G703" s="35" t="s">
        <v>328</v>
      </c>
      <c r="H703" s="35" t="s">
        <v>61</v>
      </c>
      <c r="I703" s="4"/>
    </row>
    <row r="704" customFormat="false" ht="15" hidden="false" customHeight="false" outlineLevel="0" collapsed="false">
      <c r="A704" s="35" t="s">
        <v>2883</v>
      </c>
      <c r="B704" s="35" t="s">
        <v>2884</v>
      </c>
      <c r="C704" s="35" t="s">
        <v>48</v>
      </c>
      <c r="D704" s="35" t="s">
        <v>57</v>
      </c>
      <c r="E704" s="35" t="s">
        <v>810</v>
      </c>
      <c r="F704" s="35"/>
      <c r="G704" s="35" t="s">
        <v>328</v>
      </c>
      <c r="H704" s="35" t="s">
        <v>61</v>
      </c>
      <c r="I704" s="4"/>
    </row>
    <row r="705" customFormat="false" ht="15" hidden="false" customHeight="false" outlineLevel="0" collapsed="false">
      <c r="A705" s="35" t="s">
        <v>2885</v>
      </c>
      <c r="B705" s="35" t="s">
        <v>2886</v>
      </c>
      <c r="C705" s="35" t="s">
        <v>48</v>
      </c>
      <c r="D705" s="35" t="s">
        <v>57</v>
      </c>
      <c r="E705" s="35" t="s">
        <v>810</v>
      </c>
      <c r="F705" s="35" t="s">
        <v>2534</v>
      </c>
      <c r="G705" s="35" t="s">
        <v>328</v>
      </c>
      <c r="H705" s="35" t="s">
        <v>61</v>
      </c>
      <c r="I705" s="4"/>
    </row>
    <row r="706" customFormat="false" ht="15" hidden="false" customHeight="false" outlineLevel="0" collapsed="false">
      <c r="A706" s="35" t="s">
        <v>2887</v>
      </c>
      <c r="B706" s="35" t="s">
        <v>2888</v>
      </c>
      <c r="C706" s="35" t="s">
        <v>48</v>
      </c>
      <c r="D706" s="35" t="s">
        <v>57</v>
      </c>
      <c r="E706" s="35" t="s">
        <v>810</v>
      </c>
      <c r="F706" s="35" t="s">
        <v>2534</v>
      </c>
      <c r="G706" s="35" t="s">
        <v>328</v>
      </c>
      <c r="H706" s="35" t="s">
        <v>61</v>
      </c>
      <c r="I706" s="4"/>
    </row>
    <row r="707" customFormat="false" ht="15" hidden="false" customHeight="false" outlineLevel="0" collapsed="false">
      <c r="A707" s="35" t="s">
        <v>2889</v>
      </c>
      <c r="B707" s="35" t="s">
        <v>2890</v>
      </c>
      <c r="C707" s="35" t="s">
        <v>48</v>
      </c>
      <c r="D707" s="35" t="s">
        <v>57</v>
      </c>
      <c r="E707" s="35" t="s">
        <v>810</v>
      </c>
      <c r="F707" s="35" t="s">
        <v>2534</v>
      </c>
      <c r="G707" s="35" t="s">
        <v>328</v>
      </c>
      <c r="H707" s="35" t="s">
        <v>61</v>
      </c>
      <c r="I707" s="4"/>
    </row>
    <row r="708" customFormat="false" ht="15" hidden="false" customHeight="false" outlineLevel="0" collapsed="false">
      <c r="A708" s="35" t="s">
        <v>2891</v>
      </c>
      <c r="B708" s="35" t="s">
        <v>2892</v>
      </c>
      <c r="C708" s="35" t="s">
        <v>48</v>
      </c>
      <c r="D708" s="35" t="s">
        <v>57</v>
      </c>
      <c r="E708" s="35" t="s">
        <v>810</v>
      </c>
      <c r="F708" s="35" t="s">
        <v>2534</v>
      </c>
      <c r="G708" s="35" t="s">
        <v>328</v>
      </c>
      <c r="H708" s="35" t="s">
        <v>61</v>
      </c>
      <c r="I708" s="4"/>
    </row>
    <row r="709" customFormat="false" ht="15" hidden="false" customHeight="false" outlineLevel="0" collapsed="false">
      <c r="A709" s="35" t="s">
        <v>2893</v>
      </c>
      <c r="B709" s="35" t="s">
        <v>2894</v>
      </c>
      <c r="C709" s="35" t="s">
        <v>48</v>
      </c>
      <c r="D709" s="35" t="s">
        <v>57</v>
      </c>
      <c r="E709" s="35" t="s">
        <v>810</v>
      </c>
      <c r="F709" s="35"/>
      <c r="G709" s="35" t="s">
        <v>693</v>
      </c>
      <c r="H709" s="35" t="s">
        <v>369</v>
      </c>
      <c r="I709" s="4"/>
    </row>
    <row r="710" customFormat="false" ht="15" hidden="false" customHeight="false" outlineLevel="0" collapsed="false">
      <c r="A710" s="35" t="s">
        <v>2895</v>
      </c>
      <c r="B710" s="35" t="s">
        <v>2896</v>
      </c>
      <c r="C710" s="35" t="s">
        <v>48</v>
      </c>
      <c r="D710" s="35" t="s">
        <v>57</v>
      </c>
      <c r="E710" s="35" t="s">
        <v>810</v>
      </c>
      <c r="F710" s="35"/>
      <c r="G710" s="35" t="s">
        <v>693</v>
      </c>
      <c r="H710" s="35" t="s">
        <v>369</v>
      </c>
      <c r="I710" s="4"/>
    </row>
    <row r="711" customFormat="false" ht="15" hidden="false" customHeight="false" outlineLevel="0" collapsed="false">
      <c r="A711" s="35" t="s">
        <v>2897</v>
      </c>
      <c r="B711" s="35" t="s">
        <v>2898</v>
      </c>
      <c r="C711" s="35" t="s">
        <v>48</v>
      </c>
      <c r="D711" s="35" t="s">
        <v>57</v>
      </c>
      <c r="E711" s="35" t="s">
        <v>810</v>
      </c>
      <c r="F711" s="35"/>
      <c r="G711" s="35" t="s">
        <v>693</v>
      </c>
      <c r="H711" s="35" t="s">
        <v>369</v>
      </c>
      <c r="I711" s="4"/>
    </row>
    <row r="712" customFormat="false" ht="15" hidden="false" customHeight="false" outlineLevel="0" collapsed="false">
      <c r="A712" s="35" t="s">
        <v>2899</v>
      </c>
      <c r="B712" s="35" t="s">
        <v>2900</v>
      </c>
      <c r="C712" s="35" t="s">
        <v>48</v>
      </c>
      <c r="D712" s="35" t="s">
        <v>57</v>
      </c>
      <c r="E712" s="35" t="s">
        <v>810</v>
      </c>
      <c r="F712" s="35"/>
      <c r="G712" s="35" t="s">
        <v>693</v>
      </c>
      <c r="H712" s="35" t="s">
        <v>369</v>
      </c>
      <c r="I712" s="4"/>
    </row>
    <row r="713" customFormat="false" ht="15" hidden="false" customHeight="false" outlineLevel="0" collapsed="false">
      <c r="A713" s="35" t="s">
        <v>2901</v>
      </c>
      <c r="B713" s="35" t="s">
        <v>2902</v>
      </c>
      <c r="C713" s="35" t="s">
        <v>48</v>
      </c>
      <c r="D713" s="35" t="s">
        <v>57</v>
      </c>
      <c r="E713" s="35" t="s">
        <v>810</v>
      </c>
      <c r="F713" s="35"/>
      <c r="G713" s="35" t="s">
        <v>693</v>
      </c>
      <c r="H713" s="35" t="s">
        <v>369</v>
      </c>
      <c r="I713" s="4"/>
    </row>
    <row r="714" customFormat="false" ht="15" hidden="false" customHeight="false" outlineLevel="0" collapsed="false">
      <c r="A714" s="35" t="s">
        <v>2903</v>
      </c>
      <c r="B714" s="35" t="s">
        <v>2904</v>
      </c>
      <c r="C714" s="35" t="s">
        <v>48</v>
      </c>
      <c r="D714" s="35" t="s">
        <v>157</v>
      </c>
      <c r="E714" s="35"/>
      <c r="F714" s="35"/>
      <c r="G714" s="35" t="s">
        <v>693</v>
      </c>
      <c r="H714" s="35" t="s">
        <v>369</v>
      </c>
      <c r="I714" s="4"/>
    </row>
    <row r="715" customFormat="false" ht="15" hidden="false" customHeight="false" outlineLevel="0" collapsed="false">
      <c r="A715" s="35" t="s">
        <v>2905</v>
      </c>
      <c r="B715" s="35" t="s">
        <v>2906</v>
      </c>
      <c r="C715" s="35" t="s">
        <v>48</v>
      </c>
      <c r="D715" s="35" t="s">
        <v>57</v>
      </c>
      <c r="E715" s="35" t="s">
        <v>810</v>
      </c>
      <c r="F715" s="35"/>
      <c r="G715" s="35" t="s">
        <v>693</v>
      </c>
      <c r="H715" s="35" t="s">
        <v>369</v>
      </c>
      <c r="I715" s="4"/>
    </row>
    <row r="716" customFormat="false" ht="15" hidden="false" customHeight="false" outlineLevel="0" collapsed="false">
      <c r="A716" s="35" t="s">
        <v>2907</v>
      </c>
      <c r="B716" s="35" t="s">
        <v>2908</v>
      </c>
      <c r="C716" s="35" t="s">
        <v>48</v>
      </c>
      <c r="D716" s="35" t="s">
        <v>53</v>
      </c>
      <c r="E716" s="35"/>
      <c r="F716" s="35"/>
      <c r="G716" s="35" t="s">
        <v>444</v>
      </c>
      <c r="H716" s="35" t="s">
        <v>61</v>
      </c>
      <c r="I716" s="4"/>
    </row>
    <row r="717" customFormat="false" ht="15" hidden="false" customHeight="false" outlineLevel="0" collapsed="false">
      <c r="A717" s="35" t="s">
        <v>2909</v>
      </c>
      <c r="B717" s="35" t="s">
        <v>2910</v>
      </c>
      <c r="C717" s="35" t="s">
        <v>48</v>
      </c>
      <c r="D717" s="35" t="s">
        <v>107</v>
      </c>
      <c r="E717" s="35" t="s">
        <v>484</v>
      </c>
      <c r="F717" s="35"/>
      <c r="G717" s="35" t="s">
        <v>444</v>
      </c>
      <c r="H717" s="35" t="s">
        <v>61</v>
      </c>
      <c r="I717" s="4"/>
    </row>
    <row r="718" customFormat="false" ht="15" hidden="false" customHeight="false" outlineLevel="0" collapsed="false">
      <c r="A718" s="35" t="s">
        <v>2911</v>
      </c>
      <c r="B718" s="35" t="s">
        <v>2912</v>
      </c>
      <c r="C718" s="35" t="s">
        <v>48</v>
      </c>
      <c r="D718" s="35" t="s">
        <v>114</v>
      </c>
      <c r="E718" s="35"/>
      <c r="F718" s="35"/>
      <c r="G718" s="35" t="s">
        <v>686</v>
      </c>
      <c r="H718" s="35" t="s">
        <v>61</v>
      </c>
      <c r="I718" s="4"/>
    </row>
    <row r="719" customFormat="false" ht="15" hidden="false" customHeight="false" outlineLevel="0" collapsed="false">
      <c r="A719" s="35" t="s">
        <v>2913</v>
      </c>
      <c r="B719" s="35" t="s">
        <v>2914</v>
      </c>
      <c r="C719" s="35" t="s">
        <v>48</v>
      </c>
      <c r="D719" s="35" t="s">
        <v>53</v>
      </c>
      <c r="E719" s="35"/>
      <c r="F719" s="35"/>
      <c r="G719" s="35" t="s">
        <v>686</v>
      </c>
      <c r="H719" s="35" t="s">
        <v>61</v>
      </c>
      <c r="I719" s="4"/>
    </row>
    <row r="720" customFormat="false" ht="15" hidden="false" customHeight="false" outlineLevel="0" collapsed="false">
      <c r="A720" s="35" t="s">
        <v>2915</v>
      </c>
      <c r="B720" s="35" t="s">
        <v>2916</v>
      </c>
      <c r="C720" s="35" t="s">
        <v>48</v>
      </c>
      <c r="D720" s="35" t="s">
        <v>57</v>
      </c>
      <c r="E720" s="35" t="s">
        <v>94</v>
      </c>
      <c r="F720" s="35"/>
      <c r="G720" s="35" t="s">
        <v>686</v>
      </c>
      <c r="H720" s="35" t="s">
        <v>61</v>
      </c>
      <c r="I720" s="4"/>
    </row>
    <row r="721" customFormat="false" ht="15" hidden="false" customHeight="false" outlineLevel="0" collapsed="false">
      <c r="A721" s="35" t="s">
        <v>1315</v>
      </c>
      <c r="B721" s="35" t="s">
        <v>2917</v>
      </c>
      <c r="C721" s="35" t="s">
        <v>48</v>
      </c>
      <c r="D721" s="35" t="s">
        <v>57</v>
      </c>
      <c r="E721" s="35" t="s">
        <v>1314</v>
      </c>
      <c r="F721" s="35"/>
      <c r="G721" s="35" t="s">
        <v>703</v>
      </c>
      <c r="H721" s="35" t="s">
        <v>61</v>
      </c>
      <c r="I721" s="4"/>
    </row>
    <row r="722" customFormat="false" ht="15" hidden="false" customHeight="false" outlineLevel="0" collapsed="false">
      <c r="A722" s="35" t="s">
        <v>1485</v>
      </c>
      <c r="B722" s="35" t="s">
        <v>2918</v>
      </c>
      <c r="C722" s="35" t="s">
        <v>48</v>
      </c>
      <c r="D722" s="35" t="s">
        <v>57</v>
      </c>
      <c r="E722" s="35" t="s">
        <v>1484</v>
      </c>
      <c r="F722" s="35"/>
      <c r="G722" s="35" t="s">
        <v>703</v>
      </c>
      <c r="H722" s="35" t="s">
        <v>61</v>
      </c>
      <c r="I722" s="4"/>
    </row>
    <row r="723" customFormat="false" ht="15" hidden="false" customHeight="false" outlineLevel="0" collapsed="false">
      <c r="A723" s="35" t="s">
        <v>2919</v>
      </c>
      <c r="B723" s="35" t="s">
        <v>2920</v>
      </c>
      <c r="C723" s="35" t="s">
        <v>48</v>
      </c>
      <c r="D723" s="35" t="s">
        <v>57</v>
      </c>
      <c r="E723" s="35" t="s">
        <v>1035</v>
      </c>
      <c r="F723" s="35"/>
      <c r="G723" s="35" t="s">
        <v>703</v>
      </c>
      <c r="H723" s="35" t="s">
        <v>61</v>
      </c>
      <c r="I723" s="4"/>
    </row>
    <row r="724" customFormat="false" ht="15" hidden="false" customHeight="false" outlineLevel="0" collapsed="false">
      <c r="A724" s="35" t="s">
        <v>2921</v>
      </c>
      <c r="B724" s="35" t="s">
        <v>2922</v>
      </c>
      <c r="C724" s="35" t="s">
        <v>48</v>
      </c>
      <c r="D724" s="35" t="s">
        <v>57</v>
      </c>
      <c r="E724" s="35" t="s">
        <v>45</v>
      </c>
      <c r="F724" s="35"/>
      <c r="G724" s="35" t="s">
        <v>703</v>
      </c>
      <c r="H724" s="35" t="s">
        <v>61</v>
      </c>
      <c r="I724" s="4"/>
    </row>
    <row r="725" customFormat="false" ht="15" hidden="false" customHeight="false" outlineLevel="0" collapsed="false">
      <c r="A725" s="35" t="s">
        <v>2923</v>
      </c>
      <c r="B725" s="35" t="s">
        <v>2924</v>
      </c>
      <c r="C725" s="35" t="s">
        <v>48</v>
      </c>
      <c r="D725" s="35" t="s">
        <v>107</v>
      </c>
      <c r="E725" s="35" t="s">
        <v>1098</v>
      </c>
      <c r="F725" s="35"/>
      <c r="G725" s="35" t="s">
        <v>703</v>
      </c>
      <c r="H725" s="35" t="s">
        <v>61</v>
      </c>
      <c r="I725" s="4"/>
    </row>
    <row r="726" customFormat="false" ht="15" hidden="false" customHeight="false" outlineLevel="0" collapsed="false">
      <c r="A726" s="35" t="s">
        <v>2925</v>
      </c>
      <c r="B726" s="35" t="s">
        <v>2926</v>
      </c>
      <c r="C726" s="35" t="s">
        <v>48</v>
      </c>
      <c r="D726" s="35" t="s">
        <v>107</v>
      </c>
      <c r="E726" s="35" t="s">
        <v>1098</v>
      </c>
      <c r="F726" s="35"/>
      <c r="G726" s="35" t="s">
        <v>703</v>
      </c>
      <c r="H726" s="35" t="s">
        <v>61</v>
      </c>
      <c r="I726" s="4"/>
    </row>
    <row r="727" customFormat="false" ht="15" hidden="false" customHeight="false" outlineLevel="0" collapsed="false">
      <c r="A727" s="35" t="s">
        <v>1376</v>
      </c>
      <c r="B727" s="35" t="s">
        <v>2927</v>
      </c>
      <c r="C727" s="35" t="s">
        <v>48</v>
      </c>
      <c r="D727" s="35" t="s">
        <v>46</v>
      </c>
      <c r="E727" s="35" t="s">
        <v>1375</v>
      </c>
      <c r="F727" s="35"/>
      <c r="G727" s="35" t="s">
        <v>761</v>
      </c>
      <c r="H727" s="35" t="s">
        <v>61</v>
      </c>
      <c r="I727" s="4"/>
    </row>
    <row r="728" customFormat="false" ht="15" hidden="false" customHeight="false" outlineLevel="0" collapsed="false">
      <c r="A728" s="35" t="s">
        <v>470</v>
      </c>
      <c r="B728" s="35" t="s">
        <v>471</v>
      </c>
      <c r="C728" s="35" t="s">
        <v>48</v>
      </c>
      <c r="D728" s="35" t="s">
        <v>146</v>
      </c>
      <c r="E728" s="35"/>
      <c r="F728" s="35"/>
      <c r="G728" s="35" t="s">
        <v>444</v>
      </c>
      <c r="H728" s="35" t="s">
        <v>61</v>
      </c>
      <c r="I728" s="4" t="s">
        <v>2025</v>
      </c>
    </row>
    <row r="729" customFormat="false" ht="15" hidden="false" customHeight="false" outlineLevel="0" collapsed="false">
      <c r="A729" s="35" t="s">
        <v>2928</v>
      </c>
      <c r="B729" s="35" t="s">
        <v>2929</v>
      </c>
      <c r="C729" s="35" t="s">
        <v>48</v>
      </c>
      <c r="D729" s="35" t="s">
        <v>107</v>
      </c>
      <c r="E729" s="35" t="s">
        <v>880</v>
      </c>
      <c r="F729" s="35"/>
      <c r="G729" s="35" t="s">
        <v>204</v>
      </c>
      <c r="H729" s="35" t="s">
        <v>61</v>
      </c>
      <c r="I729" s="4"/>
    </row>
    <row r="730" customFormat="false" ht="15" hidden="false" customHeight="false" outlineLevel="0" collapsed="false">
      <c r="A730" s="35" t="s">
        <v>2930</v>
      </c>
      <c r="B730" s="35" t="s">
        <v>2931</v>
      </c>
      <c r="C730" s="35" t="s">
        <v>48</v>
      </c>
      <c r="D730" s="35" t="s">
        <v>107</v>
      </c>
      <c r="E730" s="35" t="s">
        <v>297</v>
      </c>
      <c r="F730" s="35"/>
      <c r="G730" s="35" t="s">
        <v>49</v>
      </c>
      <c r="H730" s="35" t="s">
        <v>49</v>
      </c>
      <c r="I730" s="4"/>
    </row>
    <row r="731" customFormat="false" ht="15" hidden="false" customHeight="false" outlineLevel="0" collapsed="false">
      <c r="A731" s="35" t="s">
        <v>2932</v>
      </c>
      <c r="B731" s="35" t="s">
        <v>2933</v>
      </c>
      <c r="C731" s="35" t="s">
        <v>48</v>
      </c>
      <c r="D731" s="35" t="s">
        <v>53</v>
      </c>
      <c r="E731" s="35"/>
      <c r="F731" s="35"/>
      <c r="G731" s="35" t="s">
        <v>204</v>
      </c>
      <c r="H731" s="35" t="s">
        <v>61</v>
      </c>
      <c r="I731" s="4"/>
    </row>
    <row r="732" customFormat="false" ht="15" hidden="false" customHeight="false" outlineLevel="0" collapsed="false">
      <c r="A732" s="35" t="s">
        <v>297</v>
      </c>
      <c r="B732" s="35" t="s">
        <v>298</v>
      </c>
      <c r="C732" s="35" t="s">
        <v>48</v>
      </c>
      <c r="D732" s="35" t="s">
        <v>57</v>
      </c>
      <c r="E732" s="35" t="s">
        <v>297</v>
      </c>
      <c r="F732" s="35"/>
      <c r="G732" s="35" t="s">
        <v>262</v>
      </c>
      <c r="H732" s="35" t="s">
        <v>50</v>
      </c>
      <c r="I732" s="4" t="s">
        <v>2025</v>
      </c>
    </row>
    <row r="733" customFormat="false" ht="15" hidden="false" customHeight="false" outlineLevel="0" collapsed="false">
      <c r="A733" s="35" t="s">
        <v>2934</v>
      </c>
      <c r="B733" s="35" t="s">
        <v>2935</v>
      </c>
      <c r="C733" s="35" t="s">
        <v>48</v>
      </c>
      <c r="D733" s="35" t="s">
        <v>57</v>
      </c>
      <c r="E733" s="35" t="s">
        <v>297</v>
      </c>
      <c r="F733" s="35"/>
      <c r="G733" s="35" t="s">
        <v>49</v>
      </c>
      <c r="H733" s="35" t="s">
        <v>49</v>
      </c>
      <c r="I733" s="4"/>
    </row>
    <row r="734" customFormat="false" ht="15" hidden="false" customHeight="false" outlineLevel="0" collapsed="false">
      <c r="A734" s="35" t="s">
        <v>2936</v>
      </c>
      <c r="B734" s="35" t="s">
        <v>2937</v>
      </c>
      <c r="C734" s="35" t="s">
        <v>48</v>
      </c>
      <c r="D734" s="35" t="s">
        <v>57</v>
      </c>
      <c r="E734" s="35" t="s">
        <v>880</v>
      </c>
      <c r="F734" s="35"/>
      <c r="G734" s="35" t="s">
        <v>204</v>
      </c>
      <c r="H734" s="35" t="s">
        <v>61</v>
      </c>
      <c r="I734" s="4"/>
    </row>
    <row r="735" customFormat="false" ht="15" hidden="false" customHeight="false" outlineLevel="0" collapsed="false">
      <c r="A735" s="35" t="s">
        <v>2938</v>
      </c>
      <c r="B735" s="35" t="s">
        <v>2939</v>
      </c>
      <c r="C735" s="35" t="s">
        <v>48</v>
      </c>
      <c r="D735" s="35" t="s">
        <v>53</v>
      </c>
      <c r="E735" s="35"/>
      <c r="F735" s="35"/>
      <c r="G735" s="35" t="s">
        <v>204</v>
      </c>
      <c r="H735" s="35" t="s">
        <v>61</v>
      </c>
      <c r="I735" s="4"/>
    </row>
    <row r="736" customFormat="false" ht="15" hidden="false" customHeight="false" outlineLevel="0" collapsed="false">
      <c r="A736" s="35" t="s">
        <v>2940</v>
      </c>
      <c r="B736" s="35" t="s">
        <v>2941</v>
      </c>
      <c r="C736" s="35" t="s">
        <v>48</v>
      </c>
      <c r="D736" s="35" t="s">
        <v>53</v>
      </c>
      <c r="E736" s="35"/>
      <c r="F736" s="35"/>
      <c r="G736" s="35" t="s">
        <v>262</v>
      </c>
      <c r="H736" s="35" t="s">
        <v>61</v>
      </c>
      <c r="I736" s="4"/>
    </row>
    <row r="737" customFormat="false" ht="15" hidden="false" customHeight="false" outlineLevel="0" collapsed="false">
      <c r="A737" s="35" t="s">
        <v>300</v>
      </c>
      <c r="B737" s="35" t="s">
        <v>301</v>
      </c>
      <c r="C737" s="35" t="s">
        <v>48</v>
      </c>
      <c r="D737" s="35" t="s">
        <v>53</v>
      </c>
      <c r="E737" s="35"/>
      <c r="F737" s="35"/>
      <c r="G737" s="35" t="s">
        <v>262</v>
      </c>
      <c r="H737" s="35" t="s">
        <v>61</v>
      </c>
      <c r="I737" s="4" t="s">
        <v>2025</v>
      </c>
    </row>
    <row r="738" customFormat="false" ht="15" hidden="false" customHeight="false" outlineLevel="0" collapsed="false">
      <c r="A738" s="35" t="s">
        <v>2942</v>
      </c>
      <c r="B738" s="35" t="s">
        <v>2942</v>
      </c>
      <c r="C738" s="35" t="s">
        <v>48</v>
      </c>
      <c r="D738" s="35" t="s">
        <v>53</v>
      </c>
      <c r="E738" s="35"/>
      <c r="F738" s="35"/>
      <c r="G738" s="35" t="s">
        <v>691</v>
      </c>
      <c r="H738" s="35" t="s">
        <v>61</v>
      </c>
      <c r="I738" s="4"/>
    </row>
    <row r="739" customFormat="false" ht="15" hidden="false" customHeight="false" outlineLevel="0" collapsed="false">
      <c r="A739" s="35" t="s">
        <v>1381</v>
      </c>
      <c r="B739" s="35" t="s">
        <v>2943</v>
      </c>
      <c r="C739" s="35" t="s">
        <v>48</v>
      </c>
      <c r="D739" s="35" t="s">
        <v>107</v>
      </c>
      <c r="E739" s="35" t="s">
        <v>262</v>
      </c>
      <c r="F739" s="35"/>
      <c r="G739" s="35" t="s">
        <v>262</v>
      </c>
      <c r="H739" s="35" t="s">
        <v>50</v>
      </c>
      <c r="I739" s="4"/>
    </row>
    <row r="740" customFormat="false" ht="15" hidden="false" customHeight="false" outlineLevel="0" collapsed="false">
      <c r="A740" s="35" t="s">
        <v>1383</v>
      </c>
      <c r="B740" s="35" t="s">
        <v>2944</v>
      </c>
      <c r="C740" s="35" t="s">
        <v>48</v>
      </c>
      <c r="D740" s="35" t="s">
        <v>107</v>
      </c>
      <c r="E740" s="35" t="s">
        <v>1383</v>
      </c>
      <c r="F740" s="35"/>
      <c r="G740" s="35" t="s">
        <v>119</v>
      </c>
      <c r="H740" s="35" t="s">
        <v>61</v>
      </c>
      <c r="I740" s="4"/>
    </row>
    <row r="741" customFormat="false" ht="15" hidden="false" customHeight="false" outlineLevel="0" collapsed="false">
      <c r="A741" s="35" t="s">
        <v>2945</v>
      </c>
      <c r="B741" s="35" t="s">
        <v>2946</v>
      </c>
      <c r="C741" s="35" t="s">
        <v>48</v>
      </c>
      <c r="D741" s="35" t="s">
        <v>53</v>
      </c>
      <c r="E741" s="35"/>
      <c r="F741" s="35" t="s">
        <v>2534</v>
      </c>
      <c r="G741" s="35" t="s">
        <v>262</v>
      </c>
      <c r="H741" s="35" t="s">
        <v>61</v>
      </c>
      <c r="I741" s="4"/>
    </row>
    <row r="742" customFormat="false" ht="15" hidden="false" customHeight="false" outlineLevel="0" collapsed="false">
      <c r="A742" s="35" t="s">
        <v>2947</v>
      </c>
      <c r="B742" s="35" t="s">
        <v>2948</v>
      </c>
      <c r="C742" s="35" t="s">
        <v>48</v>
      </c>
      <c r="D742" s="35" t="s">
        <v>53</v>
      </c>
      <c r="E742" s="35"/>
      <c r="F742" s="35"/>
      <c r="G742" s="35" t="s">
        <v>723</v>
      </c>
      <c r="H742" s="35" t="s">
        <v>61</v>
      </c>
      <c r="I742" s="4"/>
    </row>
    <row r="743" customFormat="false" ht="15" hidden="false" customHeight="false" outlineLevel="0" collapsed="false">
      <c r="A743" s="35" t="s">
        <v>2949</v>
      </c>
      <c r="B743" s="35" t="s">
        <v>2950</v>
      </c>
      <c r="C743" s="35" t="s">
        <v>48</v>
      </c>
      <c r="D743" s="35" t="s">
        <v>57</v>
      </c>
      <c r="E743" s="35" t="s">
        <v>447</v>
      </c>
      <c r="F743" s="35"/>
      <c r="G743" s="35" t="s">
        <v>262</v>
      </c>
      <c r="H743" s="35" t="s">
        <v>61</v>
      </c>
      <c r="I743" s="4"/>
    </row>
    <row r="744" customFormat="false" ht="15" hidden="false" customHeight="false" outlineLevel="0" collapsed="false">
      <c r="A744" s="35" t="s">
        <v>2951</v>
      </c>
      <c r="B744" s="35" t="s">
        <v>2952</v>
      </c>
      <c r="C744" s="35" t="s">
        <v>48</v>
      </c>
      <c r="D744" s="35" t="s">
        <v>53</v>
      </c>
      <c r="E744" s="35"/>
      <c r="F744" s="35"/>
      <c r="G744" s="35" t="s">
        <v>680</v>
      </c>
      <c r="H744" s="35" t="s">
        <v>61</v>
      </c>
      <c r="I744" s="4"/>
    </row>
    <row r="745" customFormat="false" ht="15" hidden="false" customHeight="false" outlineLevel="0" collapsed="false">
      <c r="A745" s="35" t="s">
        <v>2953</v>
      </c>
      <c r="B745" s="35" t="s">
        <v>2954</v>
      </c>
      <c r="C745" s="35" t="s">
        <v>48</v>
      </c>
      <c r="D745" s="35" t="s">
        <v>53</v>
      </c>
      <c r="E745" s="35"/>
      <c r="F745" s="35"/>
      <c r="G745" s="35" t="s">
        <v>680</v>
      </c>
      <c r="H745" s="35" t="s">
        <v>61</v>
      </c>
      <c r="I745" s="4"/>
    </row>
    <row r="746" customFormat="false" ht="15" hidden="false" customHeight="false" outlineLevel="0" collapsed="false">
      <c r="A746" s="35" t="s">
        <v>2955</v>
      </c>
      <c r="B746" s="35" t="s">
        <v>2956</v>
      </c>
      <c r="C746" s="35" t="s">
        <v>48</v>
      </c>
      <c r="D746" s="35" t="s">
        <v>53</v>
      </c>
      <c r="E746" s="35"/>
      <c r="F746" s="35"/>
      <c r="G746" s="35" t="s">
        <v>680</v>
      </c>
      <c r="H746" s="35" t="s">
        <v>61</v>
      </c>
      <c r="I746" s="4"/>
    </row>
    <row r="747" customFormat="false" ht="15" hidden="false" customHeight="false" outlineLevel="0" collapsed="false">
      <c r="A747" s="35" t="s">
        <v>2957</v>
      </c>
      <c r="B747" s="35" t="s">
        <v>2958</v>
      </c>
      <c r="C747" s="35" t="s">
        <v>48</v>
      </c>
      <c r="D747" s="35" t="s">
        <v>53</v>
      </c>
      <c r="E747" s="35"/>
      <c r="F747" s="35"/>
      <c r="G747" s="35" t="s">
        <v>680</v>
      </c>
      <c r="H747" s="35" t="s">
        <v>61</v>
      </c>
      <c r="I747" s="4"/>
    </row>
    <row r="748" customFormat="false" ht="15" hidden="false" customHeight="false" outlineLevel="0" collapsed="false">
      <c r="A748" s="35" t="s">
        <v>2959</v>
      </c>
      <c r="B748" s="35" t="s">
        <v>2960</v>
      </c>
      <c r="C748" s="35" t="s">
        <v>48</v>
      </c>
      <c r="D748" s="35" t="s">
        <v>53</v>
      </c>
      <c r="E748" s="35"/>
      <c r="F748" s="35"/>
      <c r="G748" s="35" t="s">
        <v>680</v>
      </c>
      <c r="H748" s="35" t="s">
        <v>61</v>
      </c>
      <c r="I748" s="4"/>
    </row>
    <row r="749" customFormat="false" ht="15" hidden="false" customHeight="false" outlineLevel="0" collapsed="false">
      <c r="A749" s="35" t="s">
        <v>169</v>
      </c>
      <c r="B749" s="35" t="s">
        <v>170</v>
      </c>
      <c r="C749" s="35" t="s">
        <v>48</v>
      </c>
      <c r="D749" s="35" t="s">
        <v>157</v>
      </c>
      <c r="E749" s="35"/>
      <c r="F749" s="35"/>
      <c r="G749" s="35" t="s">
        <v>49</v>
      </c>
      <c r="H749" s="35" t="s">
        <v>49</v>
      </c>
      <c r="I749" s="4" t="s">
        <v>2025</v>
      </c>
    </row>
    <row r="750" customFormat="false" ht="15" hidden="false" customHeight="false" outlineLevel="0" collapsed="false">
      <c r="A750" s="35" t="s">
        <v>2961</v>
      </c>
      <c r="B750" s="35" t="s">
        <v>2962</v>
      </c>
      <c r="C750" s="35" t="s">
        <v>48</v>
      </c>
      <c r="D750" s="35" t="s">
        <v>107</v>
      </c>
      <c r="E750" s="35" t="s">
        <v>1101</v>
      </c>
      <c r="F750" s="35"/>
      <c r="G750" s="35" t="s">
        <v>444</v>
      </c>
      <c r="H750" s="35" t="s">
        <v>61</v>
      </c>
      <c r="I750" s="4"/>
    </row>
    <row r="751" customFormat="false" ht="15" hidden="false" customHeight="false" outlineLevel="0" collapsed="false">
      <c r="A751" s="35" t="s">
        <v>1387</v>
      </c>
      <c r="B751" s="35" t="s">
        <v>2963</v>
      </c>
      <c r="C751" s="35" t="s">
        <v>48</v>
      </c>
      <c r="D751" s="35" t="s">
        <v>107</v>
      </c>
      <c r="E751" s="35" t="s">
        <v>1387</v>
      </c>
      <c r="F751" s="35"/>
      <c r="G751" s="35" t="s">
        <v>444</v>
      </c>
      <c r="H751" s="35" t="s">
        <v>61</v>
      </c>
      <c r="I751" s="4"/>
    </row>
    <row r="752" customFormat="false" ht="15" hidden="false" customHeight="false" outlineLevel="0" collapsed="false">
      <c r="A752" s="35" t="s">
        <v>1388</v>
      </c>
      <c r="B752" s="35" t="s">
        <v>2964</v>
      </c>
      <c r="C752" s="35" t="s">
        <v>48</v>
      </c>
      <c r="D752" s="35" t="s">
        <v>57</v>
      </c>
      <c r="E752" s="35" t="s">
        <v>1388</v>
      </c>
      <c r="F752" s="35"/>
      <c r="G752" s="35" t="s">
        <v>444</v>
      </c>
      <c r="H752" s="35" t="s">
        <v>61</v>
      </c>
      <c r="I752" s="4"/>
    </row>
    <row r="753" customFormat="false" ht="15" hidden="false" customHeight="false" outlineLevel="0" collapsed="false">
      <c r="A753" s="35" t="s">
        <v>436</v>
      </c>
      <c r="B753" s="35" t="s">
        <v>437</v>
      </c>
      <c r="C753" s="35" t="s">
        <v>48</v>
      </c>
      <c r="D753" s="35" t="s">
        <v>57</v>
      </c>
      <c r="E753" s="35" t="s">
        <v>436</v>
      </c>
      <c r="F753" s="35"/>
      <c r="G753" s="35" t="s">
        <v>49</v>
      </c>
      <c r="H753" s="35" t="s">
        <v>50</v>
      </c>
      <c r="I753" s="4" t="s">
        <v>2025</v>
      </c>
    </row>
    <row r="754" customFormat="false" ht="15" hidden="false" customHeight="false" outlineLevel="0" collapsed="false">
      <c r="A754" s="35" t="s">
        <v>2965</v>
      </c>
      <c r="B754" s="35" t="s">
        <v>2966</v>
      </c>
      <c r="C754" s="35" t="s">
        <v>48</v>
      </c>
      <c r="D754" s="35" t="s">
        <v>114</v>
      </c>
      <c r="E754" s="35"/>
      <c r="F754" s="35"/>
      <c r="G754" s="35" t="s">
        <v>444</v>
      </c>
      <c r="H754" s="35" t="s">
        <v>61</v>
      </c>
      <c r="I754" s="4"/>
    </row>
    <row r="755" customFormat="false" ht="15" hidden="false" customHeight="false" outlineLevel="0" collapsed="false">
      <c r="A755" s="35" t="s">
        <v>439</v>
      </c>
      <c r="B755" s="35" t="s">
        <v>440</v>
      </c>
      <c r="C755" s="35" t="s">
        <v>48</v>
      </c>
      <c r="D755" s="35" t="s">
        <v>57</v>
      </c>
      <c r="E755" s="35" t="s">
        <v>439</v>
      </c>
      <c r="F755" s="35"/>
      <c r="G755" s="35" t="s">
        <v>49</v>
      </c>
      <c r="H755" s="35" t="s">
        <v>49</v>
      </c>
      <c r="I755" s="4" t="s">
        <v>2025</v>
      </c>
    </row>
    <row r="756" customFormat="false" ht="15" hidden="false" customHeight="false" outlineLevel="0" collapsed="false">
      <c r="A756" s="35" t="s">
        <v>2967</v>
      </c>
      <c r="B756" s="35" t="s">
        <v>2968</v>
      </c>
      <c r="C756" s="35" t="s">
        <v>48</v>
      </c>
      <c r="D756" s="35" t="s">
        <v>107</v>
      </c>
      <c r="E756" s="35" t="s">
        <v>439</v>
      </c>
      <c r="F756" s="35"/>
      <c r="G756" s="35" t="s">
        <v>49</v>
      </c>
      <c r="H756" s="35" t="s">
        <v>49</v>
      </c>
      <c r="I756" s="4"/>
    </row>
    <row r="757" customFormat="false" ht="15" hidden="false" customHeight="false" outlineLevel="0" collapsed="false">
      <c r="A757" s="35" t="s">
        <v>2969</v>
      </c>
      <c r="B757" s="35" t="s">
        <v>2970</v>
      </c>
      <c r="C757" s="35" t="s">
        <v>48</v>
      </c>
      <c r="D757" s="35" t="s">
        <v>107</v>
      </c>
      <c r="E757" s="35" t="s">
        <v>436</v>
      </c>
      <c r="F757" s="35"/>
      <c r="G757" s="35" t="s">
        <v>49</v>
      </c>
      <c r="H757" s="35" t="s">
        <v>49</v>
      </c>
      <c r="I757" s="4"/>
    </row>
    <row r="758" customFormat="false" ht="15" hidden="false" customHeight="false" outlineLevel="0" collapsed="false">
      <c r="A758" s="35" t="s">
        <v>2971</v>
      </c>
      <c r="B758" s="35" t="s">
        <v>2972</v>
      </c>
      <c r="C758" s="35" t="s">
        <v>48</v>
      </c>
      <c r="D758" s="35" t="s">
        <v>107</v>
      </c>
      <c r="E758" s="35" t="s">
        <v>501</v>
      </c>
      <c r="F758" s="35"/>
      <c r="G758" s="35" t="s">
        <v>444</v>
      </c>
      <c r="H758" s="35" t="s">
        <v>61</v>
      </c>
      <c r="I758" s="4"/>
    </row>
    <row r="759" customFormat="false" ht="15" hidden="false" customHeight="false" outlineLevel="0" collapsed="false">
      <c r="A759" s="35" t="s">
        <v>628</v>
      </c>
      <c r="B759" s="35" t="s">
        <v>629</v>
      </c>
      <c r="C759" s="35" t="s">
        <v>48</v>
      </c>
      <c r="D759" s="35" t="s">
        <v>107</v>
      </c>
      <c r="E759" s="35" t="s">
        <v>501</v>
      </c>
      <c r="F759" s="35"/>
      <c r="G759" s="35" t="s">
        <v>444</v>
      </c>
      <c r="H759" s="35" t="s">
        <v>61</v>
      </c>
      <c r="I759" s="4" t="s">
        <v>2025</v>
      </c>
    </row>
    <row r="760" customFormat="false" ht="15" hidden="false" customHeight="false" outlineLevel="0" collapsed="false">
      <c r="A760" s="35" t="s">
        <v>500</v>
      </c>
      <c r="B760" s="35" t="s">
        <v>502</v>
      </c>
      <c r="C760" s="35" t="s">
        <v>48</v>
      </c>
      <c r="D760" s="35" t="s">
        <v>107</v>
      </c>
      <c r="E760" s="35" t="s">
        <v>501</v>
      </c>
      <c r="F760" s="35"/>
      <c r="G760" s="35" t="s">
        <v>444</v>
      </c>
      <c r="H760" s="35" t="s">
        <v>61</v>
      </c>
      <c r="I760" s="4" t="s">
        <v>2025</v>
      </c>
    </row>
    <row r="761" customFormat="false" ht="15" hidden="false" customHeight="false" outlineLevel="0" collapsed="false">
      <c r="A761" s="35" t="s">
        <v>1390</v>
      </c>
      <c r="B761" s="35" t="s">
        <v>2973</v>
      </c>
      <c r="C761" s="35" t="s">
        <v>48</v>
      </c>
      <c r="D761" s="35" t="s">
        <v>107</v>
      </c>
      <c r="E761" s="35" t="s">
        <v>1389</v>
      </c>
      <c r="F761" s="35"/>
      <c r="G761" s="35" t="s">
        <v>444</v>
      </c>
      <c r="H761" s="35" t="s">
        <v>61</v>
      </c>
      <c r="I761" s="4"/>
    </row>
    <row r="762" customFormat="false" ht="15" hidden="false" customHeight="false" outlineLevel="0" collapsed="false">
      <c r="A762" s="35" t="s">
        <v>2974</v>
      </c>
      <c r="B762" s="35" t="s">
        <v>2975</v>
      </c>
      <c r="C762" s="35" t="s">
        <v>48</v>
      </c>
      <c r="D762" s="35" t="s">
        <v>157</v>
      </c>
      <c r="E762" s="35"/>
      <c r="F762" s="35"/>
      <c r="G762" s="35" t="s">
        <v>444</v>
      </c>
      <c r="H762" s="35" t="s">
        <v>61</v>
      </c>
      <c r="I762" s="4"/>
    </row>
    <row r="763" customFormat="false" ht="15" hidden="false" customHeight="false" outlineLevel="0" collapsed="false">
      <c r="A763" s="35" t="s">
        <v>442</v>
      </c>
      <c r="B763" s="35" t="s">
        <v>443</v>
      </c>
      <c r="C763" s="35" t="s">
        <v>48</v>
      </c>
      <c r="D763" s="35" t="s">
        <v>57</v>
      </c>
      <c r="E763" s="35" t="s">
        <v>442</v>
      </c>
      <c r="F763" s="35"/>
      <c r="G763" s="35" t="s">
        <v>444</v>
      </c>
      <c r="H763" s="35" t="s">
        <v>61</v>
      </c>
      <c r="I763" s="4" t="s">
        <v>2025</v>
      </c>
    </row>
    <row r="764" customFormat="false" ht="15" hidden="false" customHeight="false" outlineLevel="0" collapsed="false">
      <c r="A764" s="35" t="s">
        <v>2976</v>
      </c>
      <c r="B764" s="35" t="s">
        <v>2977</v>
      </c>
      <c r="C764" s="35" t="s">
        <v>48</v>
      </c>
      <c r="D764" s="35" t="s">
        <v>107</v>
      </c>
      <c r="E764" s="35" t="s">
        <v>484</v>
      </c>
      <c r="F764" s="35"/>
      <c r="G764" s="35" t="s">
        <v>444</v>
      </c>
      <c r="H764" s="35" t="s">
        <v>61</v>
      </c>
      <c r="I764" s="4"/>
    </row>
    <row r="765" customFormat="false" ht="15" hidden="false" customHeight="false" outlineLevel="0" collapsed="false">
      <c r="A765" s="35" t="s">
        <v>2978</v>
      </c>
      <c r="B765" s="35" t="s">
        <v>2979</v>
      </c>
      <c r="C765" s="35" t="s">
        <v>48</v>
      </c>
      <c r="D765" s="35" t="s">
        <v>107</v>
      </c>
      <c r="E765" s="35" t="s">
        <v>484</v>
      </c>
      <c r="F765" s="35"/>
      <c r="G765" s="35" t="s">
        <v>444</v>
      </c>
      <c r="H765" s="35" t="s">
        <v>61</v>
      </c>
      <c r="I765" s="4"/>
    </row>
    <row r="766" customFormat="false" ht="15" hidden="false" customHeight="false" outlineLevel="0" collapsed="false">
      <c r="A766" s="35" t="s">
        <v>2980</v>
      </c>
      <c r="B766" s="35" t="s">
        <v>2981</v>
      </c>
      <c r="C766" s="35" t="s">
        <v>48</v>
      </c>
      <c r="D766" s="35" t="s">
        <v>53</v>
      </c>
      <c r="E766" s="35"/>
      <c r="F766" s="35"/>
      <c r="G766" s="35" t="s">
        <v>444</v>
      </c>
      <c r="H766" s="35" t="s">
        <v>61</v>
      </c>
      <c r="I766" s="4"/>
    </row>
    <row r="767" customFormat="false" ht="15" hidden="false" customHeight="false" outlineLevel="0" collapsed="false">
      <c r="A767" s="35" t="s">
        <v>1392</v>
      </c>
      <c r="B767" s="35" t="s">
        <v>2982</v>
      </c>
      <c r="C767" s="35" t="s">
        <v>48</v>
      </c>
      <c r="D767" s="35" t="s">
        <v>107</v>
      </c>
      <c r="E767" s="35" t="s">
        <v>1391</v>
      </c>
      <c r="F767" s="35"/>
      <c r="G767" s="35" t="s">
        <v>444</v>
      </c>
      <c r="H767" s="35" t="s">
        <v>61</v>
      </c>
      <c r="I767" s="4"/>
    </row>
    <row r="768" customFormat="false" ht="15" hidden="false" customHeight="false" outlineLevel="0" collapsed="false">
      <c r="A768" s="35" t="s">
        <v>2983</v>
      </c>
      <c r="B768" s="35" t="s">
        <v>2984</v>
      </c>
      <c r="C768" s="35" t="s">
        <v>48</v>
      </c>
      <c r="D768" s="35" t="s">
        <v>447</v>
      </c>
      <c r="E768" s="35"/>
      <c r="F768" s="35"/>
      <c r="G768" s="35" t="s">
        <v>444</v>
      </c>
      <c r="H768" s="35" t="s">
        <v>61</v>
      </c>
      <c r="I768" s="4"/>
    </row>
    <row r="769" customFormat="false" ht="15" hidden="false" customHeight="false" outlineLevel="0" collapsed="false">
      <c r="A769" s="35" t="s">
        <v>2985</v>
      </c>
      <c r="B769" s="35" t="s">
        <v>2986</v>
      </c>
      <c r="C769" s="35" t="s">
        <v>48</v>
      </c>
      <c r="D769" s="35" t="s">
        <v>447</v>
      </c>
      <c r="E769" s="35"/>
      <c r="F769" s="35"/>
      <c r="G769" s="35" t="s">
        <v>444</v>
      </c>
      <c r="H769" s="35" t="s">
        <v>61</v>
      </c>
      <c r="I769" s="4"/>
    </row>
    <row r="770" customFormat="false" ht="15" hidden="false" customHeight="false" outlineLevel="0" collapsed="false">
      <c r="A770" s="35" t="s">
        <v>2987</v>
      </c>
      <c r="B770" s="35" t="s">
        <v>2988</v>
      </c>
      <c r="C770" s="35" t="s">
        <v>48</v>
      </c>
      <c r="D770" s="35" t="s">
        <v>447</v>
      </c>
      <c r="E770" s="35"/>
      <c r="F770" s="35"/>
      <c r="G770" s="35" t="s">
        <v>444</v>
      </c>
      <c r="H770" s="35" t="s">
        <v>61</v>
      </c>
      <c r="I770" s="4"/>
    </row>
    <row r="771" customFormat="false" ht="15" hidden="false" customHeight="false" outlineLevel="0" collapsed="false">
      <c r="A771" s="35" t="s">
        <v>2989</v>
      </c>
      <c r="B771" s="35" t="s">
        <v>2990</v>
      </c>
      <c r="C771" s="35" t="s">
        <v>48</v>
      </c>
      <c r="D771" s="35" t="s">
        <v>57</v>
      </c>
      <c r="E771" s="35" t="s">
        <v>447</v>
      </c>
      <c r="F771" s="35"/>
      <c r="G771" s="35" t="s">
        <v>444</v>
      </c>
      <c r="H771" s="35" t="s">
        <v>61</v>
      </c>
      <c r="I771" s="4"/>
    </row>
    <row r="772" customFormat="false" ht="15" hidden="false" customHeight="false" outlineLevel="0" collapsed="false">
      <c r="A772" s="35" t="s">
        <v>2991</v>
      </c>
      <c r="B772" s="35" t="s">
        <v>2992</v>
      </c>
      <c r="C772" s="35" t="s">
        <v>48</v>
      </c>
      <c r="D772" s="35" t="s">
        <v>57</v>
      </c>
      <c r="E772" s="35" t="s">
        <v>454</v>
      </c>
      <c r="F772" s="35"/>
      <c r="G772" s="35" t="s">
        <v>444</v>
      </c>
      <c r="H772" s="35" t="s">
        <v>61</v>
      </c>
      <c r="I772" s="4"/>
    </row>
    <row r="773" customFormat="false" ht="15" hidden="false" customHeight="false" outlineLevel="0" collapsed="false">
      <c r="A773" s="35" t="s">
        <v>2993</v>
      </c>
      <c r="B773" s="35" t="s">
        <v>2994</v>
      </c>
      <c r="C773" s="35" t="s">
        <v>48</v>
      </c>
      <c r="D773" s="35" t="s">
        <v>447</v>
      </c>
      <c r="E773" s="35"/>
      <c r="F773" s="35"/>
      <c r="G773" s="35" t="s">
        <v>444</v>
      </c>
      <c r="H773" s="35" t="s">
        <v>61</v>
      </c>
      <c r="I773" s="4"/>
    </row>
    <row r="774" customFormat="false" ht="15" hidden="false" customHeight="false" outlineLevel="0" collapsed="false">
      <c r="A774" s="35" t="s">
        <v>2995</v>
      </c>
      <c r="B774" s="35" t="s">
        <v>2996</v>
      </c>
      <c r="C774" s="35" t="s">
        <v>48</v>
      </c>
      <c r="D774" s="35" t="s">
        <v>447</v>
      </c>
      <c r="E774" s="35"/>
      <c r="F774" s="35"/>
      <c r="G774" s="35" t="s">
        <v>444</v>
      </c>
      <c r="H774" s="35" t="s">
        <v>61</v>
      </c>
      <c r="I774" s="4"/>
    </row>
    <row r="775" customFormat="false" ht="15" hidden="false" customHeight="false" outlineLevel="0" collapsed="false">
      <c r="A775" s="35" t="s">
        <v>2997</v>
      </c>
      <c r="B775" s="35" t="s">
        <v>2998</v>
      </c>
      <c r="C775" s="35" t="s">
        <v>48</v>
      </c>
      <c r="D775" s="35" t="s">
        <v>447</v>
      </c>
      <c r="E775" s="35"/>
      <c r="F775" s="35"/>
      <c r="G775" s="35" t="s">
        <v>444</v>
      </c>
      <c r="H775" s="35" t="s">
        <v>61</v>
      </c>
      <c r="I775" s="4"/>
    </row>
    <row r="776" customFormat="false" ht="15" hidden="false" customHeight="false" outlineLevel="0" collapsed="false">
      <c r="A776" s="35" t="s">
        <v>2999</v>
      </c>
      <c r="B776" s="35" t="s">
        <v>3000</v>
      </c>
      <c r="C776" s="35" t="s">
        <v>48</v>
      </c>
      <c r="D776" s="35" t="s">
        <v>447</v>
      </c>
      <c r="E776" s="35"/>
      <c r="F776" s="35"/>
      <c r="G776" s="35" t="s">
        <v>444</v>
      </c>
      <c r="H776" s="35" t="s">
        <v>61</v>
      </c>
      <c r="I776" s="4"/>
    </row>
    <row r="777" customFormat="false" ht="15" hidden="false" customHeight="false" outlineLevel="0" collapsed="false">
      <c r="A777" s="35" t="s">
        <v>3001</v>
      </c>
      <c r="B777" s="35" t="s">
        <v>3002</v>
      </c>
      <c r="C777" s="35" t="s">
        <v>48</v>
      </c>
      <c r="D777" s="35" t="s">
        <v>447</v>
      </c>
      <c r="E777" s="35"/>
      <c r="F777" s="35"/>
      <c r="G777" s="35" t="s">
        <v>444</v>
      </c>
      <c r="H777" s="35" t="s">
        <v>61</v>
      </c>
      <c r="I777" s="4"/>
    </row>
    <row r="778" customFormat="false" ht="15" hidden="false" customHeight="false" outlineLevel="0" collapsed="false">
      <c r="A778" s="35" t="s">
        <v>3003</v>
      </c>
      <c r="B778" s="35" t="s">
        <v>3004</v>
      </c>
      <c r="C778" s="35" t="s">
        <v>48</v>
      </c>
      <c r="D778" s="35" t="s">
        <v>57</v>
      </c>
      <c r="E778" s="35" t="s">
        <v>965</v>
      </c>
      <c r="F778" s="35"/>
      <c r="G778" s="35" t="s">
        <v>444</v>
      </c>
      <c r="H778" s="35" t="s">
        <v>61</v>
      </c>
      <c r="I778" s="4"/>
    </row>
    <row r="779" customFormat="false" ht="15" hidden="false" customHeight="false" outlineLevel="0" collapsed="false">
      <c r="A779" s="35" t="s">
        <v>3005</v>
      </c>
      <c r="B779" s="35" t="s">
        <v>3006</v>
      </c>
      <c r="C779" s="35" t="s">
        <v>48</v>
      </c>
      <c r="D779" s="35" t="s">
        <v>57</v>
      </c>
      <c r="E779" s="35" t="s">
        <v>965</v>
      </c>
      <c r="F779" s="35"/>
      <c r="G779" s="35" t="s">
        <v>444</v>
      </c>
      <c r="H779" s="35" t="s">
        <v>61</v>
      </c>
      <c r="I779" s="4"/>
    </row>
    <row r="780" customFormat="false" ht="15" hidden="false" customHeight="false" outlineLevel="0" collapsed="false">
      <c r="A780" s="35" t="s">
        <v>3007</v>
      </c>
      <c r="B780" s="35" t="s">
        <v>3008</v>
      </c>
      <c r="C780" s="35" t="s">
        <v>48</v>
      </c>
      <c r="D780" s="35" t="s">
        <v>114</v>
      </c>
      <c r="E780" s="35"/>
      <c r="F780" s="35"/>
      <c r="G780" s="35" t="s">
        <v>444</v>
      </c>
      <c r="H780" s="35" t="s">
        <v>61</v>
      </c>
      <c r="I780" s="4"/>
    </row>
    <row r="781" customFormat="false" ht="15" hidden="false" customHeight="false" outlineLevel="0" collapsed="false">
      <c r="A781" s="35" t="s">
        <v>3009</v>
      </c>
      <c r="B781" s="35" t="s">
        <v>3010</v>
      </c>
      <c r="C781" s="35" t="s">
        <v>48</v>
      </c>
      <c r="D781" s="35" t="s">
        <v>114</v>
      </c>
      <c r="E781" s="35"/>
      <c r="F781" s="35"/>
      <c r="G781" s="35" t="s">
        <v>444</v>
      </c>
      <c r="H781" s="35" t="s">
        <v>61</v>
      </c>
      <c r="I781" s="4"/>
    </row>
    <row r="782" customFormat="false" ht="15" hidden="false" customHeight="false" outlineLevel="0" collapsed="false">
      <c r="A782" s="35" t="s">
        <v>3011</v>
      </c>
      <c r="B782" s="35" t="s">
        <v>3012</v>
      </c>
      <c r="C782" s="35" t="s">
        <v>48</v>
      </c>
      <c r="D782" s="35" t="s">
        <v>157</v>
      </c>
      <c r="E782" s="35"/>
      <c r="F782" s="35"/>
      <c r="G782" s="35" t="s">
        <v>444</v>
      </c>
      <c r="H782" s="35" t="s">
        <v>61</v>
      </c>
      <c r="I782" s="4"/>
    </row>
    <row r="783" customFormat="false" ht="15" hidden="false" customHeight="false" outlineLevel="0" collapsed="false">
      <c r="A783" s="35" t="s">
        <v>3013</v>
      </c>
      <c r="B783" s="35" t="s">
        <v>3014</v>
      </c>
      <c r="C783" s="35" t="s">
        <v>48</v>
      </c>
      <c r="D783" s="35" t="s">
        <v>114</v>
      </c>
      <c r="E783" s="35"/>
      <c r="F783" s="35"/>
      <c r="G783" s="35" t="s">
        <v>444</v>
      </c>
      <c r="H783" s="35" t="s">
        <v>61</v>
      </c>
      <c r="I783" s="4"/>
    </row>
    <row r="784" customFormat="false" ht="15" hidden="false" customHeight="false" outlineLevel="0" collapsed="false">
      <c r="A784" s="35" t="s">
        <v>3015</v>
      </c>
      <c r="B784" s="35" t="s">
        <v>3016</v>
      </c>
      <c r="C784" s="35" t="s">
        <v>48</v>
      </c>
      <c r="D784" s="35" t="s">
        <v>157</v>
      </c>
      <c r="E784" s="35"/>
      <c r="F784" s="35"/>
      <c r="G784" s="35" t="s">
        <v>444</v>
      </c>
      <c r="H784" s="35" t="s">
        <v>61</v>
      </c>
      <c r="I784" s="4"/>
    </row>
    <row r="785" customFormat="false" ht="15" hidden="false" customHeight="false" outlineLevel="0" collapsed="false">
      <c r="A785" s="35" t="s">
        <v>3017</v>
      </c>
      <c r="B785" s="35" t="s">
        <v>3018</v>
      </c>
      <c r="C785" s="35" t="s">
        <v>48</v>
      </c>
      <c r="D785" s="35" t="s">
        <v>114</v>
      </c>
      <c r="E785" s="35"/>
      <c r="F785" s="35"/>
      <c r="G785" s="35" t="s">
        <v>571</v>
      </c>
      <c r="H785" s="35" t="s">
        <v>61</v>
      </c>
      <c r="I785" s="4"/>
    </row>
    <row r="786" customFormat="false" ht="15" hidden="false" customHeight="false" outlineLevel="0" collapsed="false">
      <c r="A786" s="35" t="s">
        <v>3019</v>
      </c>
      <c r="B786" s="35" t="s">
        <v>3020</v>
      </c>
      <c r="C786" s="35" t="s">
        <v>48</v>
      </c>
      <c r="D786" s="35" t="s">
        <v>107</v>
      </c>
      <c r="E786" s="35" t="s">
        <v>553</v>
      </c>
      <c r="F786" s="35"/>
      <c r="G786" s="35" t="s">
        <v>555</v>
      </c>
      <c r="H786" s="35" t="s">
        <v>61</v>
      </c>
      <c r="I786" s="4"/>
    </row>
    <row r="787" customFormat="false" ht="15" hidden="false" customHeight="false" outlineLevel="0" collapsed="false">
      <c r="A787" s="35" t="s">
        <v>3021</v>
      </c>
      <c r="B787" s="35" t="s">
        <v>3022</v>
      </c>
      <c r="C787" s="35" t="s">
        <v>48</v>
      </c>
      <c r="D787" s="35" t="s">
        <v>107</v>
      </c>
      <c r="E787" s="35" t="s">
        <v>967</v>
      </c>
      <c r="F787" s="35"/>
      <c r="G787" s="35" t="s">
        <v>417</v>
      </c>
      <c r="H787" s="35" t="s">
        <v>61</v>
      </c>
      <c r="I787" s="4"/>
    </row>
    <row r="788" customFormat="false" ht="15" hidden="false" customHeight="false" outlineLevel="0" collapsed="false">
      <c r="A788" s="35" t="s">
        <v>3023</v>
      </c>
      <c r="B788" s="35" t="s">
        <v>3024</v>
      </c>
      <c r="C788" s="35" t="s">
        <v>48</v>
      </c>
      <c r="D788" s="35" t="s">
        <v>57</v>
      </c>
      <c r="E788" s="35" t="s">
        <v>967</v>
      </c>
      <c r="F788" s="35" t="s">
        <v>967</v>
      </c>
      <c r="G788" s="35" t="s">
        <v>699</v>
      </c>
      <c r="H788" s="35" t="s">
        <v>61</v>
      </c>
      <c r="I788" s="4"/>
    </row>
    <row r="789" customFormat="false" ht="15" hidden="false" customHeight="false" outlineLevel="0" collapsed="false">
      <c r="A789" s="35" t="s">
        <v>3025</v>
      </c>
      <c r="B789" s="35" t="s">
        <v>3026</v>
      </c>
      <c r="C789" s="35" t="s">
        <v>48</v>
      </c>
      <c r="D789" s="35" t="s">
        <v>57</v>
      </c>
      <c r="E789" s="35" t="s">
        <v>447</v>
      </c>
      <c r="F789" s="35"/>
      <c r="G789" s="35" t="s">
        <v>444</v>
      </c>
      <c r="H789" s="35" t="s">
        <v>61</v>
      </c>
      <c r="I789" s="4"/>
    </row>
    <row r="790" customFormat="false" ht="15" hidden="false" customHeight="false" outlineLevel="0" collapsed="false">
      <c r="A790" s="35" t="s">
        <v>3027</v>
      </c>
      <c r="B790" s="35" t="s">
        <v>3028</v>
      </c>
      <c r="C790" s="35" t="s">
        <v>48</v>
      </c>
      <c r="D790" s="35" t="s">
        <v>53</v>
      </c>
      <c r="E790" s="35"/>
      <c r="F790" s="35"/>
      <c r="G790" s="35" t="s">
        <v>337</v>
      </c>
      <c r="H790" s="35" t="s">
        <v>61</v>
      </c>
      <c r="I790" s="4"/>
    </row>
    <row r="791" customFormat="false" ht="15" hidden="false" customHeight="false" outlineLevel="0" collapsed="false">
      <c r="A791" s="35" t="s">
        <v>3029</v>
      </c>
      <c r="B791" s="35" t="s">
        <v>3030</v>
      </c>
      <c r="C791" s="35" t="s">
        <v>48</v>
      </c>
      <c r="D791" s="35" t="s">
        <v>107</v>
      </c>
      <c r="E791" s="35" t="s">
        <v>920</v>
      </c>
      <c r="F791" s="35"/>
      <c r="G791" s="35" t="s">
        <v>705</v>
      </c>
      <c r="H791" s="35" t="s">
        <v>258</v>
      </c>
      <c r="I791" s="4"/>
    </row>
    <row r="792" customFormat="false" ht="15" hidden="false" customHeight="false" outlineLevel="0" collapsed="false">
      <c r="A792" s="35" t="s">
        <v>3031</v>
      </c>
      <c r="B792" s="35" t="s">
        <v>3032</v>
      </c>
      <c r="C792" s="35" t="s">
        <v>48</v>
      </c>
      <c r="D792" s="35" t="s">
        <v>114</v>
      </c>
      <c r="E792" s="35"/>
      <c r="F792" s="35"/>
      <c r="G792" s="35" t="s">
        <v>705</v>
      </c>
      <c r="H792" s="35" t="s">
        <v>61</v>
      </c>
      <c r="I792" s="4"/>
    </row>
    <row r="793" customFormat="false" ht="15" hidden="false" customHeight="false" outlineLevel="0" collapsed="false">
      <c r="A793" s="35" t="s">
        <v>1698</v>
      </c>
      <c r="B793" s="35" t="s">
        <v>3033</v>
      </c>
      <c r="C793" s="35" t="s">
        <v>48</v>
      </c>
      <c r="D793" s="35" t="s">
        <v>107</v>
      </c>
      <c r="E793" s="35" t="s">
        <v>1697</v>
      </c>
      <c r="F793" s="35"/>
      <c r="G793" s="35" t="s">
        <v>689</v>
      </c>
      <c r="H793" s="35" t="s">
        <v>245</v>
      </c>
      <c r="I793" s="4"/>
    </row>
    <row r="794" customFormat="false" ht="15" hidden="false" customHeight="false" outlineLevel="0" collapsed="false">
      <c r="A794" s="35" t="s">
        <v>3034</v>
      </c>
      <c r="B794" s="35" t="s">
        <v>3035</v>
      </c>
      <c r="C794" s="35" t="s">
        <v>48</v>
      </c>
      <c r="D794" s="35" t="s">
        <v>107</v>
      </c>
      <c r="E794" s="35" t="s">
        <v>897</v>
      </c>
      <c r="F794" s="35" t="s">
        <v>3036</v>
      </c>
      <c r="G794" s="35" t="s">
        <v>545</v>
      </c>
      <c r="H794" s="35" t="s">
        <v>61</v>
      </c>
      <c r="I794" s="4"/>
    </row>
    <row r="795" customFormat="false" ht="15" hidden="false" customHeight="false" outlineLevel="0" collapsed="false">
      <c r="A795" s="35" t="s">
        <v>3037</v>
      </c>
      <c r="B795" s="35" t="s">
        <v>3038</v>
      </c>
      <c r="C795" s="35" t="s">
        <v>48</v>
      </c>
      <c r="D795" s="35" t="s">
        <v>146</v>
      </c>
      <c r="E795" s="35"/>
      <c r="F795" s="35" t="s">
        <v>2147</v>
      </c>
      <c r="G795" s="35" t="s">
        <v>737</v>
      </c>
      <c r="H795" s="35" t="s">
        <v>61</v>
      </c>
      <c r="I795" s="4"/>
    </row>
    <row r="796" customFormat="false" ht="15" hidden="false" customHeight="false" outlineLevel="0" collapsed="false">
      <c r="A796" s="35" t="s">
        <v>1395</v>
      </c>
      <c r="B796" s="35" t="s">
        <v>3039</v>
      </c>
      <c r="C796" s="35" t="s">
        <v>48</v>
      </c>
      <c r="D796" s="35" t="s">
        <v>107</v>
      </c>
      <c r="E796" s="35" t="s">
        <v>1395</v>
      </c>
      <c r="F796" s="35"/>
      <c r="G796" s="35" t="s">
        <v>730</v>
      </c>
      <c r="H796" s="35" t="s">
        <v>61</v>
      </c>
      <c r="I796" s="4"/>
    </row>
    <row r="797" customFormat="false" ht="15" hidden="false" customHeight="false" outlineLevel="0" collapsed="false">
      <c r="A797" s="35" t="s">
        <v>1861</v>
      </c>
      <c r="B797" s="35" t="s">
        <v>3040</v>
      </c>
      <c r="C797" s="35" t="s">
        <v>48</v>
      </c>
      <c r="D797" s="35" t="s">
        <v>107</v>
      </c>
      <c r="E797" s="35" t="s">
        <v>1860</v>
      </c>
      <c r="F797" s="35"/>
      <c r="G797" s="35" t="s">
        <v>571</v>
      </c>
      <c r="H797" s="35" t="s">
        <v>61</v>
      </c>
      <c r="I797" s="4"/>
    </row>
    <row r="798" customFormat="false" ht="15" hidden="false" customHeight="false" outlineLevel="0" collapsed="false">
      <c r="A798" s="35" t="s">
        <v>3041</v>
      </c>
      <c r="B798" s="35" t="s">
        <v>3042</v>
      </c>
      <c r="C798" s="35" t="s">
        <v>48</v>
      </c>
      <c r="D798" s="35" t="s">
        <v>53</v>
      </c>
      <c r="E798" s="35"/>
      <c r="F798" s="35"/>
      <c r="G798" s="35" t="s">
        <v>690</v>
      </c>
      <c r="H798" s="35" t="s">
        <v>61</v>
      </c>
      <c r="I798" s="4"/>
    </row>
    <row r="799" customFormat="false" ht="15" hidden="false" customHeight="false" outlineLevel="0" collapsed="false">
      <c r="A799" s="35" t="s">
        <v>1105</v>
      </c>
      <c r="B799" s="35" t="s">
        <v>3043</v>
      </c>
      <c r="C799" s="35" t="s">
        <v>48</v>
      </c>
      <c r="D799" s="35" t="s">
        <v>57</v>
      </c>
      <c r="E799" s="35" t="s">
        <v>1105</v>
      </c>
      <c r="F799" s="35"/>
      <c r="G799" s="35" t="s">
        <v>104</v>
      </c>
      <c r="H799" s="35" t="s">
        <v>61</v>
      </c>
      <c r="I799" s="4"/>
    </row>
    <row r="800" customFormat="false" ht="15" hidden="false" customHeight="false" outlineLevel="0" collapsed="false">
      <c r="A800" s="35" t="s">
        <v>3044</v>
      </c>
      <c r="B800" s="35" t="s">
        <v>3045</v>
      </c>
      <c r="C800" s="35" t="s">
        <v>48</v>
      </c>
      <c r="D800" s="35" t="s">
        <v>157</v>
      </c>
      <c r="E800" s="35"/>
      <c r="F800" s="35"/>
      <c r="G800" s="35" t="s">
        <v>718</v>
      </c>
      <c r="H800" s="35" t="s">
        <v>61</v>
      </c>
      <c r="I800" s="4"/>
    </row>
    <row r="801" customFormat="false" ht="15" hidden="false" customHeight="false" outlineLevel="0" collapsed="false">
      <c r="A801" s="35" t="s">
        <v>3046</v>
      </c>
      <c r="B801" s="35" t="s">
        <v>3047</v>
      </c>
      <c r="C801" s="35" t="s">
        <v>48</v>
      </c>
      <c r="D801" s="35" t="s">
        <v>114</v>
      </c>
      <c r="E801" s="35"/>
      <c r="F801" s="35"/>
      <c r="G801" s="35" t="s">
        <v>45</v>
      </c>
      <c r="H801" s="35" t="s">
        <v>61</v>
      </c>
      <c r="I801" s="4"/>
    </row>
    <row r="802" customFormat="false" ht="15" hidden="false" customHeight="false" outlineLevel="0" collapsed="false">
      <c r="A802" s="35" t="s">
        <v>3048</v>
      </c>
      <c r="B802" s="35" t="s">
        <v>3049</v>
      </c>
      <c r="C802" s="35" t="s">
        <v>48</v>
      </c>
      <c r="D802" s="35" t="s">
        <v>57</v>
      </c>
      <c r="E802" s="35" t="s">
        <v>1239</v>
      </c>
      <c r="F802" s="35"/>
      <c r="G802" s="35" t="s">
        <v>717</v>
      </c>
      <c r="H802" s="35" t="s">
        <v>61</v>
      </c>
      <c r="I802" s="4"/>
    </row>
    <row r="803" customFormat="false" ht="15" hidden="false" customHeight="false" outlineLevel="0" collapsed="false">
      <c r="A803" s="35" t="s">
        <v>110</v>
      </c>
      <c r="B803" s="35" t="s">
        <v>111</v>
      </c>
      <c r="C803" s="35" t="s">
        <v>48</v>
      </c>
      <c r="D803" s="35" t="s">
        <v>57</v>
      </c>
      <c r="E803" s="35" t="s">
        <v>110</v>
      </c>
      <c r="F803" s="35"/>
      <c r="G803" s="35" t="s">
        <v>49</v>
      </c>
      <c r="H803" s="35" t="s">
        <v>50</v>
      </c>
      <c r="I803" s="4" t="s">
        <v>2025</v>
      </c>
    </row>
    <row r="804" customFormat="false" ht="15" hidden="false" customHeight="false" outlineLevel="0" collapsed="false">
      <c r="A804" s="35" t="s">
        <v>3050</v>
      </c>
      <c r="B804" s="35" t="s">
        <v>3051</v>
      </c>
      <c r="C804" s="35" t="s">
        <v>48</v>
      </c>
      <c r="D804" s="35" t="s">
        <v>107</v>
      </c>
      <c r="E804" s="35" t="s">
        <v>110</v>
      </c>
      <c r="F804" s="35"/>
      <c r="G804" s="35" t="s">
        <v>49</v>
      </c>
      <c r="H804" s="35" t="s">
        <v>49</v>
      </c>
      <c r="I804" s="4"/>
    </row>
    <row r="805" customFormat="false" ht="15" hidden="false" customHeight="false" outlineLevel="0" collapsed="false">
      <c r="A805" s="35" t="s">
        <v>163</v>
      </c>
      <c r="B805" s="35" t="s">
        <v>164</v>
      </c>
      <c r="C805" s="35" t="s">
        <v>48</v>
      </c>
      <c r="D805" s="35" t="s">
        <v>157</v>
      </c>
      <c r="E805" s="35"/>
      <c r="F805" s="35"/>
      <c r="G805" s="35" t="s">
        <v>104</v>
      </c>
      <c r="H805" s="35" t="s">
        <v>49</v>
      </c>
      <c r="I805" s="4" t="s">
        <v>2025</v>
      </c>
    </row>
    <row r="806" customFormat="false" ht="15" hidden="false" customHeight="false" outlineLevel="0" collapsed="false">
      <c r="A806" s="35" t="s">
        <v>3052</v>
      </c>
      <c r="B806" s="35" t="s">
        <v>3053</v>
      </c>
      <c r="C806" s="35" t="s">
        <v>48</v>
      </c>
      <c r="D806" s="35" t="s">
        <v>53</v>
      </c>
      <c r="E806" s="35"/>
      <c r="F806" s="35"/>
      <c r="G806" s="35" t="s">
        <v>717</v>
      </c>
      <c r="H806" s="35" t="s">
        <v>61</v>
      </c>
      <c r="I806" s="4"/>
    </row>
    <row r="807" customFormat="false" ht="15" hidden="false" customHeight="false" outlineLevel="0" collapsed="false">
      <c r="A807" s="35" t="s">
        <v>3054</v>
      </c>
      <c r="B807" s="35" t="s">
        <v>3055</v>
      </c>
      <c r="C807" s="35" t="s">
        <v>48</v>
      </c>
      <c r="D807" s="35" t="s">
        <v>157</v>
      </c>
      <c r="E807" s="35"/>
      <c r="F807" s="35"/>
      <c r="G807" s="35" t="s">
        <v>718</v>
      </c>
      <c r="H807" s="35" t="s">
        <v>61</v>
      </c>
      <c r="I807" s="4"/>
    </row>
    <row r="808" customFormat="false" ht="15" hidden="false" customHeight="false" outlineLevel="0" collapsed="false">
      <c r="A808" s="35" t="s">
        <v>3056</v>
      </c>
      <c r="B808" s="35" t="s">
        <v>3057</v>
      </c>
      <c r="C808" s="35" t="s">
        <v>48</v>
      </c>
      <c r="D808" s="35" t="s">
        <v>447</v>
      </c>
      <c r="E808" s="35"/>
      <c r="F808" s="35"/>
      <c r="G808" s="35" t="s">
        <v>717</v>
      </c>
      <c r="H808" s="35" t="s">
        <v>61</v>
      </c>
      <c r="I808" s="4"/>
    </row>
    <row r="809" customFormat="false" ht="15" hidden="false" customHeight="false" outlineLevel="0" collapsed="false">
      <c r="A809" s="35" t="s">
        <v>3058</v>
      </c>
      <c r="B809" s="35" t="s">
        <v>3059</v>
      </c>
      <c r="C809" s="35" t="s">
        <v>48</v>
      </c>
      <c r="D809" s="35" t="s">
        <v>157</v>
      </c>
      <c r="E809" s="35"/>
      <c r="F809" s="35"/>
      <c r="G809" s="35" t="s">
        <v>104</v>
      </c>
      <c r="H809" s="35" t="s">
        <v>61</v>
      </c>
      <c r="I809" s="4"/>
    </row>
    <row r="810" customFormat="false" ht="15" hidden="false" customHeight="false" outlineLevel="0" collapsed="false">
      <c r="A810" s="35" t="s">
        <v>289</v>
      </c>
      <c r="B810" s="35" t="s">
        <v>290</v>
      </c>
      <c r="C810" s="35" t="s">
        <v>48</v>
      </c>
      <c r="D810" s="35" t="s">
        <v>57</v>
      </c>
      <c r="E810" s="35" t="s">
        <v>289</v>
      </c>
      <c r="F810" s="35"/>
      <c r="G810" s="35" t="s">
        <v>262</v>
      </c>
      <c r="H810" s="35" t="s">
        <v>50</v>
      </c>
      <c r="I810" s="4" t="s">
        <v>2025</v>
      </c>
    </row>
    <row r="811" customFormat="false" ht="15" hidden="false" customHeight="false" outlineLevel="0" collapsed="false">
      <c r="A811" s="35" t="s">
        <v>292</v>
      </c>
      <c r="B811" s="35" t="s">
        <v>293</v>
      </c>
      <c r="C811" s="35" t="s">
        <v>48</v>
      </c>
      <c r="D811" s="35" t="s">
        <v>53</v>
      </c>
      <c r="E811" s="35"/>
      <c r="F811" s="35"/>
      <c r="G811" s="35" t="s">
        <v>262</v>
      </c>
      <c r="H811" s="35" t="s">
        <v>61</v>
      </c>
      <c r="I811" s="4" t="s">
        <v>2025</v>
      </c>
    </row>
    <row r="812" customFormat="false" ht="15" hidden="false" customHeight="false" outlineLevel="0" collapsed="false">
      <c r="A812" s="35" t="s">
        <v>3060</v>
      </c>
      <c r="B812" s="35" t="s">
        <v>3061</v>
      </c>
      <c r="C812" s="35" t="s">
        <v>48</v>
      </c>
      <c r="D812" s="35" t="s">
        <v>107</v>
      </c>
      <c r="E812" s="35" t="s">
        <v>45</v>
      </c>
      <c r="F812" s="35"/>
      <c r="G812" s="35" t="s">
        <v>262</v>
      </c>
      <c r="H812" s="35" t="s">
        <v>61</v>
      </c>
      <c r="I812" s="4"/>
    </row>
    <row r="813" customFormat="false" ht="15" hidden="false" customHeight="false" outlineLevel="0" collapsed="false">
      <c r="A813" s="35" t="s">
        <v>295</v>
      </c>
      <c r="B813" s="35" t="s">
        <v>296</v>
      </c>
      <c r="C813" s="35" t="s">
        <v>48</v>
      </c>
      <c r="D813" s="35" t="s">
        <v>53</v>
      </c>
      <c r="E813" s="35"/>
      <c r="F813" s="35"/>
      <c r="G813" s="35" t="s">
        <v>262</v>
      </c>
      <c r="H813" s="35" t="s">
        <v>61</v>
      </c>
      <c r="I813" s="4" t="s">
        <v>2025</v>
      </c>
    </row>
    <row r="814" customFormat="false" ht="15" hidden="false" customHeight="false" outlineLevel="0" collapsed="false">
      <c r="A814" s="35" t="s">
        <v>3062</v>
      </c>
      <c r="B814" s="35" t="s">
        <v>3063</v>
      </c>
      <c r="C814" s="35" t="s">
        <v>48</v>
      </c>
      <c r="D814" s="35" t="s">
        <v>107</v>
      </c>
      <c r="E814" s="35" t="s">
        <v>1174</v>
      </c>
      <c r="F814" s="35"/>
      <c r="G814" s="35" t="s">
        <v>262</v>
      </c>
      <c r="H814" s="35" t="s">
        <v>61</v>
      </c>
      <c r="I814" s="4"/>
    </row>
    <row r="815" customFormat="false" ht="15" hidden="false" customHeight="false" outlineLevel="0" collapsed="false">
      <c r="A815" s="35" t="s">
        <v>3064</v>
      </c>
      <c r="B815" s="35" t="s">
        <v>3065</v>
      </c>
      <c r="C815" s="35" t="s">
        <v>48</v>
      </c>
      <c r="D815" s="35" t="s">
        <v>107</v>
      </c>
      <c r="E815" s="35" t="s">
        <v>262</v>
      </c>
      <c r="F815" s="35"/>
      <c r="G815" s="35" t="s">
        <v>262</v>
      </c>
      <c r="H815" s="35" t="s">
        <v>61</v>
      </c>
      <c r="I815" s="4"/>
    </row>
    <row r="816" customFormat="false" ht="15" hidden="false" customHeight="false" outlineLevel="0" collapsed="false">
      <c r="A816" s="35" t="s">
        <v>3066</v>
      </c>
      <c r="B816" s="35" t="s">
        <v>3067</v>
      </c>
      <c r="C816" s="35" t="s">
        <v>48</v>
      </c>
      <c r="D816" s="35" t="s">
        <v>107</v>
      </c>
      <c r="E816" s="35" t="s">
        <v>313</v>
      </c>
      <c r="F816" s="35"/>
      <c r="G816" s="35" t="s">
        <v>262</v>
      </c>
      <c r="H816" s="35" t="s">
        <v>61</v>
      </c>
      <c r="I816" s="4"/>
    </row>
    <row r="817" customFormat="false" ht="15" hidden="false" customHeight="false" outlineLevel="0" collapsed="false">
      <c r="A817" s="35" t="s">
        <v>3068</v>
      </c>
      <c r="B817" s="35" t="s">
        <v>3069</v>
      </c>
      <c r="C817" s="35" t="s">
        <v>48</v>
      </c>
      <c r="D817" s="35" t="s">
        <v>57</v>
      </c>
      <c r="E817" s="35" t="s">
        <v>262</v>
      </c>
      <c r="F817" s="35"/>
      <c r="G817" s="35" t="s">
        <v>262</v>
      </c>
      <c r="H817" s="35" t="s">
        <v>61</v>
      </c>
      <c r="I817" s="4"/>
    </row>
    <row r="818" customFormat="false" ht="15" hidden="false" customHeight="false" outlineLevel="0" collapsed="false">
      <c r="A818" s="35" t="s">
        <v>3070</v>
      </c>
      <c r="B818" s="35" t="s">
        <v>3071</v>
      </c>
      <c r="C818" s="35" t="s">
        <v>48</v>
      </c>
      <c r="D818" s="35" t="s">
        <v>107</v>
      </c>
      <c r="E818" s="35" t="s">
        <v>289</v>
      </c>
      <c r="F818" s="35"/>
      <c r="G818" s="35" t="s">
        <v>765</v>
      </c>
      <c r="H818" s="35" t="s">
        <v>61</v>
      </c>
      <c r="I818" s="4"/>
    </row>
    <row r="819" customFormat="false" ht="15" hidden="false" customHeight="false" outlineLevel="0" collapsed="false">
      <c r="A819" s="35" t="s">
        <v>3072</v>
      </c>
      <c r="B819" s="35" t="s">
        <v>3073</v>
      </c>
      <c r="C819" s="35" t="s">
        <v>48</v>
      </c>
      <c r="D819" s="35" t="s">
        <v>107</v>
      </c>
      <c r="E819" s="35" t="s">
        <v>262</v>
      </c>
      <c r="F819" s="35"/>
      <c r="G819" s="35" t="s">
        <v>49</v>
      </c>
      <c r="H819" s="35" t="s">
        <v>49</v>
      </c>
      <c r="I819" s="4"/>
    </row>
    <row r="820" customFormat="false" ht="15" hidden="false" customHeight="false" outlineLevel="0" collapsed="false">
      <c r="A820" s="35" t="s">
        <v>1402</v>
      </c>
      <c r="B820" s="35" t="s">
        <v>3074</v>
      </c>
      <c r="C820" s="35" t="s">
        <v>48</v>
      </c>
      <c r="D820" s="35" t="s">
        <v>107</v>
      </c>
      <c r="E820" s="35" t="s">
        <v>869</v>
      </c>
      <c r="F820" s="35"/>
      <c r="G820" s="35" t="s">
        <v>262</v>
      </c>
      <c r="H820" s="35" t="s">
        <v>50</v>
      </c>
      <c r="I820" s="4"/>
    </row>
    <row r="821" customFormat="false" ht="15" hidden="false" customHeight="false" outlineLevel="0" collapsed="false">
      <c r="A821" s="35" t="s">
        <v>3075</v>
      </c>
      <c r="B821" s="35" t="s">
        <v>3076</v>
      </c>
      <c r="C821" s="35" t="s">
        <v>48</v>
      </c>
      <c r="D821" s="35" t="s">
        <v>107</v>
      </c>
      <c r="E821" s="35" t="s">
        <v>262</v>
      </c>
      <c r="F821" s="35"/>
      <c r="G821" s="35" t="s">
        <v>49</v>
      </c>
      <c r="H821" s="35" t="s">
        <v>49</v>
      </c>
      <c r="I821" s="4"/>
    </row>
    <row r="822" customFormat="false" ht="15" hidden="false" customHeight="false" outlineLevel="0" collapsed="false">
      <c r="A822" s="35" t="s">
        <v>3077</v>
      </c>
      <c r="B822" s="35" t="s">
        <v>3078</v>
      </c>
      <c r="C822" s="35" t="s">
        <v>48</v>
      </c>
      <c r="D822" s="35" t="s">
        <v>107</v>
      </c>
      <c r="E822" s="35" t="s">
        <v>869</v>
      </c>
      <c r="F822" s="35"/>
      <c r="G822" s="35" t="s">
        <v>262</v>
      </c>
      <c r="H822" s="35" t="s">
        <v>245</v>
      </c>
      <c r="I822" s="4"/>
    </row>
    <row r="823" customFormat="false" ht="15" hidden="false" customHeight="false" outlineLevel="0" collapsed="false">
      <c r="A823" s="35" t="s">
        <v>1405</v>
      </c>
      <c r="B823" s="35" t="s">
        <v>3079</v>
      </c>
      <c r="C823" s="35" t="s">
        <v>48</v>
      </c>
      <c r="D823" s="35" t="s">
        <v>46</v>
      </c>
      <c r="E823" s="35" t="s">
        <v>1404</v>
      </c>
      <c r="F823" s="35"/>
      <c r="G823" s="35" t="s">
        <v>262</v>
      </c>
      <c r="H823" s="35" t="s">
        <v>61</v>
      </c>
      <c r="I823" s="4"/>
    </row>
    <row r="824" customFormat="false" ht="15" hidden="false" customHeight="false" outlineLevel="0" collapsed="false">
      <c r="A824" s="35" t="s">
        <v>3080</v>
      </c>
      <c r="B824" s="35" t="s">
        <v>3081</v>
      </c>
      <c r="C824" s="35" t="s">
        <v>48</v>
      </c>
      <c r="D824" s="35" t="s">
        <v>107</v>
      </c>
      <c r="E824" s="35" t="s">
        <v>289</v>
      </c>
      <c r="F824" s="35"/>
      <c r="G824" s="35" t="s">
        <v>262</v>
      </c>
      <c r="H824" s="35" t="s">
        <v>61</v>
      </c>
      <c r="I824" s="4"/>
    </row>
    <row r="825" customFormat="false" ht="15" hidden="false" customHeight="false" outlineLevel="0" collapsed="false">
      <c r="A825" s="35" t="s">
        <v>3082</v>
      </c>
      <c r="B825" s="35" t="s">
        <v>3083</v>
      </c>
      <c r="C825" s="35" t="s">
        <v>48</v>
      </c>
      <c r="D825" s="35" t="s">
        <v>107</v>
      </c>
      <c r="E825" s="35" t="s">
        <v>289</v>
      </c>
      <c r="F825" s="35"/>
      <c r="G825" s="35" t="s">
        <v>262</v>
      </c>
      <c r="H825" s="35" t="s">
        <v>267</v>
      </c>
      <c r="I825" s="4"/>
    </row>
    <row r="826" customFormat="false" ht="15" hidden="false" customHeight="false" outlineLevel="0" collapsed="false">
      <c r="A826" s="35" t="s">
        <v>3084</v>
      </c>
      <c r="B826" s="35" t="s">
        <v>3085</v>
      </c>
      <c r="C826" s="35" t="s">
        <v>48</v>
      </c>
      <c r="D826" s="35" t="s">
        <v>447</v>
      </c>
      <c r="E826" s="35"/>
      <c r="F826" s="35"/>
      <c r="G826" s="35" t="s">
        <v>571</v>
      </c>
      <c r="H826" s="35" t="s">
        <v>61</v>
      </c>
      <c r="I826" s="4"/>
    </row>
    <row r="827" customFormat="false" ht="15" hidden="false" customHeight="false" outlineLevel="0" collapsed="false">
      <c r="A827" s="35" t="s">
        <v>3086</v>
      </c>
      <c r="B827" s="35" t="s">
        <v>3087</v>
      </c>
      <c r="C827" s="35" t="s">
        <v>48</v>
      </c>
      <c r="D827" s="35" t="s">
        <v>114</v>
      </c>
      <c r="E827" s="35"/>
      <c r="F827" s="35"/>
      <c r="G827" s="35" t="s">
        <v>741</v>
      </c>
      <c r="H827" s="35" t="s">
        <v>61</v>
      </c>
      <c r="I827" s="4"/>
    </row>
    <row r="828" customFormat="false" ht="15" hidden="false" customHeight="false" outlineLevel="0" collapsed="false">
      <c r="A828" s="35" t="s">
        <v>3088</v>
      </c>
      <c r="B828" s="35" t="s">
        <v>3089</v>
      </c>
      <c r="C828" s="35" t="s">
        <v>48</v>
      </c>
      <c r="D828" s="35" t="s">
        <v>146</v>
      </c>
      <c r="E828" s="35"/>
      <c r="F828" s="35"/>
      <c r="G828" s="35" t="s">
        <v>682</v>
      </c>
      <c r="H828" s="35" t="s">
        <v>49</v>
      </c>
      <c r="I828" s="4"/>
    </row>
    <row r="829" customFormat="false" ht="15" hidden="false" customHeight="false" outlineLevel="0" collapsed="false">
      <c r="A829" s="35" t="s">
        <v>3090</v>
      </c>
      <c r="B829" s="35" t="s">
        <v>3091</v>
      </c>
      <c r="C829" s="35" t="s">
        <v>48</v>
      </c>
      <c r="D829" s="35" t="s">
        <v>146</v>
      </c>
      <c r="E829" s="35"/>
      <c r="F829" s="35"/>
      <c r="G829" s="35" t="s">
        <v>682</v>
      </c>
      <c r="H829" s="35" t="s">
        <v>49</v>
      </c>
      <c r="I829" s="4"/>
    </row>
    <row r="830" customFormat="false" ht="15" hidden="false" customHeight="false" outlineLevel="0" collapsed="false">
      <c r="A830" s="35" t="s">
        <v>3092</v>
      </c>
      <c r="B830" s="35" t="s">
        <v>3093</v>
      </c>
      <c r="C830" s="35" t="s">
        <v>48</v>
      </c>
      <c r="D830" s="35" t="s">
        <v>146</v>
      </c>
      <c r="E830" s="35"/>
      <c r="F830" s="35"/>
      <c r="G830" s="35" t="s">
        <v>682</v>
      </c>
      <c r="H830" s="35" t="s">
        <v>49</v>
      </c>
      <c r="I830" s="4"/>
    </row>
    <row r="831" customFormat="false" ht="15" hidden="false" customHeight="false" outlineLevel="0" collapsed="false">
      <c r="A831" s="35" t="s">
        <v>3094</v>
      </c>
      <c r="B831" s="35" t="s">
        <v>3095</v>
      </c>
      <c r="C831" s="35" t="s">
        <v>48</v>
      </c>
      <c r="D831" s="35" t="s">
        <v>107</v>
      </c>
      <c r="E831" s="35" t="s">
        <v>320</v>
      </c>
      <c r="F831" s="35"/>
      <c r="G831" s="35" t="s">
        <v>421</v>
      </c>
      <c r="H831" s="35" t="s">
        <v>61</v>
      </c>
      <c r="I831" s="4"/>
    </row>
    <row r="832" customFormat="false" ht="15" hidden="false" customHeight="false" outlineLevel="0" collapsed="false">
      <c r="A832" s="35" t="s">
        <v>3096</v>
      </c>
      <c r="B832" s="35" t="s">
        <v>3097</v>
      </c>
      <c r="C832" s="35" t="s">
        <v>48</v>
      </c>
      <c r="D832" s="35" t="s">
        <v>53</v>
      </c>
      <c r="E832" s="35"/>
      <c r="F832" s="35"/>
      <c r="G832" s="35" t="s">
        <v>337</v>
      </c>
      <c r="H832" s="35" t="s">
        <v>245</v>
      </c>
      <c r="I832" s="4"/>
    </row>
    <row r="833" customFormat="false" ht="15" hidden="false" customHeight="false" outlineLevel="0" collapsed="false">
      <c r="A833" s="35" t="s">
        <v>3098</v>
      </c>
      <c r="B833" s="35" t="s">
        <v>3099</v>
      </c>
      <c r="C833" s="35" t="s">
        <v>48</v>
      </c>
      <c r="D833" s="35" t="s">
        <v>57</v>
      </c>
      <c r="E833" s="35" t="s">
        <v>320</v>
      </c>
      <c r="F833" s="35"/>
      <c r="G833" s="35" t="s">
        <v>87</v>
      </c>
      <c r="H833" s="35" t="s">
        <v>61</v>
      </c>
      <c r="I833" s="4"/>
    </row>
    <row r="834" customFormat="false" ht="15" hidden="false" customHeight="false" outlineLevel="0" collapsed="false">
      <c r="A834" s="35" t="s">
        <v>3100</v>
      </c>
      <c r="B834" s="35" t="s">
        <v>3101</v>
      </c>
      <c r="C834" s="35" t="s">
        <v>48</v>
      </c>
      <c r="D834" s="35" t="s">
        <v>107</v>
      </c>
      <c r="E834" s="35" t="s">
        <v>803</v>
      </c>
      <c r="F834" s="35"/>
      <c r="G834" s="35" t="s">
        <v>684</v>
      </c>
      <c r="H834" s="35" t="s">
        <v>61</v>
      </c>
      <c r="I834" s="4"/>
    </row>
    <row r="835" customFormat="false" ht="15" hidden="false" customHeight="false" outlineLevel="0" collapsed="false">
      <c r="A835" s="35" t="s">
        <v>3102</v>
      </c>
      <c r="B835" s="35" t="s">
        <v>3103</v>
      </c>
      <c r="C835" s="35" t="s">
        <v>48</v>
      </c>
      <c r="D835" s="35" t="s">
        <v>107</v>
      </c>
      <c r="E835" s="35" t="s">
        <v>803</v>
      </c>
      <c r="F835" s="35"/>
      <c r="G835" s="35" t="s">
        <v>684</v>
      </c>
      <c r="H835" s="35" t="s">
        <v>61</v>
      </c>
      <c r="I835" s="4"/>
    </row>
    <row r="836" customFormat="false" ht="15" hidden="false" customHeight="false" outlineLevel="0" collapsed="false">
      <c r="A836" s="35" t="s">
        <v>3104</v>
      </c>
      <c r="B836" s="35" t="s">
        <v>3105</v>
      </c>
      <c r="C836" s="35" t="s">
        <v>48</v>
      </c>
      <c r="D836" s="35" t="s">
        <v>107</v>
      </c>
      <c r="E836" s="35" t="s">
        <v>803</v>
      </c>
      <c r="F836" s="35"/>
      <c r="G836" s="35" t="s">
        <v>684</v>
      </c>
      <c r="H836" s="35" t="s">
        <v>61</v>
      </c>
      <c r="I836" s="4"/>
    </row>
    <row r="837" customFormat="false" ht="15" hidden="false" customHeight="false" outlineLevel="0" collapsed="false">
      <c r="A837" s="35" t="s">
        <v>3106</v>
      </c>
      <c r="B837" s="35" t="s">
        <v>3107</v>
      </c>
      <c r="C837" s="35" t="s">
        <v>48</v>
      </c>
      <c r="D837" s="35" t="s">
        <v>107</v>
      </c>
      <c r="E837" s="35" t="s">
        <v>803</v>
      </c>
      <c r="F837" s="35"/>
      <c r="G837" s="35" t="s">
        <v>684</v>
      </c>
      <c r="H837" s="35" t="s">
        <v>61</v>
      </c>
      <c r="I837" s="4"/>
    </row>
    <row r="838" customFormat="false" ht="15" hidden="false" customHeight="false" outlineLevel="0" collapsed="false">
      <c r="A838" s="35" t="s">
        <v>3108</v>
      </c>
      <c r="B838" s="35" t="s">
        <v>3109</v>
      </c>
      <c r="C838" s="35" t="s">
        <v>48</v>
      </c>
      <c r="D838" s="35" t="s">
        <v>107</v>
      </c>
      <c r="E838" s="35" t="s">
        <v>803</v>
      </c>
      <c r="F838" s="35"/>
      <c r="G838" s="35" t="s">
        <v>684</v>
      </c>
      <c r="H838" s="35" t="s">
        <v>61</v>
      </c>
      <c r="I838" s="4"/>
    </row>
    <row r="839" customFormat="false" ht="15" hidden="false" customHeight="false" outlineLevel="0" collapsed="false">
      <c r="A839" s="35" t="s">
        <v>3110</v>
      </c>
      <c r="B839" s="35" t="s">
        <v>3111</v>
      </c>
      <c r="C839" s="35" t="s">
        <v>48</v>
      </c>
      <c r="D839" s="35" t="s">
        <v>107</v>
      </c>
      <c r="E839" s="35" t="s">
        <v>803</v>
      </c>
      <c r="F839" s="35"/>
      <c r="G839" s="35" t="s">
        <v>684</v>
      </c>
      <c r="H839" s="35" t="s">
        <v>61</v>
      </c>
      <c r="I839" s="4"/>
    </row>
    <row r="840" customFormat="false" ht="15" hidden="false" customHeight="false" outlineLevel="0" collapsed="false">
      <c r="A840" s="35" t="s">
        <v>3112</v>
      </c>
      <c r="B840" s="35" t="s">
        <v>3113</v>
      </c>
      <c r="C840" s="35" t="s">
        <v>48</v>
      </c>
      <c r="D840" s="35" t="s">
        <v>107</v>
      </c>
      <c r="E840" s="35" t="s">
        <v>803</v>
      </c>
      <c r="F840" s="35"/>
      <c r="G840" s="35" t="s">
        <v>684</v>
      </c>
      <c r="H840" s="35" t="s">
        <v>61</v>
      </c>
      <c r="I840" s="4"/>
    </row>
    <row r="841" customFormat="false" ht="15" hidden="false" customHeight="false" outlineLevel="0" collapsed="false">
      <c r="A841" s="35" t="s">
        <v>3114</v>
      </c>
      <c r="B841" s="35" t="s">
        <v>3115</v>
      </c>
      <c r="C841" s="35" t="s">
        <v>48</v>
      </c>
      <c r="D841" s="35" t="s">
        <v>107</v>
      </c>
      <c r="E841" s="35" t="s">
        <v>803</v>
      </c>
      <c r="F841" s="35"/>
      <c r="G841" s="35" t="s">
        <v>684</v>
      </c>
      <c r="H841" s="35" t="s">
        <v>61</v>
      </c>
      <c r="I841" s="4"/>
    </row>
    <row r="842" customFormat="false" ht="15" hidden="false" customHeight="false" outlineLevel="0" collapsed="false">
      <c r="A842" s="35" t="s">
        <v>3116</v>
      </c>
      <c r="B842" s="35" t="s">
        <v>3117</v>
      </c>
      <c r="C842" s="35" t="s">
        <v>48</v>
      </c>
      <c r="D842" s="35" t="s">
        <v>107</v>
      </c>
      <c r="E842" s="35" t="s">
        <v>803</v>
      </c>
      <c r="F842" s="35"/>
      <c r="G842" s="35" t="s">
        <v>684</v>
      </c>
      <c r="H842" s="35" t="s">
        <v>61</v>
      </c>
      <c r="I842" s="4"/>
    </row>
    <row r="843" customFormat="false" ht="15" hidden="false" customHeight="false" outlineLevel="0" collapsed="false">
      <c r="A843" s="35" t="s">
        <v>3118</v>
      </c>
      <c r="B843" s="35" t="s">
        <v>3119</v>
      </c>
      <c r="C843" s="35" t="s">
        <v>48</v>
      </c>
      <c r="D843" s="35" t="s">
        <v>107</v>
      </c>
      <c r="E843" s="35" t="s">
        <v>803</v>
      </c>
      <c r="F843" s="35"/>
      <c r="G843" s="35" t="s">
        <v>684</v>
      </c>
      <c r="H843" s="35" t="s">
        <v>61</v>
      </c>
      <c r="I843" s="4"/>
    </row>
    <row r="844" customFormat="false" ht="15" hidden="false" customHeight="false" outlineLevel="0" collapsed="false">
      <c r="A844" s="35" t="s">
        <v>3120</v>
      </c>
      <c r="B844" s="35" t="s">
        <v>3121</v>
      </c>
      <c r="C844" s="35" t="s">
        <v>48</v>
      </c>
      <c r="D844" s="35" t="s">
        <v>107</v>
      </c>
      <c r="E844" s="35" t="s">
        <v>803</v>
      </c>
      <c r="F844" s="35"/>
      <c r="G844" s="35" t="s">
        <v>684</v>
      </c>
      <c r="H844" s="35" t="s">
        <v>61</v>
      </c>
      <c r="I844" s="4"/>
    </row>
    <row r="845" customFormat="false" ht="15" hidden="false" customHeight="false" outlineLevel="0" collapsed="false">
      <c r="A845" s="35" t="s">
        <v>3122</v>
      </c>
      <c r="B845" s="35" t="s">
        <v>3123</v>
      </c>
      <c r="C845" s="35" t="s">
        <v>48</v>
      </c>
      <c r="D845" s="35" t="s">
        <v>107</v>
      </c>
      <c r="E845" s="35" t="s">
        <v>803</v>
      </c>
      <c r="F845" s="35"/>
      <c r="G845" s="35" t="s">
        <v>684</v>
      </c>
      <c r="H845" s="35" t="s">
        <v>61</v>
      </c>
      <c r="I845" s="4"/>
    </row>
    <row r="846" customFormat="false" ht="15" hidden="false" customHeight="false" outlineLevel="0" collapsed="false">
      <c r="A846" s="35" t="s">
        <v>3124</v>
      </c>
      <c r="B846" s="35" t="s">
        <v>3125</v>
      </c>
      <c r="C846" s="35" t="s">
        <v>48</v>
      </c>
      <c r="D846" s="35" t="s">
        <v>107</v>
      </c>
      <c r="E846" s="35" t="s">
        <v>803</v>
      </c>
      <c r="F846" s="35"/>
      <c r="G846" s="35" t="s">
        <v>684</v>
      </c>
      <c r="H846" s="35" t="s">
        <v>61</v>
      </c>
      <c r="I846" s="4"/>
    </row>
    <row r="847" customFormat="false" ht="15" hidden="false" customHeight="false" outlineLevel="0" collapsed="false">
      <c r="A847" s="35" t="s">
        <v>3126</v>
      </c>
      <c r="B847" s="35" t="s">
        <v>3127</v>
      </c>
      <c r="C847" s="35" t="s">
        <v>48</v>
      </c>
      <c r="D847" s="35" t="s">
        <v>107</v>
      </c>
      <c r="E847" s="35" t="s">
        <v>803</v>
      </c>
      <c r="F847" s="35"/>
      <c r="G847" s="35" t="s">
        <v>684</v>
      </c>
      <c r="H847" s="35" t="s">
        <v>61</v>
      </c>
      <c r="I847" s="4"/>
    </row>
    <row r="848" customFormat="false" ht="15" hidden="false" customHeight="false" outlineLevel="0" collapsed="false">
      <c r="A848" s="35" t="s">
        <v>3128</v>
      </c>
      <c r="B848" s="35" t="s">
        <v>3129</v>
      </c>
      <c r="C848" s="35" t="s">
        <v>48</v>
      </c>
      <c r="D848" s="35" t="s">
        <v>107</v>
      </c>
      <c r="E848" s="35" t="s">
        <v>803</v>
      </c>
      <c r="F848" s="35"/>
      <c r="G848" s="35" t="s">
        <v>684</v>
      </c>
      <c r="H848" s="35" t="s">
        <v>61</v>
      </c>
      <c r="I848" s="4"/>
    </row>
    <row r="849" customFormat="false" ht="15" hidden="false" customHeight="false" outlineLevel="0" collapsed="false">
      <c r="A849" s="35" t="s">
        <v>3130</v>
      </c>
      <c r="B849" s="35" t="s">
        <v>3131</v>
      </c>
      <c r="C849" s="35" t="s">
        <v>48</v>
      </c>
      <c r="D849" s="35" t="s">
        <v>107</v>
      </c>
      <c r="E849" s="35" t="s">
        <v>803</v>
      </c>
      <c r="F849" s="35"/>
      <c r="G849" s="35" t="s">
        <v>684</v>
      </c>
      <c r="H849" s="35" t="s">
        <v>61</v>
      </c>
      <c r="I849" s="4"/>
    </row>
    <row r="850" customFormat="false" ht="15" hidden="false" customHeight="false" outlineLevel="0" collapsed="false">
      <c r="A850" s="35" t="s">
        <v>3132</v>
      </c>
      <c r="B850" s="35" t="s">
        <v>3133</v>
      </c>
      <c r="C850" s="35" t="s">
        <v>48</v>
      </c>
      <c r="D850" s="35" t="s">
        <v>107</v>
      </c>
      <c r="E850" s="35" t="s">
        <v>803</v>
      </c>
      <c r="F850" s="35"/>
      <c r="G850" s="35" t="s">
        <v>684</v>
      </c>
      <c r="H850" s="35" t="s">
        <v>61</v>
      </c>
      <c r="I850" s="4"/>
    </row>
    <row r="851" customFormat="false" ht="15" hidden="false" customHeight="false" outlineLevel="0" collapsed="false">
      <c r="A851" s="35" t="s">
        <v>3134</v>
      </c>
      <c r="B851" s="35" t="s">
        <v>3135</v>
      </c>
      <c r="C851" s="35" t="s">
        <v>48</v>
      </c>
      <c r="D851" s="35" t="s">
        <v>107</v>
      </c>
      <c r="E851" s="35" t="s">
        <v>803</v>
      </c>
      <c r="F851" s="35"/>
      <c r="G851" s="35" t="s">
        <v>684</v>
      </c>
      <c r="H851" s="35" t="s">
        <v>61</v>
      </c>
      <c r="I851" s="4"/>
    </row>
    <row r="852" customFormat="false" ht="15" hidden="false" customHeight="false" outlineLevel="0" collapsed="false">
      <c r="A852" s="35" t="s">
        <v>3136</v>
      </c>
      <c r="B852" s="35" t="s">
        <v>3137</v>
      </c>
      <c r="C852" s="35" t="s">
        <v>48</v>
      </c>
      <c r="D852" s="35" t="s">
        <v>447</v>
      </c>
      <c r="E852" s="35"/>
      <c r="F852" s="35"/>
      <c r="G852" s="35" t="s">
        <v>681</v>
      </c>
      <c r="H852" s="35" t="s">
        <v>61</v>
      </c>
      <c r="I852" s="4"/>
    </row>
    <row r="853" customFormat="false" ht="15" hidden="false" customHeight="false" outlineLevel="0" collapsed="false">
      <c r="A853" s="35" t="s">
        <v>3138</v>
      </c>
      <c r="B853" s="35"/>
      <c r="C853" s="35" t="s">
        <v>632</v>
      </c>
      <c r="D853" s="35" t="s">
        <v>107</v>
      </c>
      <c r="E853" s="35" t="s">
        <v>616</v>
      </c>
      <c r="F853" s="35"/>
      <c r="G853" s="35" t="s">
        <v>708</v>
      </c>
      <c r="H853" s="35" t="s">
        <v>61</v>
      </c>
      <c r="I853" s="4"/>
    </row>
    <row r="854" customFormat="false" ht="15" hidden="false" customHeight="false" outlineLevel="0" collapsed="false">
      <c r="A854" s="35" t="s">
        <v>3139</v>
      </c>
      <c r="B854" s="35"/>
      <c r="C854" s="35" t="s">
        <v>632</v>
      </c>
      <c r="D854" s="35" t="s">
        <v>107</v>
      </c>
      <c r="E854" s="35" t="s">
        <v>616</v>
      </c>
      <c r="F854" s="35"/>
      <c r="G854" s="35" t="s">
        <v>708</v>
      </c>
      <c r="H854" s="35" t="s">
        <v>61</v>
      </c>
      <c r="I854" s="4"/>
    </row>
    <row r="855" customFormat="false" ht="15" hidden="false" customHeight="false" outlineLevel="0" collapsed="false">
      <c r="A855" s="35" t="s">
        <v>3140</v>
      </c>
      <c r="B855" s="35"/>
      <c r="C855" s="35" t="s">
        <v>632</v>
      </c>
      <c r="D855" s="35" t="s">
        <v>107</v>
      </c>
      <c r="E855" s="35" t="s">
        <v>616</v>
      </c>
      <c r="F855" s="35"/>
      <c r="G855" s="35" t="s">
        <v>708</v>
      </c>
      <c r="H855" s="35" t="s">
        <v>61</v>
      </c>
      <c r="I855" s="4"/>
    </row>
    <row r="856" customFormat="false" ht="15" hidden="false" customHeight="false" outlineLevel="0" collapsed="false">
      <c r="A856" s="35" t="s">
        <v>3141</v>
      </c>
      <c r="B856" s="35"/>
      <c r="C856" s="35" t="s">
        <v>632</v>
      </c>
      <c r="D856" s="35" t="s">
        <v>57</v>
      </c>
      <c r="E856" s="35" t="s">
        <v>829</v>
      </c>
      <c r="F856" s="35"/>
      <c r="G856" s="35" t="s">
        <v>734</v>
      </c>
      <c r="H856" s="35" t="s">
        <v>61</v>
      </c>
      <c r="I856" s="4"/>
    </row>
    <row r="857" customFormat="false" ht="15" hidden="false" customHeight="false" outlineLevel="0" collapsed="false">
      <c r="A857" s="35" t="s">
        <v>3142</v>
      </c>
      <c r="B857" s="35"/>
      <c r="C857" s="35" t="s">
        <v>632</v>
      </c>
      <c r="D857" s="35" t="s">
        <v>53</v>
      </c>
      <c r="E857" s="35"/>
      <c r="F857" s="35"/>
      <c r="G857" s="35" t="s">
        <v>444</v>
      </c>
      <c r="H857" s="35" t="s">
        <v>61</v>
      </c>
      <c r="I857" s="4"/>
    </row>
    <row r="858" customFormat="false" ht="15" hidden="false" customHeight="false" outlineLevel="0" collapsed="false">
      <c r="A858" s="35" t="s">
        <v>3143</v>
      </c>
      <c r="B858" s="35"/>
      <c r="C858" s="35" t="s">
        <v>632</v>
      </c>
      <c r="D858" s="35" t="s">
        <v>53</v>
      </c>
      <c r="E858" s="35"/>
      <c r="F858" s="35"/>
      <c r="G858" s="35" t="s">
        <v>444</v>
      </c>
      <c r="H858" s="35" t="s">
        <v>61</v>
      </c>
      <c r="I858" s="4"/>
    </row>
    <row r="859" customFormat="false" ht="15" hidden="false" customHeight="false" outlineLevel="0" collapsed="false">
      <c r="A859" s="35" t="s">
        <v>3144</v>
      </c>
      <c r="B859" s="35"/>
      <c r="C859" s="35" t="s">
        <v>632</v>
      </c>
      <c r="D859" s="35" t="s">
        <v>53</v>
      </c>
      <c r="E859" s="35"/>
      <c r="F859" s="35"/>
      <c r="G859" s="35" t="s">
        <v>444</v>
      </c>
      <c r="H859" s="35" t="s">
        <v>61</v>
      </c>
      <c r="I859" s="4"/>
    </row>
    <row r="860" customFormat="false" ht="15" hidden="false" customHeight="false" outlineLevel="0" collapsed="false">
      <c r="A860" s="35" t="s">
        <v>3145</v>
      </c>
      <c r="B860" s="35"/>
      <c r="C860" s="35" t="s">
        <v>632</v>
      </c>
      <c r="D860" s="35" t="s">
        <v>114</v>
      </c>
      <c r="E860" s="35"/>
      <c r="F860" s="35"/>
      <c r="G860" s="35" t="s">
        <v>421</v>
      </c>
      <c r="H860" s="35" t="s">
        <v>61</v>
      </c>
      <c r="I860" s="4"/>
    </row>
    <row r="861" customFormat="false" ht="15" hidden="false" customHeight="false" outlineLevel="0" collapsed="false">
      <c r="A861" s="35" t="s">
        <v>3146</v>
      </c>
      <c r="B861" s="35"/>
      <c r="C861" s="35" t="s">
        <v>632</v>
      </c>
      <c r="D861" s="35" t="s">
        <v>114</v>
      </c>
      <c r="E861" s="35"/>
      <c r="F861" s="35"/>
      <c r="G861" s="35" t="s">
        <v>421</v>
      </c>
      <c r="H861" s="35" t="s">
        <v>61</v>
      </c>
      <c r="I861" s="4"/>
    </row>
    <row r="862" customFormat="false" ht="15" hidden="false" customHeight="false" outlineLevel="0" collapsed="false">
      <c r="A862" s="35" t="s">
        <v>1456</v>
      </c>
      <c r="B862" s="35"/>
      <c r="C862" s="35" t="s">
        <v>632</v>
      </c>
      <c r="D862" s="35" t="s">
        <v>57</v>
      </c>
      <c r="E862" s="35" t="s">
        <v>1455</v>
      </c>
      <c r="F862" s="35"/>
      <c r="G862" s="35" t="s">
        <v>45</v>
      </c>
      <c r="H862" s="35" t="s">
        <v>61</v>
      </c>
      <c r="I862" s="4"/>
    </row>
    <row r="863" customFormat="false" ht="15" hidden="false" customHeight="false" outlineLevel="0" collapsed="false">
      <c r="A863" s="35" t="s">
        <v>3147</v>
      </c>
      <c r="B863" s="35"/>
      <c r="C863" s="35" t="s">
        <v>632</v>
      </c>
      <c r="D863" s="35" t="s">
        <v>114</v>
      </c>
      <c r="E863" s="35"/>
      <c r="F863" s="35"/>
      <c r="G863" s="35" t="s">
        <v>83</v>
      </c>
      <c r="H863" s="35" t="s">
        <v>61</v>
      </c>
      <c r="I863" s="4"/>
    </row>
    <row r="864" customFormat="false" ht="15" hidden="false" customHeight="false" outlineLevel="0" collapsed="false">
      <c r="A864" s="35" t="s">
        <v>3148</v>
      </c>
      <c r="B864" s="35"/>
      <c r="C864" s="35" t="s">
        <v>632</v>
      </c>
      <c r="D864" s="35" t="s">
        <v>447</v>
      </c>
      <c r="E864" s="35"/>
      <c r="F864" s="35"/>
      <c r="G864" s="35" t="s">
        <v>444</v>
      </c>
      <c r="H864" s="35" t="s">
        <v>61</v>
      </c>
      <c r="I864" s="4"/>
    </row>
    <row r="865" customFormat="false" ht="15" hidden="false" customHeight="false" outlineLevel="0" collapsed="false">
      <c r="A865" s="35" t="s">
        <v>3149</v>
      </c>
      <c r="B865" s="35"/>
      <c r="C865" s="35" t="s">
        <v>632</v>
      </c>
      <c r="D865" s="35" t="s">
        <v>53</v>
      </c>
      <c r="E865" s="35"/>
      <c r="F865" s="35"/>
      <c r="G865" s="35" t="s">
        <v>444</v>
      </c>
      <c r="H865" s="35" t="s">
        <v>61</v>
      </c>
      <c r="I865" s="4"/>
    </row>
    <row r="866" customFormat="false" ht="15" hidden="false" customHeight="false" outlineLevel="0" collapsed="false">
      <c r="A866" s="35" t="s">
        <v>3150</v>
      </c>
      <c r="B866" s="35"/>
      <c r="C866" s="35" t="s">
        <v>632</v>
      </c>
      <c r="D866" s="35" t="s">
        <v>447</v>
      </c>
      <c r="E866" s="35"/>
      <c r="F866" s="35"/>
      <c r="G866" s="35" t="s">
        <v>734</v>
      </c>
      <c r="H866" s="35" t="s">
        <v>61</v>
      </c>
      <c r="I866" s="4"/>
    </row>
    <row r="867" customFormat="false" ht="15" hidden="false" customHeight="false" outlineLevel="0" collapsed="false">
      <c r="A867" s="35" t="s">
        <v>3151</v>
      </c>
      <c r="B867" s="35"/>
      <c r="C867" s="35" t="s">
        <v>632</v>
      </c>
      <c r="D867" s="35" t="s">
        <v>447</v>
      </c>
      <c r="E867" s="35"/>
      <c r="F867" s="35"/>
      <c r="G867" s="35" t="s">
        <v>750</v>
      </c>
      <c r="H867" s="35" t="s">
        <v>61</v>
      </c>
      <c r="I867" s="4"/>
    </row>
    <row r="868" customFormat="false" ht="15" hidden="false" customHeight="false" outlineLevel="0" collapsed="false">
      <c r="A868" s="35" t="s">
        <v>3152</v>
      </c>
      <c r="B868" s="35"/>
      <c r="C868" s="35" t="s">
        <v>632</v>
      </c>
      <c r="D868" s="35" t="s">
        <v>114</v>
      </c>
      <c r="E868" s="35"/>
      <c r="F868" s="35"/>
      <c r="G868" s="35" t="s">
        <v>45</v>
      </c>
      <c r="H868" s="35" t="s">
        <v>61</v>
      </c>
      <c r="I868" s="4"/>
    </row>
    <row r="869" customFormat="false" ht="15" hidden="false" customHeight="false" outlineLevel="0" collapsed="false">
      <c r="A869" s="35" t="s">
        <v>3153</v>
      </c>
      <c r="B869" s="35"/>
      <c r="C869" s="35" t="s">
        <v>632</v>
      </c>
      <c r="D869" s="35" t="s">
        <v>146</v>
      </c>
      <c r="E869" s="35"/>
      <c r="F869" s="35"/>
      <c r="G869" s="35" t="s">
        <v>49</v>
      </c>
      <c r="H869" s="35" t="s">
        <v>61</v>
      </c>
      <c r="I869" s="4"/>
    </row>
    <row r="870" customFormat="false" ht="15" hidden="false" customHeight="false" outlineLevel="0" collapsed="false">
      <c r="A870" s="35" t="s">
        <v>3154</v>
      </c>
      <c r="B870" s="35"/>
      <c r="C870" s="35" t="s">
        <v>632</v>
      </c>
      <c r="D870" s="35" t="s">
        <v>114</v>
      </c>
      <c r="E870" s="35"/>
      <c r="F870" s="35"/>
      <c r="G870" s="35" t="s">
        <v>719</v>
      </c>
      <c r="H870" s="35" t="s">
        <v>61</v>
      </c>
      <c r="I870" s="4"/>
    </row>
    <row r="871" customFormat="false" ht="15" hidden="false" customHeight="false" outlineLevel="0" collapsed="false">
      <c r="A871" s="35" t="s">
        <v>3155</v>
      </c>
      <c r="B871" s="35"/>
      <c r="C871" s="35" t="s">
        <v>632</v>
      </c>
      <c r="D871" s="35" t="s">
        <v>114</v>
      </c>
      <c r="E871" s="35"/>
      <c r="F871" s="35"/>
      <c r="G871" s="35" t="s">
        <v>91</v>
      </c>
      <c r="H871" s="35" t="s">
        <v>61</v>
      </c>
      <c r="I871" s="4"/>
    </row>
    <row r="872" customFormat="false" ht="15" hidden="false" customHeight="false" outlineLevel="0" collapsed="false">
      <c r="A872" s="35" t="s">
        <v>3156</v>
      </c>
      <c r="B872" s="35"/>
      <c r="C872" s="35" t="s">
        <v>632</v>
      </c>
      <c r="D872" s="35" t="s">
        <v>114</v>
      </c>
      <c r="E872" s="35"/>
      <c r="F872" s="35"/>
      <c r="G872" s="35" t="s">
        <v>727</v>
      </c>
      <c r="H872" s="35" t="s">
        <v>61</v>
      </c>
      <c r="I872" s="4"/>
    </row>
    <row r="873" customFormat="false" ht="15" hidden="false" customHeight="false" outlineLevel="0" collapsed="false">
      <c r="A873" s="35" t="s">
        <v>3157</v>
      </c>
      <c r="B873" s="35"/>
      <c r="C873" s="35" t="s">
        <v>632</v>
      </c>
      <c r="D873" s="35" t="s">
        <v>114</v>
      </c>
      <c r="E873" s="35"/>
      <c r="F873" s="35"/>
      <c r="G873" s="35" t="s">
        <v>421</v>
      </c>
      <c r="H873" s="35" t="s">
        <v>61</v>
      </c>
      <c r="I873" s="4"/>
    </row>
    <row r="874" customFormat="false" ht="15" hidden="false" customHeight="false" outlineLevel="0" collapsed="false">
      <c r="A874" s="35" t="s">
        <v>1406</v>
      </c>
      <c r="B874" s="35" t="s">
        <v>3158</v>
      </c>
      <c r="C874" s="35" t="s">
        <v>48</v>
      </c>
      <c r="D874" s="35" t="s">
        <v>107</v>
      </c>
      <c r="E874" s="35" t="s">
        <v>1406</v>
      </c>
      <c r="F874" s="35"/>
      <c r="G874" s="35" t="s">
        <v>104</v>
      </c>
      <c r="H874" s="35" t="s">
        <v>61</v>
      </c>
      <c r="I874" s="4"/>
    </row>
    <row r="875" customFormat="false" ht="15" hidden="false" customHeight="false" outlineLevel="0" collapsed="false">
      <c r="A875" s="35" t="s">
        <v>1408</v>
      </c>
      <c r="B875" s="35" t="s">
        <v>3159</v>
      </c>
      <c r="C875" s="35" t="s">
        <v>48</v>
      </c>
      <c r="D875" s="35" t="s">
        <v>57</v>
      </c>
      <c r="E875" s="35" t="s">
        <v>1407</v>
      </c>
      <c r="F875" s="35"/>
      <c r="G875" s="35" t="s">
        <v>328</v>
      </c>
      <c r="H875" s="35" t="s">
        <v>369</v>
      </c>
      <c r="I875" s="4"/>
    </row>
    <row r="876" customFormat="false" ht="15" hidden="false" customHeight="false" outlineLevel="0" collapsed="false">
      <c r="A876" s="35" t="s">
        <v>256</v>
      </c>
      <c r="B876" s="35" t="s">
        <v>257</v>
      </c>
      <c r="C876" s="35" t="s">
        <v>48</v>
      </c>
      <c r="D876" s="35" t="s">
        <v>114</v>
      </c>
      <c r="E876" s="35"/>
      <c r="F876" s="35"/>
      <c r="G876" s="35" t="s">
        <v>119</v>
      </c>
      <c r="H876" s="35" t="s">
        <v>258</v>
      </c>
      <c r="I876" s="4" t="s">
        <v>2025</v>
      </c>
    </row>
    <row r="877" customFormat="false" ht="15" hidden="false" customHeight="false" outlineLevel="0" collapsed="false">
      <c r="A877" s="35" t="s">
        <v>3160</v>
      </c>
      <c r="B877" s="35" t="s">
        <v>3161</v>
      </c>
      <c r="C877" s="35" t="s">
        <v>48</v>
      </c>
      <c r="D877" s="35" t="s">
        <v>107</v>
      </c>
      <c r="E877" s="35" t="s">
        <v>591</v>
      </c>
      <c r="F877" s="35"/>
      <c r="G877" s="35" t="s">
        <v>417</v>
      </c>
      <c r="H877" s="35" t="s">
        <v>61</v>
      </c>
      <c r="I877" s="4"/>
    </row>
    <row r="878" customFormat="false" ht="15" hidden="false" customHeight="false" outlineLevel="0" collapsed="false">
      <c r="A878" s="35" t="s">
        <v>3162</v>
      </c>
      <c r="B878" s="35"/>
      <c r="C878" s="35" t="s">
        <v>632</v>
      </c>
      <c r="D878" s="35" t="s">
        <v>53</v>
      </c>
      <c r="E878" s="35"/>
      <c r="F878" s="35"/>
      <c r="G878" s="35" t="s">
        <v>421</v>
      </c>
      <c r="H878" s="35" t="s">
        <v>61</v>
      </c>
      <c r="I878" s="4"/>
    </row>
    <row r="879" customFormat="false" ht="15" hidden="false" customHeight="false" outlineLevel="0" collapsed="false">
      <c r="A879" s="35" t="s">
        <v>3163</v>
      </c>
      <c r="B879" s="35" t="s">
        <v>3164</v>
      </c>
      <c r="C879" s="35" t="s">
        <v>48</v>
      </c>
      <c r="D879" s="35" t="s">
        <v>57</v>
      </c>
      <c r="E879" s="35" t="s">
        <v>447</v>
      </c>
      <c r="F879" s="35"/>
      <c r="G879" s="35" t="s">
        <v>717</v>
      </c>
      <c r="H879" s="35" t="s">
        <v>61</v>
      </c>
      <c r="I879" s="4"/>
    </row>
    <row r="880" customFormat="false" ht="15" hidden="false" customHeight="false" outlineLevel="0" collapsed="false">
      <c r="A880" s="35" t="s">
        <v>3165</v>
      </c>
      <c r="B880" s="35" t="s">
        <v>3166</v>
      </c>
      <c r="C880" s="35" t="s">
        <v>48</v>
      </c>
      <c r="D880" s="35" t="s">
        <v>107</v>
      </c>
      <c r="E880" s="35" t="s">
        <v>958</v>
      </c>
      <c r="F880" s="35" t="s">
        <v>2147</v>
      </c>
      <c r="G880" s="35" t="s">
        <v>689</v>
      </c>
      <c r="H880" s="35" t="s">
        <v>61</v>
      </c>
      <c r="I880" s="4"/>
    </row>
    <row r="881" customFormat="false" ht="15" hidden="false" customHeight="false" outlineLevel="0" collapsed="false">
      <c r="A881" s="35" t="s">
        <v>3167</v>
      </c>
      <c r="B881" s="35" t="s">
        <v>3168</v>
      </c>
      <c r="C881" s="35" t="s">
        <v>48</v>
      </c>
      <c r="D881" s="35" t="s">
        <v>107</v>
      </c>
      <c r="E881" s="35" t="s">
        <v>841</v>
      </c>
      <c r="F881" s="35"/>
      <c r="G881" s="35" t="s">
        <v>49</v>
      </c>
      <c r="H881" s="35" t="s">
        <v>49</v>
      </c>
      <c r="I881" s="4"/>
    </row>
    <row r="882" customFormat="false" ht="15" hidden="false" customHeight="false" outlineLevel="0" collapsed="false">
      <c r="A882" s="35" t="s">
        <v>3169</v>
      </c>
      <c r="B882" s="35" t="s">
        <v>3170</v>
      </c>
      <c r="C882" s="35" t="s">
        <v>48</v>
      </c>
      <c r="D882" s="35" t="s">
        <v>107</v>
      </c>
      <c r="E882" s="35" t="s">
        <v>967</v>
      </c>
      <c r="F882" s="35"/>
      <c r="G882" s="35" t="s">
        <v>417</v>
      </c>
      <c r="H882" s="35" t="s">
        <v>61</v>
      </c>
      <c r="I882" s="4"/>
    </row>
    <row r="883" customFormat="false" ht="15" hidden="false" customHeight="false" outlineLevel="0" collapsed="false">
      <c r="A883" s="35" t="s">
        <v>3171</v>
      </c>
      <c r="B883" s="35" t="s">
        <v>3172</v>
      </c>
      <c r="C883" s="35" t="s">
        <v>48</v>
      </c>
      <c r="D883" s="35" t="s">
        <v>107</v>
      </c>
      <c r="E883" s="35" t="s">
        <v>1115</v>
      </c>
      <c r="F883" s="35"/>
      <c r="G883" s="35" t="s">
        <v>710</v>
      </c>
      <c r="H883" s="35" t="s">
        <v>61</v>
      </c>
      <c r="I883" s="4"/>
    </row>
    <row r="884" customFormat="false" ht="15" hidden="false" customHeight="false" outlineLevel="0" collapsed="false">
      <c r="A884" s="35" t="s">
        <v>1471</v>
      </c>
      <c r="B884" s="35" t="s">
        <v>3173</v>
      </c>
      <c r="C884" s="35" t="s">
        <v>48</v>
      </c>
      <c r="D884" s="35" t="s">
        <v>107</v>
      </c>
      <c r="E884" s="35" t="s">
        <v>1470</v>
      </c>
      <c r="F884" s="35"/>
      <c r="G884" s="35" t="s">
        <v>681</v>
      </c>
      <c r="H884" s="35" t="s">
        <v>61</v>
      </c>
      <c r="I884" s="4"/>
    </row>
    <row r="885" customFormat="false" ht="15" hidden="false" customHeight="false" outlineLevel="0" collapsed="false">
      <c r="A885" s="35" t="s">
        <v>3174</v>
      </c>
      <c r="B885" s="35" t="s">
        <v>3175</v>
      </c>
      <c r="C885" s="35" t="s">
        <v>48</v>
      </c>
      <c r="D885" s="35" t="s">
        <v>107</v>
      </c>
      <c r="E885" s="35" t="s">
        <v>993</v>
      </c>
      <c r="F885" s="35"/>
      <c r="G885" s="35" t="s">
        <v>417</v>
      </c>
      <c r="H885" s="35" t="s">
        <v>61</v>
      </c>
      <c r="I885" s="4"/>
    </row>
    <row r="886" customFormat="false" ht="15" hidden="false" customHeight="false" outlineLevel="0" collapsed="false">
      <c r="A886" s="35" t="s">
        <v>3176</v>
      </c>
      <c r="B886" s="35" t="s">
        <v>3177</v>
      </c>
      <c r="C886" s="35" t="s">
        <v>48</v>
      </c>
      <c r="D886" s="35" t="s">
        <v>53</v>
      </c>
      <c r="E886" s="35"/>
      <c r="F886" s="35"/>
      <c r="G886" s="35" t="s">
        <v>417</v>
      </c>
      <c r="H886" s="35" t="s">
        <v>2109</v>
      </c>
      <c r="I886" s="4"/>
    </row>
    <row r="887" customFormat="false" ht="15" hidden="false" customHeight="false" outlineLevel="0" collapsed="false">
      <c r="A887" s="35" t="s">
        <v>3178</v>
      </c>
      <c r="B887" s="35" t="s">
        <v>3179</v>
      </c>
      <c r="C887" s="35" t="s">
        <v>48</v>
      </c>
      <c r="D887" s="35" t="s">
        <v>57</v>
      </c>
      <c r="E887" s="35" t="s">
        <v>1096</v>
      </c>
      <c r="F887" s="35"/>
      <c r="G887" s="35" t="s">
        <v>686</v>
      </c>
      <c r="H887" s="35" t="s">
        <v>61</v>
      </c>
      <c r="I887" s="4"/>
    </row>
    <row r="888" customFormat="false" ht="15" hidden="false" customHeight="false" outlineLevel="0" collapsed="false">
      <c r="A888" s="35" t="s">
        <v>3180</v>
      </c>
      <c r="B888" s="35" t="s">
        <v>3181</v>
      </c>
      <c r="C888" s="35" t="s">
        <v>48</v>
      </c>
      <c r="D888" s="35" t="s">
        <v>146</v>
      </c>
      <c r="E888" s="35"/>
      <c r="F888" s="35"/>
      <c r="G888" s="35" t="s">
        <v>571</v>
      </c>
      <c r="H888" s="35" t="s">
        <v>61</v>
      </c>
      <c r="I888" s="4"/>
    </row>
    <row r="889" customFormat="false" ht="15" hidden="false" customHeight="false" outlineLevel="0" collapsed="false">
      <c r="A889" s="35" t="s">
        <v>3182</v>
      </c>
      <c r="B889" s="35" t="s">
        <v>3183</v>
      </c>
      <c r="C889" s="35" t="s">
        <v>48</v>
      </c>
      <c r="D889" s="35" t="s">
        <v>146</v>
      </c>
      <c r="E889" s="35"/>
      <c r="F889" s="35"/>
      <c r="G889" s="35" t="s">
        <v>571</v>
      </c>
      <c r="H889" s="35" t="s">
        <v>61</v>
      </c>
      <c r="I889" s="4"/>
    </row>
    <row r="890" customFormat="false" ht="15" hidden="false" customHeight="false" outlineLevel="0" collapsed="false">
      <c r="A890" s="35" t="s">
        <v>3184</v>
      </c>
      <c r="B890" s="35" t="s">
        <v>3185</v>
      </c>
      <c r="C890" s="35" t="s">
        <v>48</v>
      </c>
      <c r="D890" s="35" t="s">
        <v>146</v>
      </c>
      <c r="E890" s="35"/>
      <c r="F890" s="35"/>
      <c r="G890" s="35" t="s">
        <v>328</v>
      </c>
      <c r="H890" s="35" t="s">
        <v>61</v>
      </c>
      <c r="I890" s="4"/>
    </row>
    <row r="891" customFormat="false" ht="15" hidden="false" customHeight="false" outlineLevel="0" collapsed="false">
      <c r="A891" s="35" t="s">
        <v>3186</v>
      </c>
      <c r="B891" s="35" t="s">
        <v>3187</v>
      </c>
      <c r="C891" s="35" t="s">
        <v>48</v>
      </c>
      <c r="D891" s="35" t="s">
        <v>107</v>
      </c>
      <c r="E891" s="35" t="s">
        <v>958</v>
      </c>
      <c r="F891" s="35" t="s">
        <v>2147</v>
      </c>
      <c r="G891" s="35" t="s">
        <v>689</v>
      </c>
      <c r="H891" s="35" t="s">
        <v>61</v>
      </c>
      <c r="I891" s="4"/>
    </row>
    <row r="892" customFormat="false" ht="15" hidden="false" customHeight="false" outlineLevel="0" collapsed="false">
      <c r="A892" s="35" t="s">
        <v>3188</v>
      </c>
      <c r="B892" s="35" t="s">
        <v>3189</v>
      </c>
      <c r="C892" s="35" t="s">
        <v>48</v>
      </c>
      <c r="D892" s="35" t="s">
        <v>57</v>
      </c>
      <c r="E892" s="35" t="s">
        <v>885</v>
      </c>
      <c r="F892" s="35"/>
      <c r="G892" s="35" t="s">
        <v>328</v>
      </c>
      <c r="H892" s="35" t="s">
        <v>61</v>
      </c>
      <c r="I892" s="4"/>
    </row>
    <row r="893" customFormat="false" ht="15" hidden="false" customHeight="false" outlineLevel="0" collapsed="false">
      <c r="A893" s="35" t="s">
        <v>3190</v>
      </c>
      <c r="B893" s="35" t="s">
        <v>3191</v>
      </c>
      <c r="C893" s="35" t="s">
        <v>48</v>
      </c>
      <c r="D893" s="35" t="s">
        <v>146</v>
      </c>
      <c r="E893" s="35"/>
      <c r="F893" s="35"/>
      <c r="G893" s="35" t="s">
        <v>328</v>
      </c>
      <c r="H893" s="35" t="s">
        <v>61</v>
      </c>
      <c r="I893" s="4"/>
    </row>
    <row r="894" customFormat="false" ht="15" hidden="false" customHeight="false" outlineLevel="0" collapsed="false">
      <c r="A894" s="35" t="s">
        <v>3192</v>
      </c>
      <c r="B894" s="35" t="s">
        <v>3193</v>
      </c>
      <c r="C894" s="35" t="s">
        <v>48</v>
      </c>
      <c r="D894" s="35" t="s">
        <v>107</v>
      </c>
      <c r="E894" s="35" t="s">
        <v>958</v>
      </c>
      <c r="F894" s="35" t="s">
        <v>2147</v>
      </c>
      <c r="G894" s="35" t="s">
        <v>689</v>
      </c>
      <c r="H894" s="35" t="s">
        <v>61</v>
      </c>
      <c r="I894" s="4"/>
    </row>
    <row r="895" customFormat="false" ht="15" hidden="false" customHeight="false" outlineLevel="0" collapsed="false">
      <c r="A895" s="35" t="s">
        <v>3194</v>
      </c>
      <c r="B895" s="35" t="s">
        <v>3195</v>
      </c>
      <c r="C895" s="35" t="s">
        <v>48</v>
      </c>
      <c r="D895" s="35" t="s">
        <v>57</v>
      </c>
      <c r="E895" s="35" t="s">
        <v>45</v>
      </c>
      <c r="F895" s="35"/>
      <c r="G895" s="35" t="s">
        <v>99</v>
      </c>
      <c r="H895" s="35" t="s">
        <v>61</v>
      </c>
      <c r="I895" s="4"/>
    </row>
    <row r="896" customFormat="false" ht="15" hidden="false" customHeight="false" outlineLevel="0" collapsed="false">
      <c r="A896" s="35" t="s">
        <v>3196</v>
      </c>
      <c r="B896" s="35" t="s">
        <v>3197</v>
      </c>
      <c r="C896" s="35" t="s">
        <v>48</v>
      </c>
      <c r="D896" s="35" t="s">
        <v>114</v>
      </c>
      <c r="E896" s="35"/>
      <c r="F896" s="35"/>
      <c r="G896" s="35" t="s">
        <v>83</v>
      </c>
      <c r="H896" s="35" t="s">
        <v>61</v>
      </c>
      <c r="I896" s="4"/>
    </row>
    <row r="897" customFormat="false" ht="15" hidden="false" customHeight="false" outlineLevel="0" collapsed="false">
      <c r="A897" s="35" t="s">
        <v>3198</v>
      </c>
      <c r="B897" s="35" t="s">
        <v>3199</v>
      </c>
      <c r="C897" s="35" t="s">
        <v>48</v>
      </c>
      <c r="D897" s="35" t="s">
        <v>107</v>
      </c>
      <c r="E897" s="35" t="s">
        <v>1849</v>
      </c>
      <c r="F897" s="35"/>
      <c r="G897" s="35" t="s">
        <v>749</v>
      </c>
      <c r="H897" s="35" t="s">
        <v>61</v>
      </c>
      <c r="I897" s="4"/>
    </row>
    <row r="898" customFormat="false" ht="15" hidden="false" customHeight="false" outlineLevel="0" collapsed="false">
      <c r="A898" s="35" t="s">
        <v>3200</v>
      </c>
      <c r="B898" s="35" t="s">
        <v>3201</v>
      </c>
      <c r="C898" s="35" t="s">
        <v>48</v>
      </c>
      <c r="D898" s="35" t="s">
        <v>107</v>
      </c>
      <c r="E898" s="35" t="s">
        <v>1849</v>
      </c>
      <c r="F898" s="35"/>
      <c r="G898" s="35" t="s">
        <v>749</v>
      </c>
      <c r="H898" s="35" t="s">
        <v>61</v>
      </c>
      <c r="I898" s="4"/>
    </row>
    <row r="899" customFormat="false" ht="15" hidden="false" customHeight="false" outlineLevel="0" collapsed="false">
      <c r="A899" s="35" t="s">
        <v>1853</v>
      </c>
      <c r="B899" s="35" t="s">
        <v>3202</v>
      </c>
      <c r="C899" s="35" t="s">
        <v>48</v>
      </c>
      <c r="D899" s="35" t="s">
        <v>107</v>
      </c>
      <c r="E899" s="35" t="s">
        <v>1852</v>
      </c>
      <c r="F899" s="35"/>
      <c r="G899" s="35" t="s">
        <v>417</v>
      </c>
      <c r="H899" s="35" t="s">
        <v>245</v>
      </c>
      <c r="I899" s="4"/>
    </row>
    <row r="900" customFormat="false" ht="15" hidden="false" customHeight="false" outlineLevel="0" collapsed="false">
      <c r="A900" s="35" t="s">
        <v>1293</v>
      </c>
      <c r="B900" s="35" t="s">
        <v>3203</v>
      </c>
      <c r="C900" s="35" t="s">
        <v>48</v>
      </c>
      <c r="D900" s="35" t="s">
        <v>107</v>
      </c>
      <c r="E900" s="35" t="s">
        <v>750</v>
      </c>
      <c r="F900" s="35"/>
      <c r="G900" s="35" t="s">
        <v>702</v>
      </c>
      <c r="H900" s="35" t="s">
        <v>61</v>
      </c>
      <c r="I900" s="4"/>
    </row>
    <row r="901" customFormat="false" ht="15" hidden="false" customHeight="false" outlineLevel="0" collapsed="false">
      <c r="A901" s="35" t="s">
        <v>3204</v>
      </c>
      <c r="B901" s="35" t="s">
        <v>3205</v>
      </c>
      <c r="C901" s="35" t="s">
        <v>48</v>
      </c>
      <c r="D901" s="35" t="s">
        <v>114</v>
      </c>
      <c r="E901" s="35"/>
      <c r="F901" s="35"/>
      <c r="G901" s="35" t="s">
        <v>421</v>
      </c>
      <c r="H901" s="35" t="s">
        <v>61</v>
      </c>
      <c r="I901" s="4"/>
    </row>
    <row r="902" customFormat="false" ht="15" hidden="false" customHeight="false" outlineLevel="0" collapsed="false">
      <c r="A902" s="35" t="s">
        <v>3206</v>
      </c>
      <c r="B902" s="35" t="s">
        <v>3207</v>
      </c>
      <c r="C902" s="35" t="s">
        <v>48</v>
      </c>
      <c r="D902" s="35" t="s">
        <v>114</v>
      </c>
      <c r="E902" s="35"/>
      <c r="F902" s="35"/>
      <c r="G902" s="35" t="s">
        <v>49</v>
      </c>
      <c r="H902" s="35" t="s">
        <v>49</v>
      </c>
      <c r="I902" s="4"/>
    </row>
    <row r="903" customFormat="false" ht="15" hidden="false" customHeight="false" outlineLevel="0" collapsed="false">
      <c r="A903" s="35" t="s">
        <v>3208</v>
      </c>
      <c r="B903" s="35" t="s">
        <v>3209</v>
      </c>
      <c r="C903" s="35" t="s">
        <v>48</v>
      </c>
      <c r="D903" s="35" t="s">
        <v>53</v>
      </c>
      <c r="E903" s="35"/>
      <c r="F903" s="35" t="s">
        <v>3210</v>
      </c>
      <c r="G903" s="35" t="s">
        <v>49</v>
      </c>
      <c r="H903" s="35" t="s">
        <v>61</v>
      </c>
      <c r="I903" s="4"/>
    </row>
    <row r="904" customFormat="false" ht="15" hidden="false" customHeight="false" outlineLevel="0" collapsed="false">
      <c r="A904" s="35" t="s">
        <v>1412</v>
      </c>
      <c r="B904" s="35" t="s">
        <v>3211</v>
      </c>
      <c r="C904" s="35" t="s">
        <v>48</v>
      </c>
      <c r="D904" s="35" t="s">
        <v>46</v>
      </c>
      <c r="E904" s="35" t="s">
        <v>1411</v>
      </c>
      <c r="F904" s="35"/>
      <c r="G904" s="35" t="s">
        <v>262</v>
      </c>
      <c r="H904" s="35" t="s">
        <v>61</v>
      </c>
      <c r="I904" s="4"/>
    </row>
    <row r="905" customFormat="false" ht="15" hidden="false" customHeight="false" outlineLevel="0" collapsed="false">
      <c r="A905" s="35" t="s">
        <v>1414</v>
      </c>
      <c r="B905" s="35" t="s">
        <v>3212</v>
      </c>
      <c r="C905" s="35" t="s">
        <v>48</v>
      </c>
      <c r="D905" s="35" t="s">
        <v>46</v>
      </c>
      <c r="E905" s="35" t="s">
        <v>1413</v>
      </c>
      <c r="F905" s="35"/>
      <c r="G905" s="35" t="s">
        <v>262</v>
      </c>
      <c r="H905" s="35" t="s">
        <v>61</v>
      </c>
      <c r="I905" s="4"/>
    </row>
    <row r="906" customFormat="false" ht="15" hidden="false" customHeight="false" outlineLevel="0" collapsed="false">
      <c r="A906" s="35" t="s">
        <v>1416</v>
      </c>
      <c r="B906" s="35" t="s">
        <v>3213</v>
      </c>
      <c r="C906" s="35" t="s">
        <v>48</v>
      </c>
      <c r="D906" s="35" t="s">
        <v>46</v>
      </c>
      <c r="E906" s="35" t="s">
        <v>1415</v>
      </c>
      <c r="F906" s="35"/>
      <c r="G906" s="35" t="s">
        <v>262</v>
      </c>
      <c r="H906" s="35" t="s">
        <v>61</v>
      </c>
      <c r="I906" s="4"/>
    </row>
    <row r="907" customFormat="false" ht="15" hidden="false" customHeight="false" outlineLevel="0" collapsed="false">
      <c r="A907" s="35" t="s">
        <v>1418</v>
      </c>
      <c r="B907" s="35" t="s">
        <v>3214</v>
      </c>
      <c r="C907" s="35" t="s">
        <v>48</v>
      </c>
      <c r="D907" s="35" t="s">
        <v>46</v>
      </c>
      <c r="E907" s="35" t="s">
        <v>1417</v>
      </c>
      <c r="F907" s="35"/>
      <c r="G907" s="35" t="s">
        <v>262</v>
      </c>
      <c r="H907" s="35" t="s">
        <v>61</v>
      </c>
      <c r="I907" s="4"/>
    </row>
    <row r="908" customFormat="false" ht="15" hidden="false" customHeight="false" outlineLevel="0" collapsed="false">
      <c r="A908" s="35" t="s">
        <v>1420</v>
      </c>
      <c r="B908" s="35" t="s">
        <v>3215</v>
      </c>
      <c r="C908" s="35" t="s">
        <v>48</v>
      </c>
      <c r="D908" s="35" t="s">
        <v>46</v>
      </c>
      <c r="E908" s="35" t="s">
        <v>1419</v>
      </c>
      <c r="F908" s="35"/>
      <c r="G908" s="35" t="s">
        <v>262</v>
      </c>
      <c r="H908" s="35" t="s">
        <v>61</v>
      </c>
      <c r="I908" s="4"/>
    </row>
    <row r="909" customFormat="false" ht="15" hidden="false" customHeight="false" outlineLevel="0" collapsed="false">
      <c r="A909" s="35" t="s">
        <v>1422</v>
      </c>
      <c r="B909" s="35" t="s">
        <v>3216</v>
      </c>
      <c r="C909" s="35" t="s">
        <v>48</v>
      </c>
      <c r="D909" s="35" t="s">
        <v>46</v>
      </c>
      <c r="E909" s="35" t="s">
        <v>1421</v>
      </c>
      <c r="F909" s="35"/>
      <c r="G909" s="35" t="s">
        <v>262</v>
      </c>
      <c r="H909" s="35" t="s">
        <v>61</v>
      </c>
      <c r="I909" s="4"/>
    </row>
    <row r="910" customFormat="false" ht="15" hidden="false" customHeight="false" outlineLevel="0" collapsed="false">
      <c r="A910" s="35" t="s">
        <v>1424</v>
      </c>
      <c r="B910" s="35" t="s">
        <v>3217</v>
      </c>
      <c r="C910" s="35" t="s">
        <v>48</v>
      </c>
      <c r="D910" s="35" t="s">
        <v>46</v>
      </c>
      <c r="E910" s="35" t="s">
        <v>1423</v>
      </c>
      <c r="F910" s="35"/>
      <c r="G910" s="35" t="s">
        <v>262</v>
      </c>
      <c r="H910" s="35" t="s">
        <v>61</v>
      </c>
      <c r="I910" s="4"/>
    </row>
    <row r="911" customFormat="false" ht="15" hidden="false" customHeight="false" outlineLevel="0" collapsed="false">
      <c r="A911" s="35" t="s">
        <v>1426</v>
      </c>
      <c r="B911" s="35" t="s">
        <v>3218</v>
      </c>
      <c r="C911" s="35" t="s">
        <v>48</v>
      </c>
      <c r="D911" s="35" t="s">
        <v>46</v>
      </c>
      <c r="E911" s="35" t="s">
        <v>1425</v>
      </c>
      <c r="F911" s="35"/>
      <c r="G911" s="35" t="s">
        <v>262</v>
      </c>
      <c r="H911" s="35" t="s">
        <v>61</v>
      </c>
      <c r="I911" s="4"/>
    </row>
    <row r="912" customFormat="false" ht="15" hidden="false" customHeight="false" outlineLevel="0" collapsed="false">
      <c r="A912" s="35" t="s">
        <v>1428</v>
      </c>
      <c r="B912" s="35" t="s">
        <v>3219</v>
      </c>
      <c r="C912" s="35" t="s">
        <v>48</v>
      </c>
      <c r="D912" s="35" t="s">
        <v>46</v>
      </c>
      <c r="E912" s="35" t="s">
        <v>1427</v>
      </c>
      <c r="F912" s="35"/>
      <c r="G912" s="35" t="s">
        <v>262</v>
      </c>
      <c r="H912" s="35" t="s">
        <v>61</v>
      </c>
      <c r="I912" s="4"/>
    </row>
    <row r="913" customFormat="false" ht="15" hidden="false" customHeight="false" outlineLevel="0" collapsed="false">
      <c r="A913" s="35" t="s">
        <v>3220</v>
      </c>
      <c r="B913" s="35" t="s">
        <v>3221</v>
      </c>
      <c r="C913" s="35" t="s">
        <v>48</v>
      </c>
      <c r="D913" s="35" t="s">
        <v>107</v>
      </c>
      <c r="E913" s="35" t="s">
        <v>262</v>
      </c>
      <c r="F913" s="35" t="s">
        <v>3222</v>
      </c>
      <c r="G913" s="35" t="s">
        <v>262</v>
      </c>
      <c r="H913" s="35" t="s">
        <v>61</v>
      </c>
      <c r="I913" s="4"/>
    </row>
    <row r="914" customFormat="false" ht="15" hidden="false" customHeight="false" outlineLevel="0" collapsed="false">
      <c r="A914" s="35" t="s">
        <v>3223</v>
      </c>
      <c r="B914" s="35" t="s">
        <v>3221</v>
      </c>
      <c r="C914" s="35" t="s">
        <v>48</v>
      </c>
      <c r="D914" s="35" t="s">
        <v>107</v>
      </c>
      <c r="E914" s="35" t="s">
        <v>262</v>
      </c>
      <c r="F914" s="35"/>
      <c r="G914" s="35" t="s">
        <v>262</v>
      </c>
      <c r="H914" s="35" t="s">
        <v>267</v>
      </c>
      <c r="I914" s="4"/>
    </row>
    <row r="915" customFormat="false" ht="15" hidden="false" customHeight="false" outlineLevel="0" collapsed="false">
      <c r="A915" s="35" t="s">
        <v>3224</v>
      </c>
      <c r="B915" s="35" t="s">
        <v>3225</v>
      </c>
      <c r="C915" s="35" t="s">
        <v>48</v>
      </c>
      <c r="D915" s="35" t="s">
        <v>53</v>
      </c>
      <c r="E915" s="35"/>
      <c r="F915" s="35" t="s">
        <v>3210</v>
      </c>
      <c r="G915" s="35" t="s">
        <v>119</v>
      </c>
      <c r="H915" s="35" t="s">
        <v>61</v>
      </c>
      <c r="I915" s="4"/>
    </row>
    <row r="916" customFormat="false" ht="15" hidden="false" customHeight="false" outlineLevel="0" collapsed="false">
      <c r="A916" s="35" t="s">
        <v>3226</v>
      </c>
      <c r="B916" s="35" t="s">
        <v>3227</v>
      </c>
      <c r="C916" s="35" t="s">
        <v>48</v>
      </c>
      <c r="D916" s="35" t="s">
        <v>53</v>
      </c>
      <c r="E916" s="35"/>
      <c r="F916" s="35" t="s">
        <v>3210</v>
      </c>
      <c r="G916" s="35" t="s">
        <v>119</v>
      </c>
      <c r="H916" s="35" t="s">
        <v>61</v>
      </c>
      <c r="I916" s="4"/>
    </row>
    <row r="917" customFormat="false" ht="15" hidden="false" customHeight="false" outlineLevel="0" collapsed="false">
      <c r="A917" s="35" t="s">
        <v>3228</v>
      </c>
      <c r="B917" s="35" t="s">
        <v>3229</v>
      </c>
      <c r="C917" s="35" t="s">
        <v>48</v>
      </c>
      <c r="D917" s="35" t="s">
        <v>157</v>
      </c>
      <c r="E917" s="35"/>
      <c r="F917" s="35" t="s">
        <v>587</v>
      </c>
      <c r="G917" s="35" t="s">
        <v>571</v>
      </c>
      <c r="H917" s="35" t="s">
        <v>61</v>
      </c>
      <c r="I917" s="4"/>
    </row>
    <row r="918" customFormat="false" ht="15" hidden="false" customHeight="false" outlineLevel="0" collapsed="false">
      <c r="A918" s="35" t="s">
        <v>3230</v>
      </c>
      <c r="B918" s="35" t="s">
        <v>3231</v>
      </c>
      <c r="C918" s="35" t="s">
        <v>48</v>
      </c>
      <c r="D918" s="35" t="s">
        <v>157</v>
      </c>
      <c r="E918" s="35"/>
      <c r="F918" s="35"/>
      <c r="G918" s="35" t="s">
        <v>104</v>
      </c>
      <c r="H918" s="35" t="s">
        <v>61</v>
      </c>
      <c r="I918" s="4"/>
    </row>
    <row r="919" customFormat="false" ht="15" hidden="false" customHeight="false" outlineLevel="0" collapsed="false">
      <c r="A919" s="35" t="s">
        <v>376</v>
      </c>
      <c r="B919" s="35" t="s">
        <v>377</v>
      </c>
      <c r="C919" s="35" t="s">
        <v>48</v>
      </c>
      <c r="D919" s="35" t="s">
        <v>157</v>
      </c>
      <c r="E919" s="35"/>
      <c r="F919" s="35"/>
      <c r="G919" s="35" t="s">
        <v>49</v>
      </c>
      <c r="H919" s="35" t="s">
        <v>49</v>
      </c>
      <c r="I919" s="4" t="s">
        <v>2025</v>
      </c>
    </row>
    <row r="920" customFormat="false" ht="15" hidden="false" customHeight="false" outlineLevel="0" collapsed="false">
      <c r="A920" s="35" t="s">
        <v>3232</v>
      </c>
      <c r="B920" s="35" t="s">
        <v>3233</v>
      </c>
      <c r="C920" s="35" t="s">
        <v>48</v>
      </c>
      <c r="D920" s="35" t="s">
        <v>157</v>
      </c>
      <c r="E920" s="35"/>
      <c r="F920" s="35"/>
      <c r="G920" s="35" t="s">
        <v>49</v>
      </c>
      <c r="H920" s="35" t="s">
        <v>49</v>
      </c>
      <c r="I920" s="4"/>
    </row>
    <row r="921" customFormat="false" ht="15" hidden="false" customHeight="false" outlineLevel="0" collapsed="false">
      <c r="A921" s="35" t="s">
        <v>3234</v>
      </c>
      <c r="B921" s="35" t="s">
        <v>377</v>
      </c>
      <c r="C921" s="35" t="s">
        <v>48</v>
      </c>
      <c r="D921" s="35" t="s">
        <v>53</v>
      </c>
      <c r="E921" s="35"/>
      <c r="F921" s="35"/>
      <c r="G921" s="35" t="s">
        <v>45</v>
      </c>
      <c r="H921" s="35" t="s">
        <v>61</v>
      </c>
      <c r="I921" s="4"/>
    </row>
    <row r="922" customFormat="false" ht="15" hidden="false" customHeight="false" outlineLevel="0" collapsed="false">
      <c r="A922" s="35" t="s">
        <v>3235</v>
      </c>
      <c r="B922" s="35" t="s">
        <v>3236</v>
      </c>
      <c r="C922" s="35" t="s">
        <v>48</v>
      </c>
      <c r="D922" s="35" t="s">
        <v>157</v>
      </c>
      <c r="E922" s="35"/>
      <c r="F922" s="35"/>
      <c r="G922" s="35" t="s">
        <v>87</v>
      </c>
      <c r="H922" s="35" t="s">
        <v>61</v>
      </c>
      <c r="I922" s="4"/>
    </row>
    <row r="923" customFormat="false" ht="15" hidden="false" customHeight="false" outlineLevel="0" collapsed="false">
      <c r="A923" s="35" t="s">
        <v>3237</v>
      </c>
      <c r="B923" s="35" t="s">
        <v>3238</v>
      </c>
      <c r="C923" s="35" t="s">
        <v>48</v>
      </c>
      <c r="D923" s="35" t="s">
        <v>53</v>
      </c>
      <c r="E923" s="35"/>
      <c r="F923" s="35"/>
      <c r="G923" s="35" t="s">
        <v>87</v>
      </c>
      <c r="H923" s="35" t="s">
        <v>61</v>
      </c>
      <c r="I923" s="4"/>
    </row>
    <row r="924" customFormat="false" ht="15" hidden="false" customHeight="false" outlineLevel="0" collapsed="false">
      <c r="A924" s="35" t="s">
        <v>3239</v>
      </c>
      <c r="B924" s="35" t="s">
        <v>3240</v>
      </c>
      <c r="C924" s="35" t="s">
        <v>48</v>
      </c>
      <c r="D924" s="35" t="s">
        <v>157</v>
      </c>
      <c r="E924" s="35"/>
      <c r="F924" s="35"/>
      <c r="G924" s="35" t="s">
        <v>328</v>
      </c>
      <c r="H924" s="35" t="s">
        <v>61</v>
      </c>
      <c r="I924" s="4"/>
    </row>
    <row r="925" customFormat="false" ht="15" hidden="false" customHeight="false" outlineLevel="0" collapsed="false">
      <c r="A925" s="35" t="s">
        <v>3241</v>
      </c>
      <c r="B925" s="35" t="s">
        <v>3242</v>
      </c>
      <c r="C925" s="35" t="s">
        <v>48</v>
      </c>
      <c r="D925" s="35" t="s">
        <v>53</v>
      </c>
      <c r="E925" s="35"/>
      <c r="F925" s="35"/>
      <c r="G925" s="35" t="s">
        <v>680</v>
      </c>
      <c r="H925" s="35" t="s">
        <v>61</v>
      </c>
      <c r="I925" s="4"/>
    </row>
    <row r="926" customFormat="false" ht="15" hidden="false" customHeight="false" outlineLevel="0" collapsed="false">
      <c r="A926" s="35" t="s">
        <v>3243</v>
      </c>
      <c r="B926" s="35" t="s">
        <v>3244</v>
      </c>
      <c r="C926" s="35" t="s">
        <v>48</v>
      </c>
      <c r="D926" s="35" t="s">
        <v>53</v>
      </c>
      <c r="E926" s="35"/>
      <c r="F926" s="35"/>
      <c r="G926" s="35" t="s">
        <v>680</v>
      </c>
      <c r="H926" s="35" t="s">
        <v>61</v>
      </c>
      <c r="I926" s="4"/>
    </row>
    <row r="927" customFormat="false" ht="15" hidden="false" customHeight="false" outlineLevel="0" collapsed="false">
      <c r="A927" s="35" t="s">
        <v>3245</v>
      </c>
      <c r="B927" s="35" t="s">
        <v>3246</v>
      </c>
      <c r="C927" s="35" t="s">
        <v>48</v>
      </c>
      <c r="D927" s="35" t="s">
        <v>53</v>
      </c>
      <c r="E927" s="35"/>
      <c r="F927" s="35"/>
      <c r="G927" s="35" t="s">
        <v>680</v>
      </c>
      <c r="H927" s="35" t="s">
        <v>61</v>
      </c>
      <c r="I927" s="4"/>
    </row>
    <row r="928" customFormat="false" ht="15" hidden="false" customHeight="false" outlineLevel="0" collapsed="false">
      <c r="A928" s="35" t="s">
        <v>1112</v>
      </c>
      <c r="B928" s="35" t="s">
        <v>3247</v>
      </c>
      <c r="C928" s="35" t="s">
        <v>48</v>
      </c>
      <c r="D928" s="35" t="s">
        <v>107</v>
      </c>
      <c r="E928" s="35" t="s">
        <v>1111</v>
      </c>
      <c r="F928" s="35"/>
      <c r="G928" s="35" t="s">
        <v>337</v>
      </c>
      <c r="H928" s="35" t="s">
        <v>61</v>
      </c>
      <c r="I928" s="4"/>
    </row>
    <row r="929" customFormat="false" ht="15" hidden="false" customHeight="false" outlineLevel="0" collapsed="false">
      <c r="A929" s="35" t="s">
        <v>3248</v>
      </c>
      <c r="B929" s="35" t="s">
        <v>3249</v>
      </c>
      <c r="C929" s="35" t="s">
        <v>48</v>
      </c>
      <c r="D929" s="35" t="s">
        <v>146</v>
      </c>
      <c r="E929" s="35"/>
      <c r="F929" s="35"/>
      <c r="G929" s="35" t="s">
        <v>104</v>
      </c>
      <c r="H929" s="35" t="s">
        <v>61</v>
      </c>
      <c r="I929" s="4"/>
    </row>
    <row r="930" customFormat="false" ht="15" hidden="false" customHeight="false" outlineLevel="0" collapsed="false">
      <c r="A930" s="35" t="s">
        <v>3250</v>
      </c>
      <c r="B930" s="35" t="s">
        <v>3251</v>
      </c>
      <c r="C930" s="35" t="s">
        <v>48</v>
      </c>
      <c r="D930" s="35" t="s">
        <v>114</v>
      </c>
      <c r="E930" s="35"/>
      <c r="F930" s="35"/>
      <c r="G930" s="35" t="s">
        <v>87</v>
      </c>
      <c r="H930" s="35" t="s">
        <v>61</v>
      </c>
      <c r="I930" s="4"/>
    </row>
    <row r="931" customFormat="false" ht="15" hidden="false" customHeight="false" outlineLevel="0" collapsed="false">
      <c r="A931" s="35" t="s">
        <v>3252</v>
      </c>
      <c r="B931" s="35" t="s">
        <v>3253</v>
      </c>
      <c r="C931" s="35" t="s">
        <v>48</v>
      </c>
      <c r="D931" s="35" t="s">
        <v>447</v>
      </c>
      <c r="E931" s="35"/>
      <c r="F931" s="35" t="s">
        <v>2383</v>
      </c>
      <c r="G931" s="35" t="s">
        <v>716</v>
      </c>
      <c r="H931" s="35" t="s">
        <v>61</v>
      </c>
      <c r="I931" s="4"/>
    </row>
    <row r="932" customFormat="false" ht="15" hidden="false" customHeight="false" outlineLevel="0" collapsed="false">
      <c r="A932" s="35" t="s">
        <v>1641</v>
      </c>
      <c r="B932" s="35" t="s">
        <v>3254</v>
      </c>
      <c r="C932" s="35" t="s">
        <v>48</v>
      </c>
      <c r="D932" s="35" t="s">
        <v>107</v>
      </c>
      <c r="E932" s="35" t="s">
        <v>1640</v>
      </c>
      <c r="F932" s="35"/>
      <c r="G932" s="35" t="s">
        <v>718</v>
      </c>
      <c r="H932" s="35" t="s">
        <v>61</v>
      </c>
      <c r="I932" s="4"/>
    </row>
    <row r="933" customFormat="false" ht="15" hidden="false" customHeight="false" outlineLevel="0" collapsed="false">
      <c r="A933" s="35" t="s">
        <v>152</v>
      </c>
      <c r="B933" s="35" t="s">
        <v>153</v>
      </c>
      <c r="C933" s="35" t="s">
        <v>48</v>
      </c>
      <c r="D933" s="35" t="s">
        <v>146</v>
      </c>
      <c r="E933" s="35"/>
      <c r="F933" s="35"/>
      <c r="G933" s="35" t="s">
        <v>119</v>
      </c>
      <c r="H933" s="35" t="s">
        <v>61</v>
      </c>
      <c r="I933" s="4" t="s">
        <v>2025</v>
      </c>
    </row>
    <row r="934" customFormat="false" ht="15" hidden="false" customHeight="false" outlineLevel="0" collapsed="false">
      <c r="A934" s="35" t="s">
        <v>3255</v>
      </c>
      <c r="B934" s="35" t="s">
        <v>3256</v>
      </c>
      <c r="C934" s="35" t="s">
        <v>48</v>
      </c>
      <c r="D934" s="35" t="s">
        <v>146</v>
      </c>
      <c r="E934" s="35"/>
      <c r="F934" s="35"/>
      <c r="G934" s="35" t="s">
        <v>49</v>
      </c>
      <c r="H934" s="35" t="s">
        <v>49</v>
      </c>
      <c r="I934" s="4"/>
    </row>
    <row r="935" customFormat="false" ht="15" hidden="false" customHeight="false" outlineLevel="0" collapsed="false">
      <c r="A935" s="35" t="s">
        <v>3257</v>
      </c>
      <c r="B935" s="35" t="s">
        <v>3258</v>
      </c>
      <c r="C935" s="35" t="s">
        <v>48</v>
      </c>
      <c r="D935" s="35" t="s">
        <v>146</v>
      </c>
      <c r="E935" s="35"/>
      <c r="F935" s="35"/>
      <c r="G935" s="35" t="s">
        <v>49</v>
      </c>
      <c r="H935" s="35" t="s">
        <v>49</v>
      </c>
      <c r="I935" s="4"/>
    </row>
    <row r="936" customFormat="false" ht="15" hidden="false" customHeight="false" outlineLevel="0" collapsed="false">
      <c r="A936" s="35" t="s">
        <v>602</v>
      </c>
      <c r="B936" s="35" t="s">
        <v>604</v>
      </c>
      <c r="C936" s="35" t="s">
        <v>48</v>
      </c>
      <c r="D936" s="35" t="s">
        <v>107</v>
      </c>
      <c r="E936" s="35" t="s">
        <v>603</v>
      </c>
      <c r="F936" s="35"/>
      <c r="G936" s="35" t="s">
        <v>417</v>
      </c>
      <c r="H936" s="35" t="s">
        <v>245</v>
      </c>
      <c r="I936" s="4" t="s">
        <v>2025</v>
      </c>
    </row>
    <row r="937" customFormat="false" ht="15" hidden="false" customHeight="false" outlineLevel="0" collapsed="false">
      <c r="A937" s="35" t="s">
        <v>3259</v>
      </c>
      <c r="B937" s="35" t="s">
        <v>2108</v>
      </c>
      <c r="C937" s="35" t="s">
        <v>48</v>
      </c>
      <c r="D937" s="35" t="s">
        <v>53</v>
      </c>
      <c r="E937" s="35"/>
      <c r="F937" s="35"/>
      <c r="G937" s="35" t="s">
        <v>204</v>
      </c>
      <c r="H937" s="35" t="s">
        <v>2109</v>
      </c>
      <c r="I937" s="4"/>
    </row>
    <row r="938" customFormat="false" ht="15" hidden="false" customHeight="false" outlineLevel="0" collapsed="false">
      <c r="A938" s="35" t="s">
        <v>3260</v>
      </c>
      <c r="B938" s="35" t="s">
        <v>3261</v>
      </c>
      <c r="C938" s="35" t="s">
        <v>48</v>
      </c>
      <c r="D938" s="35" t="s">
        <v>107</v>
      </c>
      <c r="E938" s="35" t="s">
        <v>603</v>
      </c>
      <c r="F938" s="35"/>
      <c r="G938" s="35" t="s">
        <v>686</v>
      </c>
      <c r="H938" s="35" t="s">
        <v>61</v>
      </c>
      <c r="I938" s="4"/>
    </row>
    <row r="939" customFormat="false" ht="15" hidden="false" customHeight="false" outlineLevel="0" collapsed="false">
      <c r="A939" s="35" t="s">
        <v>3262</v>
      </c>
      <c r="B939" s="35" t="s">
        <v>3263</v>
      </c>
      <c r="C939" s="35" t="s">
        <v>48</v>
      </c>
      <c r="D939" s="35" t="s">
        <v>107</v>
      </c>
      <c r="E939" s="35" t="s">
        <v>1115</v>
      </c>
      <c r="F939" s="35"/>
      <c r="G939" s="35" t="s">
        <v>710</v>
      </c>
      <c r="H939" s="35" t="s">
        <v>61</v>
      </c>
      <c r="I939" s="4"/>
    </row>
    <row r="940" customFormat="false" ht="15" hidden="false" customHeight="false" outlineLevel="0" collapsed="false">
      <c r="A940" s="35" t="s">
        <v>1436</v>
      </c>
      <c r="B940" s="35" t="s">
        <v>3264</v>
      </c>
      <c r="C940" s="35" t="s">
        <v>48</v>
      </c>
      <c r="D940" s="35" t="s">
        <v>107</v>
      </c>
      <c r="E940" s="35" t="s">
        <v>1435</v>
      </c>
      <c r="F940" s="35"/>
      <c r="G940" s="35" t="s">
        <v>681</v>
      </c>
      <c r="H940" s="35" t="s">
        <v>61</v>
      </c>
      <c r="I940" s="4"/>
    </row>
    <row r="941" customFormat="false" ht="15" hidden="false" customHeight="false" outlineLevel="0" collapsed="false">
      <c r="A941" s="35" t="s">
        <v>3265</v>
      </c>
      <c r="B941" s="35" t="s">
        <v>3266</v>
      </c>
      <c r="C941" s="35" t="s">
        <v>48</v>
      </c>
      <c r="D941" s="35" t="s">
        <v>107</v>
      </c>
      <c r="E941" s="35" t="s">
        <v>827</v>
      </c>
      <c r="F941" s="35"/>
      <c r="G941" s="35" t="s">
        <v>681</v>
      </c>
      <c r="H941" s="35" t="s">
        <v>61</v>
      </c>
      <c r="I941" s="4"/>
    </row>
    <row r="942" customFormat="false" ht="15" hidden="false" customHeight="false" outlineLevel="0" collapsed="false">
      <c r="A942" s="35" t="s">
        <v>3267</v>
      </c>
      <c r="B942" s="35" t="s">
        <v>3268</v>
      </c>
      <c r="C942" s="35" t="s">
        <v>48</v>
      </c>
      <c r="D942" s="35" t="s">
        <v>107</v>
      </c>
      <c r="E942" s="35" t="s">
        <v>827</v>
      </c>
      <c r="F942" s="35"/>
      <c r="G942" s="35" t="s">
        <v>49</v>
      </c>
      <c r="H942" s="35" t="s">
        <v>49</v>
      </c>
      <c r="I942" s="4"/>
    </row>
    <row r="943" customFormat="false" ht="15" hidden="false" customHeight="false" outlineLevel="0" collapsed="false">
      <c r="A943" s="35" t="s">
        <v>3269</v>
      </c>
      <c r="B943" s="35" t="s">
        <v>3270</v>
      </c>
      <c r="C943" s="35" t="s">
        <v>48</v>
      </c>
      <c r="D943" s="35" t="s">
        <v>114</v>
      </c>
      <c r="E943" s="35"/>
      <c r="F943" s="35"/>
      <c r="G943" s="35" t="s">
        <v>571</v>
      </c>
      <c r="H943" s="35" t="s">
        <v>61</v>
      </c>
      <c r="I943" s="4"/>
    </row>
    <row r="944" customFormat="false" ht="15" hidden="false" customHeight="false" outlineLevel="0" collapsed="false">
      <c r="A944" s="35" t="s">
        <v>3271</v>
      </c>
      <c r="B944" s="35" t="s">
        <v>3272</v>
      </c>
      <c r="C944" s="35" t="s">
        <v>48</v>
      </c>
      <c r="D944" s="35" t="s">
        <v>107</v>
      </c>
      <c r="E944" s="35" t="s">
        <v>969</v>
      </c>
      <c r="F944" s="35"/>
      <c r="G944" s="35" t="s">
        <v>687</v>
      </c>
      <c r="H944" s="35" t="s">
        <v>61</v>
      </c>
      <c r="I944" s="4"/>
    </row>
    <row r="945" customFormat="false" ht="15" hidden="false" customHeight="false" outlineLevel="0" collapsed="false">
      <c r="A945" s="35" t="s">
        <v>3273</v>
      </c>
      <c r="B945" s="35" t="s">
        <v>3274</v>
      </c>
      <c r="C945" s="35" t="s">
        <v>48</v>
      </c>
      <c r="D945" s="35" t="s">
        <v>107</v>
      </c>
      <c r="E945" s="35" t="s">
        <v>969</v>
      </c>
      <c r="F945" s="35"/>
      <c r="G945" s="35" t="s">
        <v>421</v>
      </c>
      <c r="H945" s="35" t="s">
        <v>61</v>
      </c>
      <c r="I945" s="4"/>
    </row>
    <row r="946" customFormat="false" ht="15" hidden="false" customHeight="false" outlineLevel="0" collapsed="false">
      <c r="A946" s="35" t="s">
        <v>3275</v>
      </c>
      <c r="B946" s="35" t="s">
        <v>3276</v>
      </c>
      <c r="C946" s="35" t="s">
        <v>48</v>
      </c>
      <c r="D946" s="35" t="s">
        <v>107</v>
      </c>
      <c r="E946" s="35" t="s">
        <v>969</v>
      </c>
      <c r="F946" s="35"/>
      <c r="G946" s="35" t="s">
        <v>687</v>
      </c>
      <c r="H946" s="35" t="s">
        <v>61</v>
      </c>
      <c r="I946" s="4"/>
    </row>
    <row r="947" customFormat="false" ht="15" hidden="false" customHeight="false" outlineLevel="0" collapsed="false">
      <c r="A947" s="35" t="s">
        <v>3277</v>
      </c>
      <c r="B947" s="35" t="s">
        <v>3278</v>
      </c>
      <c r="C947" s="35" t="s">
        <v>48</v>
      </c>
      <c r="D947" s="35" t="s">
        <v>107</v>
      </c>
      <c r="E947" s="35" t="s">
        <v>560</v>
      </c>
      <c r="F947" s="35"/>
      <c r="G947" s="35" t="s">
        <v>555</v>
      </c>
      <c r="H947" s="35" t="s">
        <v>61</v>
      </c>
      <c r="I947" s="4"/>
    </row>
    <row r="948" customFormat="false" ht="15" hidden="false" customHeight="false" outlineLevel="0" collapsed="false">
      <c r="A948" s="35" t="s">
        <v>1440</v>
      </c>
      <c r="B948" s="35" t="s">
        <v>3279</v>
      </c>
      <c r="C948" s="35" t="s">
        <v>48</v>
      </c>
      <c r="D948" s="35" t="s">
        <v>57</v>
      </c>
      <c r="E948" s="35" t="s">
        <v>1439</v>
      </c>
      <c r="F948" s="35"/>
      <c r="G948" s="35" t="s">
        <v>119</v>
      </c>
      <c r="H948" s="35" t="s">
        <v>61</v>
      </c>
      <c r="I948" s="4"/>
    </row>
    <row r="949" customFormat="false" ht="15" hidden="false" customHeight="false" outlineLevel="0" collapsed="false">
      <c r="A949" s="35" t="s">
        <v>1442</v>
      </c>
      <c r="B949" s="35" t="s">
        <v>3280</v>
      </c>
      <c r="C949" s="35" t="s">
        <v>48</v>
      </c>
      <c r="D949" s="35" t="s">
        <v>107</v>
      </c>
      <c r="E949" s="35" t="s">
        <v>1441</v>
      </c>
      <c r="F949" s="35"/>
      <c r="G949" s="35" t="s">
        <v>421</v>
      </c>
      <c r="H949" s="35" t="s">
        <v>61</v>
      </c>
      <c r="I949" s="4"/>
    </row>
    <row r="950" customFormat="false" ht="15" hidden="false" customHeight="false" outlineLevel="0" collapsed="false">
      <c r="A950" s="35" t="s">
        <v>1671</v>
      </c>
      <c r="B950" s="35" t="s">
        <v>3281</v>
      </c>
      <c r="C950" s="35" t="s">
        <v>48</v>
      </c>
      <c r="D950" s="35" t="s">
        <v>46</v>
      </c>
      <c r="E950" s="35" t="s">
        <v>1670</v>
      </c>
      <c r="F950" s="35"/>
      <c r="G950" s="35" t="s">
        <v>262</v>
      </c>
      <c r="H950" s="35" t="s">
        <v>61</v>
      </c>
      <c r="I950" s="4"/>
    </row>
    <row r="951" customFormat="false" ht="15" hidden="false" customHeight="false" outlineLevel="0" collapsed="false">
      <c r="A951" s="35" t="s">
        <v>3282</v>
      </c>
      <c r="B951" s="35" t="s">
        <v>3283</v>
      </c>
      <c r="C951" s="35" t="s">
        <v>48</v>
      </c>
      <c r="D951" s="35" t="s">
        <v>107</v>
      </c>
      <c r="E951" s="35" t="s">
        <v>876</v>
      </c>
      <c r="F951" s="35" t="s">
        <v>3284</v>
      </c>
      <c r="G951" s="35" t="s">
        <v>262</v>
      </c>
      <c r="H951" s="35" t="s">
        <v>61</v>
      </c>
      <c r="I951" s="4"/>
    </row>
    <row r="952" customFormat="false" ht="15" hidden="false" customHeight="false" outlineLevel="0" collapsed="false">
      <c r="A952" s="35" t="s">
        <v>3285</v>
      </c>
      <c r="B952" s="35" t="s">
        <v>3286</v>
      </c>
      <c r="C952" s="35" t="s">
        <v>48</v>
      </c>
      <c r="D952" s="35" t="s">
        <v>107</v>
      </c>
      <c r="E952" s="35" t="s">
        <v>876</v>
      </c>
      <c r="F952" s="35" t="s">
        <v>3284</v>
      </c>
      <c r="G952" s="35" t="s">
        <v>262</v>
      </c>
      <c r="H952" s="35" t="s">
        <v>61</v>
      </c>
      <c r="I952" s="4"/>
    </row>
    <row r="953" customFormat="false" ht="15" hidden="false" customHeight="false" outlineLevel="0" collapsed="false">
      <c r="A953" s="35" t="s">
        <v>3287</v>
      </c>
      <c r="B953" s="35" t="s">
        <v>3288</v>
      </c>
      <c r="C953" s="35" t="s">
        <v>48</v>
      </c>
      <c r="D953" s="35" t="s">
        <v>53</v>
      </c>
      <c r="E953" s="35"/>
      <c r="F953" s="35" t="s">
        <v>3284</v>
      </c>
      <c r="G953" s="35" t="s">
        <v>262</v>
      </c>
      <c r="H953" s="35" t="s">
        <v>61</v>
      </c>
      <c r="I953" s="4"/>
    </row>
    <row r="954" customFormat="false" ht="15" hidden="false" customHeight="false" outlineLevel="0" collapsed="false">
      <c r="A954" s="35" t="s">
        <v>3289</v>
      </c>
      <c r="B954" s="35" t="s">
        <v>3290</v>
      </c>
      <c r="C954" s="35" t="s">
        <v>48</v>
      </c>
      <c r="D954" s="35" t="s">
        <v>53</v>
      </c>
      <c r="E954" s="35"/>
      <c r="F954" s="35" t="s">
        <v>3284</v>
      </c>
      <c r="G954" s="35" t="s">
        <v>262</v>
      </c>
      <c r="H954" s="35" t="s">
        <v>61</v>
      </c>
      <c r="I954" s="4"/>
    </row>
    <row r="955" customFormat="false" ht="15" hidden="false" customHeight="false" outlineLevel="0" collapsed="false">
      <c r="A955" s="35" t="s">
        <v>3291</v>
      </c>
      <c r="B955" s="35" t="s">
        <v>3292</v>
      </c>
      <c r="C955" s="35" t="s">
        <v>48</v>
      </c>
      <c r="D955" s="35" t="s">
        <v>53</v>
      </c>
      <c r="E955" s="35"/>
      <c r="F955" s="35"/>
      <c r="G955" s="35" t="s">
        <v>262</v>
      </c>
      <c r="H955" s="35" t="s">
        <v>61</v>
      </c>
      <c r="I955" s="4"/>
    </row>
    <row r="956" customFormat="false" ht="15" hidden="false" customHeight="false" outlineLevel="0" collapsed="false">
      <c r="A956" s="35" t="s">
        <v>3293</v>
      </c>
      <c r="B956" s="35" t="s">
        <v>3292</v>
      </c>
      <c r="C956" s="35" t="s">
        <v>48</v>
      </c>
      <c r="D956" s="35" t="s">
        <v>53</v>
      </c>
      <c r="E956" s="35"/>
      <c r="F956" s="35"/>
      <c r="G956" s="35" t="s">
        <v>262</v>
      </c>
      <c r="H956" s="35" t="s">
        <v>61</v>
      </c>
      <c r="I956" s="4"/>
    </row>
    <row r="957" customFormat="false" ht="15" hidden="false" customHeight="false" outlineLevel="0" collapsed="false">
      <c r="A957" s="35" t="s">
        <v>3294</v>
      </c>
      <c r="B957" s="35" t="s">
        <v>3295</v>
      </c>
      <c r="C957" s="35" t="s">
        <v>48</v>
      </c>
      <c r="D957" s="35" t="s">
        <v>57</v>
      </c>
      <c r="E957" s="35" t="s">
        <v>853</v>
      </c>
      <c r="F957" s="35" t="s">
        <v>3294</v>
      </c>
      <c r="G957" s="35" t="s">
        <v>262</v>
      </c>
      <c r="H957" s="35" t="s">
        <v>61</v>
      </c>
      <c r="I957" s="4"/>
    </row>
    <row r="958" customFormat="false" ht="15" hidden="false" customHeight="false" outlineLevel="0" collapsed="false">
      <c r="A958" s="35" t="s">
        <v>280</v>
      </c>
      <c r="B958" s="35" t="s">
        <v>281</v>
      </c>
      <c r="C958" s="35" t="s">
        <v>48</v>
      </c>
      <c r="D958" s="35" t="s">
        <v>107</v>
      </c>
      <c r="E958" s="35" t="s">
        <v>45</v>
      </c>
      <c r="F958" s="35"/>
      <c r="G958" s="35" t="s">
        <v>119</v>
      </c>
      <c r="H958" s="35" t="s">
        <v>61</v>
      </c>
      <c r="I958" s="4" t="s">
        <v>2025</v>
      </c>
    </row>
    <row r="959" customFormat="false" ht="15" hidden="false" customHeight="false" outlineLevel="0" collapsed="false">
      <c r="A959" s="35" t="s">
        <v>3296</v>
      </c>
      <c r="B959" s="35" t="s">
        <v>3297</v>
      </c>
      <c r="C959" s="35" t="s">
        <v>48</v>
      </c>
      <c r="D959" s="35" t="s">
        <v>114</v>
      </c>
      <c r="E959" s="35"/>
      <c r="F959" s="35"/>
      <c r="G959" s="35" t="s">
        <v>119</v>
      </c>
      <c r="H959" s="35" t="s">
        <v>50</v>
      </c>
      <c r="I959" s="4"/>
    </row>
    <row r="960" customFormat="false" ht="15" hidden="false" customHeight="false" outlineLevel="0" collapsed="false">
      <c r="A960" s="35" t="s">
        <v>3298</v>
      </c>
      <c r="B960" s="35" t="s">
        <v>3299</v>
      </c>
      <c r="C960" s="35" t="s">
        <v>48</v>
      </c>
      <c r="D960" s="35" t="s">
        <v>107</v>
      </c>
      <c r="E960" s="35" t="s">
        <v>912</v>
      </c>
      <c r="F960" s="35"/>
      <c r="G960" s="35" t="s">
        <v>87</v>
      </c>
      <c r="H960" s="35" t="s">
        <v>61</v>
      </c>
      <c r="I960" s="4"/>
    </row>
    <row r="961" customFormat="false" ht="15" hidden="false" customHeight="false" outlineLevel="0" collapsed="false">
      <c r="A961" s="35" t="s">
        <v>3300</v>
      </c>
      <c r="B961" s="35" t="s">
        <v>3301</v>
      </c>
      <c r="C961" s="35" t="s">
        <v>48</v>
      </c>
      <c r="D961" s="35" t="s">
        <v>107</v>
      </c>
      <c r="E961" s="35" t="s">
        <v>912</v>
      </c>
      <c r="F961" s="35"/>
      <c r="G961" s="35" t="s">
        <v>87</v>
      </c>
      <c r="H961" s="35" t="s">
        <v>61</v>
      </c>
      <c r="I961" s="4"/>
    </row>
    <row r="962" customFormat="false" ht="15" hidden="false" customHeight="false" outlineLevel="0" collapsed="false">
      <c r="A962" s="35" t="s">
        <v>3302</v>
      </c>
      <c r="B962" s="35" t="s">
        <v>3303</v>
      </c>
      <c r="C962" s="35" t="s">
        <v>48</v>
      </c>
      <c r="D962" s="35" t="s">
        <v>107</v>
      </c>
      <c r="E962" s="35" t="s">
        <v>912</v>
      </c>
      <c r="F962" s="35"/>
      <c r="G962" s="35" t="s">
        <v>87</v>
      </c>
      <c r="H962" s="35" t="s">
        <v>61</v>
      </c>
      <c r="I962" s="4"/>
    </row>
    <row r="963" customFormat="false" ht="15" hidden="false" customHeight="false" outlineLevel="0" collapsed="false">
      <c r="A963" s="35" t="s">
        <v>3304</v>
      </c>
      <c r="B963" s="35" t="s">
        <v>3305</v>
      </c>
      <c r="C963" s="35" t="s">
        <v>48</v>
      </c>
      <c r="D963" s="35" t="s">
        <v>107</v>
      </c>
      <c r="E963" s="35" t="s">
        <v>912</v>
      </c>
      <c r="F963" s="35"/>
      <c r="G963" s="35" t="s">
        <v>87</v>
      </c>
      <c r="H963" s="35" t="s">
        <v>61</v>
      </c>
      <c r="I963" s="4"/>
    </row>
    <row r="964" customFormat="false" ht="15" hidden="false" customHeight="false" outlineLevel="0" collapsed="false">
      <c r="A964" s="35" t="s">
        <v>3306</v>
      </c>
      <c r="B964" s="35" t="s">
        <v>3307</v>
      </c>
      <c r="C964" s="35" t="s">
        <v>48</v>
      </c>
      <c r="D964" s="35" t="s">
        <v>114</v>
      </c>
      <c r="E964" s="35"/>
      <c r="F964" s="35" t="s">
        <v>3308</v>
      </c>
      <c r="G964" s="35" t="s">
        <v>699</v>
      </c>
      <c r="H964" s="35" t="s">
        <v>258</v>
      </c>
      <c r="I964" s="4"/>
    </row>
    <row r="965" customFormat="false" ht="15" hidden="false" customHeight="false" outlineLevel="0" collapsed="false">
      <c r="A965" s="35" t="s">
        <v>423</v>
      </c>
      <c r="B965" s="35" t="s">
        <v>425</v>
      </c>
      <c r="C965" s="35" t="s">
        <v>48</v>
      </c>
      <c r="D965" s="35" t="s">
        <v>107</v>
      </c>
      <c r="E965" s="35" t="s">
        <v>424</v>
      </c>
      <c r="F965" s="35"/>
      <c r="G965" s="35" t="s">
        <v>87</v>
      </c>
      <c r="H965" s="35" t="s">
        <v>61</v>
      </c>
      <c r="I965" s="4" t="s">
        <v>2025</v>
      </c>
    </row>
    <row r="966" customFormat="false" ht="15" hidden="false" customHeight="false" outlineLevel="0" collapsed="false">
      <c r="A966" s="35" t="s">
        <v>3309</v>
      </c>
      <c r="B966" s="35" t="s">
        <v>3310</v>
      </c>
      <c r="C966" s="35" t="s">
        <v>48</v>
      </c>
      <c r="D966" s="35" t="s">
        <v>107</v>
      </c>
      <c r="E966" s="35" t="s">
        <v>424</v>
      </c>
      <c r="F966" s="35"/>
      <c r="G966" s="35" t="s">
        <v>87</v>
      </c>
      <c r="H966" s="35" t="s">
        <v>61</v>
      </c>
      <c r="I966" s="4"/>
    </row>
    <row r="967" customFormat="false" ht="15" hidden="false" customHeight="false" outlineLevel="0" collapsed="false">
      <c r="A967" s="35" t="s">
        <v>3311</v>
      </c>
      <c r="B967" s="35" t="s">
        <v>3312</v>
      </c>
      <c r="C967" s="35" t="s">
        <v>48</v>
      </c>
      <c r="D967" s="35" t="s">
        <v>157</v>
      </c>
      <c r="E967" s="35"/>
      <c r="F967" s="35"/>
      <c r="G967" s="35" t="s">
        <v>417</v>
      </c>
      <c r="H967" s="35" t="s">
        <v>61</v>
      </c>
      <c r="I967" s="4"/>
    </row>
    <row r="968" customFormat="false" ht="15" hidden="false" customHeight="false" outlineLevel="0" collapsed="false">
      <c r="A968" s="35" t="s">
        <v>3313</v>
      </c>
      <c r="B968" s="35" t="s">
        <v>3314</v>
      </c>
      <c r="C968" s="35" t="s">
        <v>48</v>
      </c>
      <c r="D968" s="35" t="s">
        <v>157</v>
      </c>
      <c r="E968" s="35"/>
      <c r="F968" s="35" t="s">
        <v>2013</v>
      </c>
      <c r="G968" s="35" t="s">
        <v>417</v>
      </c>
      <c r="H968" s="35" t="s">
        <v>61</v>
      </c>
      <c r="I968" s="4"/>
    </row>
    <row r="969" customFormat="false" ht="15" hidden="false" customHeight="false" outlineLevel="0" collapsed="false">
      <c r="A969" s="35" t="s">
        <v>3315</v>
      </c>
      <c r="B969" s="35" t="s">
        <v>3316</v>
      </c>
      <c r="C969" s="35" t="s">
        <v>48</v>
      </c>
      <c r="D969" s="35" t="s">
        <v>107</v>
      </c>
      <c r="E969" s="35" t="s">
        <v>560</v>
      </c>
      <c r="F969" s="35"/>
      <c r="G969" s="35" t="s">
        <v>555</v>
      </c>
      <c r="H969" s="35" t="s">
        <v>61</v>
      </c>
      <c r="I969" s="4"/>
    </row>
    <row r="970" customFormat="false" ht="15" hidden="false" customHeight="false" outlineLevel="0" collapsed="false">
      <c r="A970" s="35" t="s">
        <v>3317</v>
      </c>
      <c r="B970" s="35" t="s">
        <v>3318</v>
      </c>
      <c r="C970" s="35" t="s">
        <v>48</v>
      </c>
      <c r="D970" s="35" t="s">
        <v>53</v>
      </c>
      <c r="E970" s="35"/>
      <c r="F970" s="35"/>
      <c r="G970" s="35" t="s">
        <v>60</v>
      </c>
      <c r="H970" s="35" t="s">
        <v>61</v>
      </c>
      <c r="I970" s="4"/>
    </row>
    <row r="971" customFormat="false" ht="15" hidden="false" customHeight="false" outlineLevel="0" collapsed="false">
      <c r="A971" s="35" t="s">
        <v>1443</v>
      </c>
      <c r="B971" s="35" t="s">
        <v>3319</v>
      </c>
      <c r="C971" s="35" t="s">
        <v>48</v>
      </c>
      <c r="D971" s="35" t="s">
        <v>107</v>
      </c>
      <c r="E971" s="35" t="s">
        <v>1443</v>
      </c>
      <c r="F971" s="35"/>
      <c r="G971" s="35" t="s">
        <v>773</v>
      </c>
      <c r="H971" s="35" t="s">
        <v>61</v>
      </c>
      <c r="I971" s="4"/>
    </row>
    <row r="972" customFormat="false" ht="15" hidden="false" customHeight="false" outlineLevel="0" collapsed="false">
      <c r="A972" s="35" t="s">
        <v>3320</v>
      </c>
      <c r="B972" s="35"/>
      <c r="C972" s="35" t="s">
        <v>673</v>
      </c>
      <c r="D972" s="35" t="s">
        <v>53</v>
      </c>
      <c r="E972" s="35"/>
      <c r="F972" s="35"/>
      <c r="G972" s="35" t="s">
        <v>707</v>
      </c>
      <c r="H972" s="35" t="s">
        <v>61</v>
      </c>
      <c r="I972" s="4"/>
    </row>
    <row r="973" customFormat="false" ht="15" hidden="false" customHeight="false" outlineLevel="0" collapsed="false">
      <c r="A973" s="35" t="s">
        <v>3321</v>
      </c>
      <c r="B973" s="35" t="s">
        <v>3322</v>
      </c>
      <c r="C973" s="35" t="s">
        <v>48</v>
      </c>
      <c r="D973" s="35" t="s">
        <v>114</v>
      </c>
      <c r="E973" s="35"/>
      <c r="F973" s="35"/>
      <c r="G973" s="35" t="s">
        <v>99</v>
      </c>
      <c r="H973" s="35" t="s">
        <v>61</v>
      </c>
      <c r="I973" s="4"/>
    </row>
    <row r="974" customFormat="false" ht="15" hidden="false" customHeight="false" outlineLevel="0" collapsed="false">
      <c r="A974" s="35" t="s">
        <v>3323</v>
      </c>
      <c r="B974" s="35" t="s">
        <v>3324</v>
      </c>
      <c r="C974" s="35" t="s">
        <v>48</v>
      </c>
      <c r="D974" s="35" t="s">
        <v>107</v>
      </c>
      <c r="E974" s="35" t="s">
        <v>247</v>
      </c>
      <c r="F974" s="35"/>
      <c r="G974" s="35" t="s">
        <v>49</v>
      </c>
      <c r="H974" s="35" t="s">
        <v>49</v>
      </c>
      <c r="I974" s="4"/>
    </row>
    <row r="975" customFormat="false" ht="15" hidden="false" customHeight="false" outlineLevel="0" collapsed="false">
      <c r="A975" s="35" t="s">
        <v>3325</v>
      </c>
      <c r="B975" s="35" t="s">
        <v>3326</v>
      </c>
      <c r="C975" s="35" t="s">
        <v>48</v>
      </c>
      <c r="D975" s="35" t="s">
        <v>114</v>
      </c>
      <c r="E975" s="35"/>
      <c r="F975" s="35"/>
      <c r="G975" s="35" t="s">
        <v>49</v>
      </c>
      <c r="H975" s="35" t="s">
        <v>49</v>
      </c>
      <c r="I975" s="4"/>
    </row>
    <row r="976" customFormat="false" ht="15" hidden="false" customHeight="false" outlineLevel="0" collapsed="false">
      <c r="A976" s="35" t="s">
        <v>3327</v>
      </c>
      <c r="B976" s="35" t="s">
        <v>3328</v>
      </c>
      <c r="C976" s="35" t="s">
        <v>48</v>
      </c>
      <c r="D976" s="35" t="s">
        <v>107</v>
      </c>
      <c r="E976" s="35" t="s">
        <v>331</v>
      </c>
      <c r="F976" s="35"/>
      <c r="G976" s="35" t="s">
        <v>328</v>
      </c>
      <c r="H976" s="35" t="s">
        <v>369</v>
      </c>
      <c r="I976" s="4"/>
    </row>
    <row r="977" customFormat="false" ht="15" hidden="false" customHeight="false" outlineLevel="0" collapsed="false">
      <c r="A977" s="35" t="s">
        <v>3329</v>
      </c>
      <c r="B977" s="35" t="s">
        <v>3330</v>
      </c>
      <c r="C977" s="35" t="s">
        <v>48</v>
      </c>
      <c r="D977" s="35" t="s">
        <v>107</v>
      </c>
      <c r="E977" s="35" t="s">
        <v>331</v>
      </c>
      <c r="F977" s="35"/>
      <c r="G977" s="35" t="s">
        <v>328</v>
      </c>
      <c r="H977" s="35" t="s">
        <v>369</v>
      </c>
      <c r="I977" s="4"/>
    </row>
    <row r="978" customFormat="false" ht="15" hidden="false" customHeight="false" outlineLevel="0" collapsed="false">
      <c r="A978" s="35" t="s">
        <v>3331</v>
      </c>
      <c r="B978" s="35" t="s">
        <v>3332</v>
      </c>
      <c r="C978" s="35" t="s">
        <v>48</v>
      </c>
      <c r="D978" s="35" t="s">
        <v>107</v>
      </c>
      <c r="E978" s="35" t="s">
        <v>696</v>
      </c>
      <c r="F978" s="35"/>
      <c r="G978" s="35" t="s">
        <v>99</v>
      </c>
      <c r="H978" s="35" t="s">
        <v>562</v>
      </c>
      <c r="I978" s="4"/>
    </row>
    <row r="979" customFormat="false" ht="15" hidden="false" customHeight="false" outlineLevel="0" collapsed="false">
      <c r="A979" s="35" t="s">
        <v>1222</v>
      </c>
      <c r="B979" s="35" t="s">
        <v>3333</v>
      </c>
      <c r="C979" s="35" t="s">
        <v>48</v>
      </c>
      <c r="D979" s="35" t="s">
        <v>107</v>
      </c>
      <c r="E979" s="35" t="s">
        <v>1221</v>
      </c>
      <c r="F979" s="35"/>
      <c r="G979" s="35" t="s">
        <v>99</v>
      </c>
      <c r="H979" s="35" t="s">
        <v>61</v>
      </c>
      <c r="I979" s="4"/>
    </row>
    <row r="980" customFormat="false" ht="15" hidden="false" customHeight="false" outlineLevel="0" collapsed="false">
      <c r="A980" s="35" t="s">
        <v>3334</v>
      </c>
      <c r="B980" s="35" t="s">
        <v>3335</v>
      </c>
      <c r="C980" s="35" t="s">
        <v>48</v>
      </c>
      <c r="D980" s="35" t="s">
        <v>114</v>
      </c>
      <c r="E980" s="35"/>
      <c r="F980" s="35"/>
      <c r="G980" s="35" t="s">
        <v>99</v>
      </c>
      <c r="H980" s="35" t="s">
        <v>562</v>
      </c>
      <c r="I980" s="4"/>
    </row>
    <row r="981" customFormat="false" ht="15" hidden="false" customHeight="false" outlineLevel="0" collapsed="false">
      <c r="A981" s="35" t="s">
        <v>3336</v>
      </c>
      <c r="B981" s="35" t="s">
        <v>3337</v>
      </c>
      <c r="C981" s="35" t="s">
        <v>48</v>
      </c>
      <c r="D981" s="35" t="s">
        <v>114</v>
      </c>
      <c r="E981" s="35"/>
      <c r="F981" s="35"/>
      <c r="G981" s="35" t="s">
        <v>99</v>
      </c>
      <c r="H981" s="35" t="s">
        <v>562</v>
      </c>
      <c r="I981" s="4"/>
    </row>
    <row r="982" customFormat="false" ht="15" hidden="false" customHeight="false" outlineLevel="0" collapsed="false">
      <c r="A982" s="35" t="s">
        <v>3338</v>
      </c>
      <c r="B982" s="35" t="s">
        <v>3339</v>
      </c>
      <c r="C982" s="35" t="s">
        <v>48</v>
      </c>
      <c r="D982" s="35" t="s">
        <v>53</v>
      </c>
      <c r="E982" s="35"/>
      <c r="F982" s="35"/>
      <c r="G982" s="35" t="s">
        <v>421</v>
      </c>
      <c r="H982" s="35" t="s">
        <v>3340</v>
      </c>
      <c r="I982" s="4"/>
    </row>
    <row r="983" customFormat="false" ht="15" hidden="false" customHeight="false" outlineLevel="0" collapsed="false">
      <c r="A983" s="35" t="s">
        <v>3341</v>
      </c>
      <c r="B983" s="35" t="s">
        <v>3342</v>
      </c>
      <c r="C983" s="35" t="s">
        <v>48</v>
      </c>
      <c r="D983" s="35" t="s">
        <v>53</v>
      </c>
      <c r="E983" s="35"/>
      <c r="F983" s="35"/>
      <c r="G983" s="35" t="s">
        <v>421</v>
      </c>
      <c r="H983" s="35" t="s">
        <v>3340</v>
      </c>
      <c r="I983" s="4"/>
    </row>
    <row r="984" customFormat="false" ht="15" hidden="false" customHeight="false" outlineLevel="0" collapsed="false">
      <c r="A984" s="35" t="s">
        <v>3343</v>
      </c>
      <c r="B984" s="35" t="s">
        <v>3344</v>
      </c>
      <c r="C984" s="35" t="s">
        <v>48</v>
      </c>
      <c r="D984" s="35" t="s">
        <v>157</v>
      </c>
      <c r="E984" s="35"/>
      <c r="F984" s="35"/>
      <c r="G984" s="35" t="s">
        <v>690</v>
      </c>
      <c r="H984" s="35" t="s">
        <v>61</v>
      </c>
      <c r="I984" s="4"/>
    </row>
    <row r="985" customFormat="false" ht="15" hidden="false" customHeight="false" outlineLevel="0" collapsed="false">
      <c r="A985" s="35" t="s">
        <v>3345</v>
      </c>
      <c r="B985" s="35" t="s">
        <v>3346</v>
      </c>
      <c r="C985" s="35" t="s">
        <v>48</v>
      </c>
      <c r="D985" s="35" t="s">
        <v>157</v>
      </c>
      <c r="E985" s="35"/>
      <c r="F985" s="35"/>
      <c r="G985" s="35" t="s">
        <v>421</v>
      </c>
      <c r="H985" s="35" t="s">
        <v>61</v>
      </c>
      <c r="I985" s="4"/>
    </row>
    <row r="986" customFormat="false" ht="15" hidden="false" customHeight="false" outlineLevel="0" collapsed="false">
      <c r="A986" s="35" t="s">
        <v>3347</v>
      </c>
      <c r="B986" s="35" t="s">
        <v>3348</v>
      </c>
      <c r="C986" s="35" t="s">
        <v>48</v>
      </c>
      <c r="D986" s="35" t="s">
        <v>157</v>
      </c>
      <c r="E986" s="35"/>
      <c r="F986" s="35"/>
      <c r="G986" s="35" t="s">
        <v>704</v>
      </c>
      <c r="H986" s="35" t="s">
        <v>61</v>
      </c>
      <c r="I986" s="4"/>
    </row>
    <row r="987" customFormat="false" ht="15" hidden="false" customHeight="false" outlineLevel="0" collapsed="false">
      <c r="A987" s="35" t="s">
        <v>3349</v>
      </c>
      <c r="B987" s="35" t="s">
        <v>3350</v>
      </c>
      <c r="C987" s="35" t="s">
        <v>48</v>
      </c>
      <c r="D987" s="35" t="s">
        <v>157</v>
      </c>
      <c r="E987" s="35"/>
      <c r="F987" s="35" t="s">
        <v>2306</v>
      </c>
      <c r="G987" s="35" t="s">
        <v>704</v>
      </c>
      <c r="H987" s="35" t="s">
        <v>61</v>
      </c>
      <c r="I987" s="4"/>
    </row>
    <row r="988" customFormat="false" ht="15" hidden="false" customHeight="false" outlineLevel="0" collapsed="false">
      <c r="A988" s="35" t="s">
        <v>3351</v>
      </c>
      <c r="B988" s="35" t="s">
        <v>3352</v>
      </c>
      <c r="C988" s="35" t="s">
        <v>48</v>
      </c>
      <c r="D988" s="35" t="s">
        <v>157</v>
      </c>
      <c r="E988" s="35"/>
      <c r="F988" s="35" t="s">
        <v>2306</v>
      </c>
      <c r="G988" s="35" t="s">
        <v>689</v>
      </c>
      <c r="H988" s="35" t="s">
        <v>61</v>
      </c>
      <c r="I988" s="4"/>
    </row>
    <row r="989" customFormat="false" ht="15" hidden="false" customHeight="false" outlineLevel="0" collapsed="false">
      <c r="A989" s="35" t="s">
        <v>3353</v>
      </c>
      <c r="B989" s="35" t="s">
        <v>3354</v>
      </c>
      <c r="C989" s="35" t="s">
        <v>48</v>
      </c>
      <c r="D989" s="35" t="s">
        <v>157</v>
      </c>
      <c r="E989" s="35"/>
      <c r="F989" s="35" t="s">
        <v>3355</v>
      </c>
      <c r="G989" s="35" t="s">
        <v>104</v>
      </c>
      <c r="H989" s="35" t="s">
        <v>61</v>
      </c>
      <c r="I989" s="4"/>
    </row>
    <row r="990" customFormat="false" ht="15" hidden="false" customHeight="false" outlineLevel="0" collapsed="false">
      <c r="A990" s="35" t="s">
        <v>3356</v>
      </c>
      <c r="B990" s="35" t="s">
        <v>3357</v>
      </c>
      <c r="C990" s="35" t="s">
        <v>48</v>
      </c>
      <c r="D990" s="35" t="s">
        <v>107</v>
      </c>
      <c r="E990" s="35" t="s">
        <v>626</v>
      </c>
      <c r="F990" s="35"/>
      <c r="G990" s="35" t="s">
        <v>188</v>
      </c>
      <c r="H990" s="35" t="s">
        <v>61</v>
      </c>
      <c r="I990" s="4"/>
    </row>
    <row r="991" customFormat="false" ht="15" hidden="false" customHeight="false" outlineLevel="0" collapsed="false">
      <c r="A991" s="35" t="s">
        <v>625</v>
      </c>
      <c r="B991" s="35" t="s">
        <v>627</v>
      </c>
      <c r="C991" s="35" t="s">
        <v>48</v>
      </c>
      <c r="D991" s="35" t="s">
        <v>107</v>
      </c>
      <c r="E991" s="35" t="s">
        <v>626</v>
      </c>
      <c r="F991" s="35"/>
      <c r="G991" s="35" t="s">
        <v>188</v>
      </c>
      <c r="H991" s="35" t="s">
        <v>61</v>
      </c>
      <c r="I991" s="4" t="s">
        <v>2025</v>
      </c>
    </row>
    <row r="992" customFormat="false" ht="15" hidden="false" customHeight="false" outlineLevel="0" collapsed="false">
      <c r="A992" s="35" t="s">
        <v>600</v>
      </c>
      <c r="B992" s="35" t="s">
        <v>601</v>
      </c>
      <c r="C992" s="35" t="s">
        <v>48</v>
      </c>
      <c r="D992" s="35" t="s">
        <v>107</v>
      </c>
      <c r="E992" s="35" t="s">
        <v>600</v>
      </c>
      <c r="F992" s="35"/>
      <c r="G992" s="35" t="s">
        <v>417</v>
      </c>
      <c r="H992" s="35" t="s">
        <v>61</v>
      </c>
      <c r="I992" s="4" t="s">
        <v>2025</v>
      </c>
    </row>
    <row r="993" customFormat="false" ht="15" hidden="false" customHeight="false" outlineLevel="0" collapsed="false">
      <c r="A993" s="35" t="s">
        <v>3358</v>
      </c>
      <c r="B993" s="35" t="s">
        <v>3359</v>
      </c>
      <c r="C993" s="35" t="s">
        <v>48</v>
      </c>
      <c r="D993" s="35" t="s">
        <v>107</v>
      </c>
      <c r="E993" s="35" t="s">
        <v>1268</v>
      </c>
      <c r="F993" s="35"/>
      <c r="G993" s="35" t="s">
        <v>417</v>
      </c>
      <c r="H993" s="35" t="s">
        <v>61</v>
      </c>
      <c r="I993" s="4"/>
    </row>
    <row r="994" customFormat="false" ht="15" hidden="false" customHeight="false" outlineLevel="0" collapsed="false">
      <c r="A994" s="35" t="s">
        <v>3360</v>
      </c>
      <c r="B994" s="35"/>
      <c r="C994" s="35" t="s">
        <v>673</v>
      </c>
      <c r="D994" s="35" t="s">
        <v>157</v>
      </c>
      <c r="E994" s="35"/>
      <c r="F994" s="35"/>
      <c r="G994" s="35" t="s">
        <v>707</v>
      </c>
      <c r="H994" s="35" t="s">
        <v>61</v>
      </c>
      <c r="I994" s="4"/>
    </row>
    <row r="995" customFormat="false" ht="15" hidden="false" customHeight="false" outlineLevel="0" collapsed="false">
      <c r="A995" s="35" t="s">
        <v>3361</v>
      </c>
      <c r="B995" s="35" t="s">
        <v>3362</v>
      </c>
      <c r="C995" s="35" t="s">
        <v>48</v>
      </c>
      <c r="D995" s="35" t="s">
        <v>114</v>
      </c>
      <c r="E995" s="35"/>
      <c r="F995" s="35"/>
      <c r="G995" s="35" t="s">
        <v>571</v>
      </c>
      <c r="H995" s="35" t="s">
        <v>61</v>
      </c>
      <c r="I995" s="4"/>
    </row>
    <row r="996" customFormat="false" ht="15" hidden="false" customHeight="false" outlineLevel="0" collapsed="false">
      <c r="A996" s="35" t="s">
        <v>1448</v>
      </c>
      <c r="B996" s="35" t="s">
        <v>3363</v>
      </c>
      <c r="C996" s="35" t="s">
        <v>48</v>
      </c>
      <c r="D996" s="35" t="s">
        <v>107</v>
      </c>
      <c r="E996" s="35" t="s">
        <v>1447</v>
      </c>
      <c r="F996" s="35"/>
      <c r="G996" s="35" t="s">
        <v>685</v>
      </c>
      <c r="H996" s="35" t="s">
        <v>61</v>
      </c>
      <c r="I996" s="4"/>
    </row>
    <row r="997" customFormat="false" ht="15" hidden="false" customHeight="false" outlineLevel="0" collapsed="false">
      <c r="A997" s="35" t="s">
        <v>3364</v>
      </c>
      <c r="B997" s="35" t="s">
        <v>3365</v>
      </c>
      <c r="C997" s="35" t="s">
        <v>48</v>
      </c>
      <c r="D997" s="35" t="s">
        <v>114</v>
      </c>
      <c r="E997" s="35"/>
      <c r="F997" s="35" t="s">
        <v>3366</v>
      </c>
      <c r="G997" s="35" t="s">
        <v>685</v>
      </c>
      <c r="H997" s="35" t="s">
        <v>61</v>
      </c>
      <c r="I997" s="4"/>
    </row>
    <row r="998" customFormat="false" ht="15" hidden="false" customHeight="false" outlineLevel="0" collapsed="false">
      <c r="A998" s="35" t="s">
        <v>3367</v>
      </c>
      <c r="B998" s="35" t="s">
        <v>3368</v>
      </c>
      <c r="C998" s="35" t="s">
        <v>48</v>
      </c>
      <c r="D998" s="35" t="s">
        <v>57</v>
      </c>
      <c r="E998" s="35" t="s">
        <v>985</v>
      </c>
      <c r="F998" s="35"/>
      <c r="G998" s="35" t="s">
        <v>87</v>
      </c>
      <c r="H998" s="35" t="s">
        <v>61</v>
      </c>
      <c r="I998" s="4"/>
    </row>
    <row r="999" customFormat="false" ht="15" hidden="false" customHeight="false" outlineLevel="0" collapsed="false">
      <c r="A999" s="35" t="s">
        <v>3369</v>
      </c>
      <c r="B999" s="35" t="s">
        <v>3370</v>
      </c>
      <c r="C999" s="35" t="s">
        <v>48</v>
      </c>
      <c r="D999" s="35" t="s">
        <v>57</v>
      </c>
      <c r="E999" s="35" t="s">
        <v>985</v>
      </c>
      <c r="F999" s="35"/>
      <c r="G999" s="35" t="s">
        <v>87</v>
      </c>
      <c r="H999" s="35" t="s">
        <v>61</v>
      </c>
      <c r="I999" s="4"/>
    </row>
    <row r="1000" customFormat="false" ht="15" hidden="false" customHeight="false" outlineLevel="0" collapsed="false">
      <c r="A1000" s="35" t="s">
        <v>3371</v>
      </c>
      <c r="B1000" s="35" t="s">
        <v>3372</v>
      </c>
      <c r="C1000" s="35" t="s">
        <v>48</v>
      </c>
      <c r="D1000" s="35" t="s">
        <v>447</v>
      </c>
      <c r="E1000" s="35"/>
      <c r="F1000" s="35" t="s">
        <v>3366</v>
      </c>
      <c r="G1000" s="35" t="s">
        <v>685</v>
      </c>
      <c r="H1000" s="35" t="s">
        <v>61</v>
      </c>
      <c r="I1000" s="4"/>
    </row>
    <row r="1001" customFormat="false" ht="15" hidden="false" customHeight="false" outlineLevel="0" collapsed="false">
      <c r="A1001" s="35" t="s">
        <v>3373</v>
      </c>
      <c r="B1001" s="35" t="s">
        <v>3374</v>
      </c>
      <c r="C1001" s="35" t="s">
        <v>48</v>
      </c>
      <c r="D1001" s="35" t="s">
        <v>447</v>
      </c>
      <c r="E1001" s="35"/>
      <c r="F1001" s="35" t="s">
        <v>3366</v>
      </c>
      <c r="G1001" s="35" t="s">
        <v>782</v>
      </c>
      <c r="H1001" s="35" t="s">
        <v>61</v>
      </c>
      <c r="I1001" s="4"/>
    </row>
    <row r="1002" customFormat="false" ht="15" hidden="false" customHeight="false" outlineLevel="0" collapsed="false">
      <c r="A1002" s="35" t="s">
        <v>1450</v>
      </c>
      <c r="B1002" s="35" t="s">
        <v>3375</v>
      </c>
      <c r="C1002" s="35" t="s">
        <v>48</v>
      </c>
      <c r="D1002" s="35" t="s">
        <v>57</v>
      </c>
      <c r="E1002" s="35" t="s">
        <v>1449</v>
      </c>
      <c r="F1002" s="35" t="s">
        <v>3366</v>
      </c>
      <c r="G1002" s="35" t="s">
        <v>685</v>
      </c>
      <c r="H1002" s="35" t="s">
        <v>61</v>
      </c>
      <c r="I1002" s="4"/>
    </row>
    <row r="1003" customFormat="false" ht="15" hidden="false" customHeight="false" outlineLevel="0" collapsed="false">
      <c r="A1003" s="35" t="s">
        <v>3376</v>
      </c>
      <c r="B1003" s="35" t="s">
        <v>3377</v>
      </c>
      <c r="C1003" s="35" t="s">
        <v>48</v>
      </c>
      <c r="D1003" s="35" t="s">
        <v>157</v>
      </c>
      <c r="E1003" s="35"/>
      <c r="F1003" s="35" t="s">
        <v>174</v>
      </c>
      <c r="G1003" s="35" t="s">
        <v>706</v>
      </c>
      <c r="H1003" s="35" t="s">
        <v>61</v>
      </c>
      <c r="I1003" s="4"/>
    </row>
    <row r="1004" customFormat="false" ht="15" hidden="false" customHeight="false" outlineLevel="0" collapsed="false">
      <c r="A1004" s="35" t="s">
        <v>180</v>
      </c>
      <c r="B1004" s="35" t="s">
        <v>181</v>
      </c>
      <c r="C1004" s="35" t="s">
        <v>48</v>
      </c>
      <c r="D1004" s="35" t="s">
        <v>157</v>
      </c>
      <c r="E1004" s="35"/>
      <c r="F1004" s="35"/>
      <c r="G1004" s="35" t="s">
        <v>119</v>
      </c>
      <c r="H1004" s="35" t="s">
        <v>61</v>
      </c>
      <c r="I1004" s="4" t="s">
        <v>2025</v>
      </c>
    </row>
    <row r="1005" customFormat="false" ht="15" hidden="false" customHeight="false" outlineLevel="0" collapsed="false">
      <c r="A1005" s="35" t="s">
        <v>3378</v>
      </c>
      <c r="B1005" s="35" t="s">
        <v>3379</v>
      </c>
      <c r="C1005" s="35" t="s">
        <v>48</v>
      </c>
      <c r="D1005" s="35" t="s">
        <v>107</v>
      </c>
      <c r="E1005" s="35" t="s">
        <v>247</v>
      </c>
      <c r="F1005" s="35" t="s">
        <v>3380</v>
      </c>
      <c r="G1005" s="35" t="s">
        <v>692</v>
      </c>
      <c r="H1005" s="35" t="s">
        <v>61</v>
      </c>
      <c r="I1005" s="4"/>
    </row>
    <row r="1006" customFormat="false" ht="15" hidden="false" customHeight="false" outlineLevel="0" collapsed="false">
      <c r="A1006" s="35" t="s">
        <v>3381</v>
      </c>
      <c r="B1006" s="35" t="s">
        <v>3382</v>
      </c>
      <c r="C1006" s="35" t="s">
        <v>48</v>
      </c>
      <c r="D1006" s="35" t="s">
        <v>157</v>
      </c>
      <c r="E1006" s="35"/>
      <c r="F1006" s="35"/>
      <c r="G1006" s="35" t="s">
        <v>682</v>
      </c>
      <c r="H1006" s="35" t="s">
        <v>49</v>
      </c>
      <c r="I1006" s="4"/>
    </row>
    <row r="1007" customFormat="false" ht="15" hidden="false" customHeight="false" outlineLevel="0" collapsed="false">
      <c r="A1007" s="35" t="s">
        <v>3383</v>
      </c>
      <c r="B1007" s="35" t="s">
        <v>3384</v>
      </c>
      <c r="C1007" s="35" t="s">
        <v>48</v>
      </c>
      <c r="D1007" s="35" t="s">
        <v>157</v>
      </c>
      <c r="E1007" s="35"/>
      <c r="F1007" s="35"/>
      <c r="G1007" s="35" t="s">
        <v>682</v>
      </c>
      <c r="H1007" s="35" t="s">
        <v>49</v>
      </c>
      <c r="I1007" s="4"/>
    </row>
    <row r="1008" customFormat="false" ht="15" hidden="false" customHeight="false" outlineLevel="0" collapsed="false">
      <c r="A1008" s="35" t="s">
        <v>3385</v>
      </c>
      <c r="B1008" s="35" t="s">
        <v>3386</v>
      </c>
      <c r="C1008" s="35" t="s">
        <v>48</v>
      </c>
      <c r="D1008" s="35" t="s">
        <v>447</v>
      </c>
      <c r="E1008" s="35"/>
      <c r="F1008" s="35"/>
      <c r="G1008" s="35" t="s">
        <v>681</v>
      </c>
      <c r="H1008" s="35" t="s">
        <v>61</v>
      </c>
      <c r="I1008" s="4"/>
    </row>
    <row r="1009" customFormat="false" ht="15" hidden="false" customHeight="false" outlineLevel="0" collapsed="false">
      <c r="A1009" s="35" t="s">
        <v>3387</v>
      </c>
      <c r="B1009" s="35" t="s">
        <v>3388</v>
      </c>
      <c r="C1009" s="35" t="s">
        <v>48</v>
      </c>
      <c r="D1009" s="35" t="s">
        <v>447</v>
      </c>
      <c r="E1009" s="35"/>
      <c r="F1009" s="35" t="s">
        <v>454</v>
      </c>
      <c r="G1009" s="35" t="s">
        <v>681</v>
      </c>
      <c r="H1009" s="35" t="s">
        <v>61</v>
      </c>
      <c r="I1009" s="4"/>
    </row>
    <row r="1010" customFormat="false" ht="15" hidden="false" customHeight="false" outlineLevel="0" collapsed="false">
      <c r="A1010" s="35" t="s">
        <v>3389</v>
      </c>
      <c r="B1010" s="35" t="s">
        <v>3390</v>
      </c>
      <c r="C1010" s="35" t="s">
        <v>48</v>
      </c>
      <c r="D1010" s="35" t="s">
        <v>447</v>
      </c>
      <c r="E1010" s="35"/>
      <c r="F1010" s="35"/>
      <c r="G1010" s="35" t="s">
        <v>681</v>
      </c>
      <c r="H1010" s="35" t="s">
        <v>61</v>
      </c>
      <c r="I1010" s="4"/>
    </row>
    <row r="1011" customFormat="false" ht="15" hidden="false" customHeight="false" outlineLevel="0" collapsed="false">
      <c r="A1011" s="35" t="s">
        <v>3391</v>
      </c>
      <c r="B1011" s="35" t="s">
        <v>3392</v>
      </c>
      <c r="C1011" s="35" t="s">
        <v>48</v>
      </c>
      <c r="D1011" s="35" t="s">
        <v>107</v>
      </c>
      <c r="E1011" s="35" t="s">
        <v>548</v>
      </c>
      <c r="F1011" s="35"/>
      <c r="G1011" s="35" t="s">
        <v>545</v>
      </c>
      <c r="H1011" s="35" t="s">
        <v>61</v>
      </c>
      <c r="I1011" s="4"/>
    </row>
    <row r="1012" customFormat="false" ht="15" hidden="false" customHeight="false" outlineLevel="0" collapsed="false">
      <c r="A1012" s="35" t="s">
        <v>1452</v>
      </c>
      <c r="B1012" s="35" t="s">
        <v>3393</v>
      </c>
      <c r="C1012" s="35" t="s">
        <v>48</v>
      </c>
      <c r="D1012" s="35" t="s">
        <v>107</v>
      </c>
      <c r="E1012" s="35" t="s">
        <v>1451</v>
      </c>
      <c r="F1012" s="35"/>
      <c r="G1012" s="35" t="s">
        <v>444</v>
      </c>
      <c r="H1012" s="35" t="s">
        <v>61</v>
      </c>
      <c r="I1012" s="4"/>
    </row>
    <row r="1013" customFormat="false" ht="15" hidden="false" customHeight="false" outlineLevel="0" collapsed="false">
      <c r="A1013" s="35" t="s">
        <v>3394</v>
      </c>
      <c r="B1013" s="35" t="s">
        <v>3395</v>
      </c>
      <c r="C1013" s="35" t="s">
        <v>48</v>
      </c>
      <c r="D1013" s="35" t="s">
        <v>114</v>
      </c>
      <c r="E1013" s="35"/>
      <c r="F1013" s="35"/>
      <c r="G1013" s="35" t="s">
        <v>681</v>
      </c>
      <c r="H1013" s="35" t="s">
        <v>61</v>
      </c>
      <c r="I1013" s="4"/>
    </row>
    <row r="1014" customFormat="false" ht="15" hidden="false" customHeight="false" outlineLevel="0" collapsed="false">
      <c r="A1014" s="35" t="s">
        <v>3396</v>
      </c>
      <c r="B1014" s="35" t="s">
        <v>3397</v>
      </c>
      <c r="C1014" s="35" t="s">
        <v>48</v>
      </c>
      <c r="D1014" s="35" t="s">
        <v>114</v>
      </c>
      <c r="E1014" s="35"/>
      <c r="F1014" s="35"/>
      <c r="G1014" s="35" t="s">
        <v>681</v>
      </c>
      <c r="H1014" s="35" t="s">
        <v>61</v>
      </c>
      <c r="I1014" s="4"/>
    </row>
    <row r="1015" customFormat="false" ht="15" hidden="false" customHeight="false" outlineLevel="0" collapsed="false">
      <c r="A1015" s="35" t="s">
        <v>518</v>
      </c>
      <c r="B1015" s="35" t="s">
        <v>520</v>
      </c>
      <c r="C1015" s="35" t="s">
        <v>48</v>
      </c>
      <c r="D1015" s="35" t="s">
        <v>57</v>
      </c>
      <c r="E1015" s="35" t="s">
        <v>519</v>
      </c>
      <c r="F1015" s="35"/>
      <c r="G1015" s="35" t="s">
        <v>104</v>
      </c>
      <c r="H1015" s="35" t="s">
        <v>61</v>
      </c>
      <c r="I1015" s="4" t="s">
        <v>2025</v>
      </c>
    </row>
    <row r="1016" customFormat="false" ht="15" hidden="false" customHeight="false" outlineLevel="0" collapsed="false">
      <c r="A1016" s="35" t="s">
        <v>3398</v>
      </c>
      <c r="B1016" s="35" t="s">
        <v>3399</v>
      </c>
      <c r="C1016" s="35" t="s">
        <v>48</v>
      </c>
      <c r="D1016" s="35" t="s">
        <v>53</v>
      </c>
      <c r="E1016" s="35"/>
      <c r="F1016" s="35"/>
      <c r="G1016" s="35" t="s">
        <v>571</v>
      </c>
      <c r="H1016" s="35" t="s">
        <v>61</v>
      </c>
      <c r="I1016" s="4"/>
    </row>
    <row r="1017" customFormat="false" ht="15" hidden="false" customHeight="false" outlineLevel="0" collapsed="false">
      <c r="A1017" s="35" t="s">
        <v>1665</v>
      </c>
      <c r="B1017" s="35" t="s">
        <v>3400</v>
      </c>
      <c r="C1017" s="35" t="s">
        <v>48</v>
      </c>
      <c r="D1017" s="35" t="s">
        <v>107</v>
      </c>
      <c r="E1017" s="35" t="s">
        <v>1664</v>
      </c>
      <c r="F1017" s="35"/>
      <c r="G1017" s="35" t="s">
        <v>745</v>
      </c>
      <c r="H1017" s="35" t="s">
        <v>61</v>
      </c>
      <c r="I1017" s="4"/>
    </row>
    <row r="1018" customFormat="false" ht="15" hidden="false" customHeight="false" outlineLevel="0" collapsed="false">
      <c r="A1018" s="35" t="s">
        <v>3401</v>
      </c>
      <c r="B1018" s="35" t="s">
        <v>3402</v>
      </c>
      <c r="C1018" s="35" t="s">
        <v>48</v>
      </c>
      <c r="D1018" s="35" t="s">
        <v>107</v>
      </c>
      <c r="E1018" s="35" t="s">
        <v>548</v>
      </c>
      <c r="F1018" s="35" t="s">
        <v>3403</v>
      </c>
      <c r="G1018" s="35" t="s">
        <v>545</v>
      </c>
      <c r="H1018" s="35" t="s">
        <v>61</v>
      </c>
      <c r="I1018" s="4"/>
    </row>
    <row r="1019" customFormat="false" ht="15" hidden="false" customHeight="false" outlineLevel="0" collapsed="false">
      <c r="A1019" s="35" t="s">
        <v>3404</v>
      </c>
      <c r="B1019" s="35" t="s">
        <v>3405</v>
      </c>
      <c r="C1019" s="35" t="s">
        <v>48</v>
      </c>
      <c r="D1019" s="35" t="s">
        <v>107</v>
      </c>
      <c r="E1019" s="35" t="s">
        <v>548</v>
      </c>
      <c r="F1019" s="35" t="s">
        <v>2041</v>
      </c>
      <c r="G1019" s="35" t="s">
        <v>545</v>
      </c>
      <c r="H1019" s="35" t="s">
        <v>61</v>
      </c>
      <c r="I1019" s="4"/>
    </row>
    <row r="1020" customFormat="false" ht="15" hidden="false" customHeight="false" outlineLevel="0" collapsed="false">
      <c r="A1020" s="35" t="s">
        <v>1401</v>
      </c>
      <c r="B1020" s="35" t="s">
        <v>3406</v>
      </c>
      <c r="C1020" s="35" t="s">
        <v>48</v>
      </c>
      <c r="D1020" s="35" t="s">
        <v>107</v>
      </c>
      <c r="E1020" s="35" t="s">
        <v>1400</v>
      </c>
      <c r="F1020" s="35" t="s">
        <v>3407</v>
      </c>
      <c r="G1020" s="35" t="s">
        <v>545</v>
      </c>
      <c r="H1020" s="35" t="s">
        <v>61</v>
      </c>
      <c r="I1020" s="4"/>
    </row>
    <row r="1021" customFormat="false" ht="15" hidden="false" customHeight="false" outlineLevel="0" collapsed="false">
      <c r="A1021" s="35" t="s">
        <v>3408</v>
      </c>
      <c r="B1021" s="35" t="s">
        <v>3409</v>
      </c>
      <c r="C1021" s="35" t="s">
        <v>48</v>
      </c>
      <c r="D1021" s="35" t="s">
        <v>107</v>
      </c>
      <c r="E1021" s="35" t="s">
        <v>925</v>
      </c>
      <c r="F1021" s="35"/>
      <c r="G1021" s="35" t="s">
        <v>337</v>
      </c>
      <c r="H1021" s="35" t="s">
        <v>61</v>
      </c>
      <c r="I1021" s="4"/>
    </row>
    <row r="1022" customFormat="false" ht="15" hidden="false" customHeight="false" outlineLevel="0" collapsed="false">
      <c r="A1022" s="35" t="s">
        <v>339</v>
      </c>
      <c r="B1022" s="35" t="s">
        <v>340</v>
      </c>
      <c r="C1022" s="35" t="s">
        <v>48</v>
      </c>
      <c r="D1022" s="35" t="s">
        <v>53</v>
      </c>
      <c r="E1022" s="35"/>
      <c r="F1022" s="35"/>
      <c r="G1022" s="35" t="s">
        <v>337</v>
      </c>
      <c r="H1022" s="35" t="s">
        <v>61</v>
      </c>
      <c r="I1022" s="4" t="s">
        <v>2025</v>
      </c>
    </row>
    <row r="1023" customFormat="false" ht="15" hidden="false" customHeight="false" outlineLevel="0" collapsed="false">
      <c r="A1023" s="35" t="s">
        <v>3410</v>
      </c>
      <c r="B1023" s="35" t="s">
        <v>3411</v>
      </c>
      <c r="C1023" s="35" t="s">
        <v>48</v>
      </c>
      <c r="D1023" s="35" t="s">
        <v>53</v>
      </c>
      <c r="E1023" s="35"/>
      <c r="F1023" s="35"/>
      <c r="G1023" s="35" t="s">
        <v>337</v>
      </c>
      <c r="H1023" s="35" t="s">
        <v>2071</v>
      </c>
      <c r="I1023" s="4"/>
    </row>
    <row r="1024" customFormat="false" ht="15" hidden="false" customHeight="false" outlineLevel="0" collapsed="false">
      <c r="A1024" s="35" t="s">
        <v>335</v>
      </c>
      <c r="B1024" s="35" t="s">
        <v>336</v>
      </c>
      <c r="C1024" s="35" t="s">
        <v>48</v>
      </c>
      <c r="D1024" s="35" t="s">
        <v>53</v>
      </c>
      <c r="E1024" s="35"/>
      <c r="F1024" s="35"/>
      <c r="G1024" s="35" t="s">
        <v>337</v>
      </c>
      <c r="H1024" s="35" t="s">
        <v>61</v>
      </c>
      <c r="I1024" s="4" t="s">
        <v>2025</v>
      </c>
    </row>
    <row r="1025" customFormat="false" ht="15" hidden="false" customHeight="false" outlineLevel="0" collapsed="false">
      <c r="A1025" s="35" t="s">
        <v>3412</v>
      </c>
      <c r="B1025" s="35" t="s">
        <v>3413</v>
      </c>
      <c r="C1025" s="35" t="s">
        <v>48</v>
      </c>
      <c r="D1025" s="35" t="s">
        <v>53</v>
      </c>
      <c r="E1025" s="35"/>
      <c r="F1025" s="35"/>
      <c r="G1025" s="35" t="s">
        <v>337</v>
      </c>
      <c r="H1025" s="35" t="s">
        <v>2071</v>
      </c>
      <c r="I1025" s="4"/>
    </row>
    <row r="1026" customFormat="false" ht="15" hidden="false" customHeight="false" outlineLevel="0" collapsed="false">
      <c r="A1026" s="35" t="s">
        <v>3414</v>
      </c>
      <c r="B1026" s="35" t="s">
        <v>3415</v>
      </c>
      <c r="C1026" s="35" t="s">
        <v>48</v>
      </c>
      <c r="D1026" s="35" t="s">
        <v>53</v>
      </c>
      <c r="E1026" s="35"/>
      <c r="F1026" s="35"/>
      <c r="G1026" s="35" t="s">
        <v>337</v>
      </c>
      <c r="H1026" s="35" t="s">
        <v>61</v>
      </c>
      <c r="I1026" s="4"/>
    </row>
    <row r="1027" customFormat="false" ht="15" hidden="false" customHeight="false" outlineLevel="0" collapsed="false">
      <c r="A1027" s="35" t="s">
        <v>3416</v>
      </c>
      <c r="B1027" s="35" t="s">
        <v>3417</v>
      </c>
      <c r="C1027" s="35" t="s">
        <v>48</v>
      </c>
      <c r="D1027" s="35" t="s">
        <v>107</v>
      </c>
      <c r="E1027" s="35" t="s">
        <v>925</v>
      </c>
      <c r="F1027" s="35"/>
      <c r="G1027" s="35" t="s">
        <v>337</v>
      </c>
      <c r="H1027" s="35" t="s">
        <v>61</v>
      </c>
      <c r="I1027" s="4"/>
    </row>
    <row r="1028" customFormat="false" ht="15" hidden="false" customHeight="false" outlineLevel="0" collapsed="false">
      <c r="A1028" s="35" t="s">
        <v>3418</v>
      </c>
      <c r="B1028" s="35" t="s">
        <v>3419</v>
      </c>
      <c r="C1028" s="35" t="s">
        <v>48</v>
      </c>
      <c r="D1028" s="35" t="s">
        <v>53</v>
      </c>
      <c r="E1028" s="35"/>
      <c r="F1028" s="35"/>
      <c r="G1028" s="35" t="s">
        <v>87</v>
      </c>
      <c r="H1028" s="35" t="s">
        <v>61</v>
      </c>
      <c r="I1028" s="4"/>
    </row>
    <row r="1029" customFormat="false" ht="15" hidden="false" customHeight="false" outlineLevel="0" collapsed="false">
      <c r="A1029" s="35" t="s">
        <v>3420</v>
      </c>
      <c r="B1029" s="35" t="s">
        <v>3421</v>
      </c>
      <c r="C1029" s="35" t="s">
        <v>48</v>
      </c>
      <c r="D1029" s="35" t="s">
        <v>107</v>
      </c>
      <c r="E1029" s="35" t="s">
        <v>925</v>
      </c>
      <c r="F1029" s="35"/>
      <c r="G1029" s="35" t="s">
        <v>337</v>
      </c>
      <c r="H1029" s="35" t="s">
        <v>61</v>
      </c>
      <c r="I1029" s="4"/>
    </row>
    <row r="1030" customFormat="false" ht="15" hidden="false" customHeight="false" outlineLevel="0" collapsed="false">
      <c r="A1030" s="35" t="s">
        <v>371</v>
      </c>
      <c r="B1030" s="35" t="s">
        <v>373</v>
      </c>
      <c r="C1030" s="35" t="s">
        <v>48</v>
      </c>
      <c r="D1030" s="35" t="s">
        <v>107</v>
      </c>
      <c r="E1030" s="35" t="s">
        <v>372</v>
      </c>
      <c r="F1030" s="35"/>
      <c r="G1030" s="35" t="s">
        <v>87</v>
      </c>
      <c r="H1030" s="35" t="s">
        <v>61</v>
      </c>
      <c r="I1030" s="4" t="s">
        <v>2025</v>
      </c>
    </row>
    <row r="1031" customFormat="false" ht="15" hidden="false" customHeight="false" outlineLevel="0" collapsed="false">
      <c r="A1031" s="35" t="s">
        <v>3422</v>
      </c>
      <c r="B1031" s="35" t="s">
        <v>3423</v>
      </c>
      <c r="C1031" s="35" t="s">
        <v>48</v>
      </c>
      <c r="D1031" s="35" t="s">
        <v>107</v>
      </c>
      <c r="E1031" s="35" t="s">
        <v>372</v>
      </c>
      <c r="F1031" s="35"/>
      <c r="G1031" s="35" t="s">
        <v>754</v>
      </c>
      <c r="H1031" s="35" t="s">
        <v>61</v>
      </c>
      <c r="I1031" s="4"/>
    </row>
    <row r="1032" customFormat="false" ht="15" hidden="false" customHeight="false" outlineLevel="0" collapsed="false">
      <c r="A1032" s="35" t="s">
        <v>971</v>
      </c>
      <c r="B1032" s="35" t="s">
        <v>3424</v>
      </c>
      <c r="C1032" s="35" t="s">
        <v>48</v>
      </c>
      <c r="D1032" s="35" t="s">
        <v>57</v>
      </c>
      <c r="E1032" s="35" t="s">
        <v>971</v>
      </c>
      <c r="F1032" s="35"/>
      <c r="G1032" s="35" t="s">
        <v>60</v>
      </c>
      <c r="H1032" s="35" t="s">
        <v>61</v>
      </c>
      <c r="I1032" s="4"/>
    </row>
    <row r="1033" customFormat="false" ht="15" hidden="false" customHeight="false" outlineLevel="0" collapsed="false">
      <c r="A1033" s="35" t="s">
        <v>3425</v>
      </c>
      <c r="B1033" s="35" t="s">
        <v>3426</v>
      </c>
      <c r="C1033" s="35" t="s">
        <v>48</v>
      </c>
      <c r="D1033" s="35" t="s">
        <v>146</v>
      </c>
      <c r="E1033" s="35"/>
      <c r="F1033" s="35"/>
      <c r="G1033" s="35" t="s">
        <v>49</v>
      </c>
      <c r="H1033" s="35" t="s">
        <v>49</v>
      </c>
      <c r="I1033" s="4"/>
    </row>
    <row r="1034" customFormat="false" ht="15" hidden="false" customHeight="false" outlineLevel="0" collapsed="false">
      <c r="A1034" s="35" t="s">
        <v>1454</v>
      </c>
      <c r="B1034" s="35" t="s">
        <v>3427</v>
      </c>
      <c r="C1034" s="35" t="s">
        <v>48</v>
      </c>
      <c r="D1034" s="35" t="s">
        <v>107</v>
      </c>
      <c r="E1034" s="35" t="s">
        <v>1453</v>
      </c>
      <c r="F1034" s="35"/>
      <c r="G1034" s="35" t="s">
        <v>119</v>
      </c>
      <c r="H1034" s="35" t="s">
        <v>3428</v>
      </c>
      <c r="I1034" s="4"/>
    </row>
    <row r="1035" customFormat="false" ht="15" hidden="false" customHeight="false" outlineLevel="0" collapsed="false">
      <c r="A1035" s="35" t="s">
        <v>3429</v>
      </c>
      <c r="B1035" s="35" t="s">
        <v>3430</v>
      </c>
      <c r="C1035" s="35" t="s">
        <v>48</v>
      </c>
      <c r="D1035" s="35" t="s">
        <v>53</v>
      </c>
      <c r="E1035" s="35"/>
      <c r="F1035" s="35"/>
      <c r="G1035" s="35" t="s">
        <v>45</v>
      </c>
      <c r="H1035" s="35" t="s">
        <v>61</v>
      </c>
      <c r="I1035" s="4"/>
    </row>
    <row r="1036" customFormat="false" ht="15" hidden="false" customHeight="false" outlineLevel="0" collapsed="false">
      <c r="A1036" s="35" t="s">
        <v>3431</v>
      </c>
      <c r="B1036" s="35" t="s">
        <v>3432</v>
      </c>
      <c r="C1036" s="35" t="s">
        <v>48</v>
      </c>
      <c r="D1036" s="35" t="s">
        <v>53</v>
      </c>
      <c r="E1036" s="35"/>
      <c r="F1036" s="35"/>
      <c r="G1036" s="35" t="s">
        <v>45</v>
      </c>
      <c r="H1036" s="35" t="s">
        <v>61</v>
      </c>
      <c r="I1036" s="4"/>
    </row>
    <row r="1037" customFormat="false" ht="15" hidden="false" customHeight="false" outlineLevel="0" collapsed="false">
      <c r="A1037" s="35" t="s">
        <v>52</v>
      </c>
      <c r="B1037" s="35" t="s">
        <v>54</v>
      </c>
      <c r="C1037" s="35" t="s">
        <v>48</v>
      </c>
      <c r="D1037" s="35" t="s">
        <v>53</v>
      </c>
      <c r="E1037" s="35"/>
      <c r="F1037" s="35"/>
      <c r="G1037" s="35" t="s">
        <v>49</v>
      </c>
      <c r="H1037" s="35" t="s">
        <v>49</v>
      </c>
      <c r="I1037" s="4" t="s">
        <v>2025</v>
      </c>
    </row>
    <row r="1038" customFormat="false" ht="15" hidden="false" customHeight="false" outlineLevel="0" collapsed="false">
      <c r="A1038" s="35" t="s">
        <v>3433</v>
      </c>
      <c r="B1038" s="35" t="s">
        <v>3434</v>
      </c>
      <c r="C1038" s="35" t="s">
        <v>48</v>
      </c>
      <c r="D1038" s="35" t="s">
        <v>53</v>
      </c>
      <c r="E1038" s="35"/>
      <c r="F1038" s="35"/>
      <c r="G1038" s="35" t="s">
        <v>684</v>
      </c>
      <c r="H1038" s="35" t="s">
        <v>61</v>
      </c>
      <c r="I1038" s="4"/>
    </row>
    <row r="1039" customFormat="false" ht="15" hidden="false" customHeight="false" outlineLevel="0" collapsed="false">
      <c r="A1039" s="35" t="s">
        <v>3435</v>
      </c>
      <c r="B1039" s="35" t="s">
        <v>3436</v>
      </c>
      <c r="C1039" s="35" t="s">
        <v>48</v>
      </c>
      <c r="D1039" s="35" t="s">
        <v>57</v>
      </c>
      <c r="E1039" s="35" t="s">
        <v>872</v>
      </c>
      <c r="F1039" s="35"/>
      <c r="G1039" s="35" t="s">
        <v>45</v>
      </c>
      <c r="H1039" s="35" t="s">
        <v>61</v>
      </c>
      <c r="I1039" s="4"/>
    </row>
    <row r="1040" customFormat="false" ht="15" hidden="false" customHeight="false" outlineLevel="0" collapsed="false">
      <c r="A1040" s="35" t="s">
        <v>3437</v>
      </c>
      <c r="B1040" s="35" t="s">
        <v>3438</v>
      </c>
      <c r="C1040" s="35" t="s">
        <v>48</v>
      </c>
      <c r="D1040" s="35" t="s">
        <v>53</v>
      </c>
      <c r="E1040" s="35"/>
      <c r="F1040" s="35"/>
      <c r="G1040" s="35" t="s">
        <v>45</v>
      </c>
      <c r="H1040" s="35" t="s">
        <v>61</v>
      </c>
      <c r="I1040" s="4"/>
    </row>
    <row r="1041" customFormat="false" ht="15" hidden="false" customHeight="false" outlineLevel="0" collapsed="false">
      <c r="A1041" s="35" t="s">
        <v>3439</v>
      </c>
      <c r="B1041" s="35" t="s">
        <v>3440</v>
      </c>
      <c r="C1041" s="35" t="s">
        <v>48</v>
      </c>
      <c r="D1041" s="35" t="s">
        <v>53</v>
      </c>
      <c r="E1041" s="35"/>
      <c r="F1041" s="35"/>
      <c r="G1041" s="35" t="s">
        <v>45</v>
      </c>
      <c r="H1041" s="35" t="s">
        <v>61</v>
      </c>
      <c r="I1041" s="4"/>
    </row>
    <row r="1042" customFormat="false" ht="15" hidden="false" customHeight="false" outlineLevel="0" collapsed="false">
      <c r="A1042" s="35" t="s">
        <v>3441</v>
      </c>
      <c r="B1042" s="35" t="s">
        <v>3442</v>
      </c>
      <c r="C1042" s="35" t="s">
        <v>48</v>
      </c>
      <c r="D1042" s="35" t="s">
        <v>57</v>
      </c>
      <c r="E1042" s="35" t="s">
        <v>1172</v>
      </c>
      <c r="F1042" s="35"/>
      <c r="G1042" s="35" t="s">
        <v>188</v>
      </c>
      <c r="H1042" s="35" t="s">
        <v>3428</v>
      </c>
      <c r="I1042" s="4"/>
    </row>
    <row r="1043" customFormat="false" ht="15" hidden="false" customHeight="false" outlineLevel="0" collapsed="false">
      <c r="A1043" s="35" t="s">
        <v>3443</v>
      </c>
      <c r="B1043" s="35" t="s">
        <v>3444</v>
      </c>
      <c r="C1043" s="35" t="s">
        <v>48</v>
      </c>
      <c r="D1043" s="35" t="s">
        <v>53</v>
      </c>
      <c r="E1043" s="35"/>
      <c r="F1043" s="35"/>
      <c r="G1043" s="35" t="s">
        <v>45</v>
      </c>
      <c r="H1043" s="35" t="s">
        <v>61</v>
      </c>
      <c r="I1043" s="4"/>
    </row>
    <row r="1044" customFormat="false" ht="15" hidden="false" customHeight="false" outlineLevel="0" collapsed="false">
      <c r="A1044" s="35" t="s">
        <v>3445</v>
      </c>
      <c r="B1044" s="35" t="s">
        <v>3446</v>
      </c>
      <c r="C1044" s="35" t="s">
        <v>48</v>
      </c>
      <c r="D1044" s="35" t="s">
        <v>53</v>
      </c>
      <c r="E1044" s="35"/>
      <c r="F1044" s="35" t="s">
        <v>885</v>
      </c>
      <c r="G1044" s="35" t="s">
        <v>328</v>
      </c>
      <c r="H1044" s="35" t="s">
        <v>61</v>
      </c>
      <c r="I1044" s="4"/>
    </row>
    <row r="1045" customFormat="false" ht="15" hidden="false" customHeight="false" outlineLevel="0" collapsed="false">
      <c r="A1045" s="35" t="s">
        <v>3447</v>
      </c>
      <c r="B1045" s="35" t="s">
        <v>3448</v>
      </c>
      <c r="C1045" s="35" t="s">
        <v>48</v>
      </c>
      <c r="D1045" s="35" t="s">
        <v>114</v>
      </c>
      <c r="E1045" s="35"/>
      <c r="F1045" s="35"/>
      <c r="G1045" s="35" t="s">
        <v>328</v>
      </c>
      <c r="H1045" s="35" t="s">
        <v>61</v>
      </c>
      <c r="I1045" s="4"/>
    </row>
    <row r="1046" customFormat="false" ht="15" hidden="false" customHeight="false" outlineLevel="0" collapsed="false">
      <c r="A1046" s="35" t="s">
        <v>3449</v>
      </c>
      <c r="B1046" s="35" t="s">
        <v>3450</v>
      </c>
      <c r="C1046" s="35" t="s">
        <v>48</v>
      </c>
      <c r="D1046" s="35" t="s">
        <v>114</v>
      </c>
      <c r="E1046" s="35"/>
      <c r="F1046" s="35"/>
      <c r="G1046" s="35" t="s">
        <v>688</v>
      </c>
      <c r="H1046" s="35" t="s">
        <v>61</v>
      </c>
      <c r="I1046" s="4"/>
    </row>
    <row r="1047" customFormat="false" ht="15" hidden="false" customHeight="false" outlineLevel="0" collapsed="false">
      <c r="A1047" s="35" t="s">
        <v>3451</v>
      </c>
      <c r="B1047" s="35" t="s">
        <v>3452</v>
      </c>
      <c r="C1047" s="35" t="s">
        <v>48</v>
      </c>
      <c r="D1047" s="35" t="s">
        <v>53</v>
      </c>
      <c r="E1047" s="35"/>
      <c r="F1047" s="35"/>
      <c r="G1047" s="35" t="s">
        <v>49</v>
      </c>
      <c r="H1047" s="35" t="s">
        <v>61</v>
      </c>
      <c r="I1047" s="4"/>
    </row>
    <row r="1048" customFormat="false" ht="15" hidden="false" customHeight="false" outlineLevel="0" collapsed="false">
      <c r="A1048" s="35" t="s">
        <v>106</v>
      </c>
      <c r="B1048" s="35" t="s">
        <v>108</v>
      </c>
      <c r="C1048" s="35" t="s">
        <v>48</v>
      </c>
      <c r="D1048" s="35" t="s">
        <v>107</v>
      </c>
      <c r="E1048" s="35" t="s">
        <v>106</v>
      </c>
      <c r="F1048" s="35"/>
      <c r="G1048" s="35" t="s">
        <v>49</v>
      </c>
      <c r="H1048" s="35" t="s">
        <v>49</v>
      </c>
      <c r="I1048" s="4" t="s">
        <v>2025</v>
      </c>
    </row>
    <row r="1049" customFormat="false" ht="15" hidden="false" customHeight="false" outlineLevel="0" collapsed="false">
      <c r="A1049" s="35" t="s">
        <v>3453</v>
      </c>
      <c r="B1049" s="35" t="s">
        <v>3454</v>
      </c>
      <c r="C1049" s="35" t="s">
        <v>48</v>
      </c>
      <c r="D1049" s="35" t="s">
        <v>107</v>
      </c>
      <c r="E1049" s="35" t="s">
        <v>938</v>
      </c>
      <c r="F1049" s="35"/>
      <c r="G1049" s="35" t="s">
        <v>119</v>
      </c>
      <c r="H1049" s="35" t="s">
        <v>61</v>
      </c>
      <c r="I1049" s="4"/>
    </row>
    <row r="1050" customFormat="false" ht="15" hidden="false" customHeight="false" outlineLevel="0" collapsed="false">
      <c r="A1050" s="35" t="s">
        <v>3455</v>
      </c>
      <c r="B1050" s="35" t="s">
        <v>3456</v>
      </c>
      <c r="C1050" s="35" t="s">
        <v>48</v>
      </c>
      <c r="D1050" s="35" t="s">
        <v>107</v>
      </c>
      <c r="E1050" s="35" t="s">
        <v>106</v>
      </c>
      <c r="F1050" s="35"/>
      <c r="G1050" s="35" t="s">
        <v>119</v>
      </c>
      <c r="H1050" s="35" t="s">
        <v>245</v>
      </c>
      <c r="I1050" s="4"/>
    </row>
    <row r="1051" customFormat="false" ht="15" hidden="false" customHeight="false" outlineLevel="0" collapsed="false">
      <c r="A1051" s="35" t="s">
        <v>3457</v>
      </c>
      <c r="B1051" s="35" t="s">
        <v>3458</v>
      </c>
      <c r="C1051" s="35" t="s">
        <v>48</v>
      </c>
      <c r="D1051" s="35" t="s">
        <v>107</v>
      </c>
      <c r="E1051" s="35" t="s">
        <v>106</v>
      </c>
      <c r="F1051" s="35"/>
      <c r="G1051" s="35" t="s">
        <v>49</v>
      </c>
      <c r="H1051" s="35" t="s">
        <v>50</v>
      </c>
      <c r="I1051" s="4"/>
    </row>
    <row r="1052" customFormat="false" ht="15" hidden="false" customHeight="false" outlineLevel="0" collapsed="false">
      <c r="A1052" s="35" t="s">
        <v>3459</v>
      </c>
      <c r="B1052" s="35" t="s">
        <v>3460</v>
      </c>
      <c r="C1052" s="35" t="s">
        <v>48</v>
      </c>
      <c r="D1052" s="35" t="s">
        <v>107</v>
      </c>
      <c r="E1052" s="35" t="s">
        <v>106</v>
      </c>
      <c r="F1052" s="35"/>
      <c r="G1052" s="35" t="s">
        <v>49</v>
      </c>
      <c r="H1052" s="35" t="s">
        <v>49</v>
      </c>
      <c r="I1052" s="4"/>
    </row>
    <row r="1053" customFormat="false" ht="15" hidden="false" customHeight="false" outlineLevel="0" collapsed="false">
      <c r="A1053" s="35" t="s">
        <v>3461</v>
      </c>
      <c r="B1053" s="35" t="s">
        <v>3462</v>
      </c>
      <c r="C1053" s="35" t="s">
        <v>48</v>
      </c>
      <c r="D1053" s="35" t="s">
        <v>114</v>
      </c>
      <c r="E1053" s="35"/>
      <c r="F1053" s="35"/>
      <c r="G1053" s="35" t="s">
        <v>328</v>
      </c>
      <c r="H1053" s="35" t="s">
        <v>61</v>
      </c>
      <c r="I1053" s="4"/>
    </row>
    <row r="1054" customFormat="false" ht="15" hidden="false" customHeight="false" outlineLevel="0" collapsed="false">
      <c r="A1054" s="35" t="s">
        <v>3463</v>
      </c>
      <c r="B1054" s="35" t="s">
        <v>3464</v>
      </c>
      <c r="C1054" s="35" t="s">
        <v>48</v>
      </c>
      <c r="D1054" s="35" t="s">
        <v>53</v>
      </c>
      <c r="E1054" s="35"/>
      <c r="F1054" s="35"/>
      <c r="G1054" s="35" t="s">
        <v>45</v>
      </c>
      <c r="H1054" s="35" t="s">
        <v>61</v>
      </c>
      <c r="I1054" s="4"/>
    </row>
    <row r="1055" customFormat="false" ht="15" hidden="false" customHeight="false" outlineLevel="0" collapsed="false">
      <c r="A1055" s="35" t="s">
        <v>3465</v>
      </c>
      <c r="B1055" s="35" t="s">
        <v>3466</v>
      </c>
      <c r="C1055" s="35" t="s">
        <v>48</v>
      </c>
      <c r="D1055" s="35" t="s">
        <v>107</v>
      </c>
      <c r="E1055" s="35" t="s">
        <v>971</v>
      </c>
      <c r="F1055" s="35"/>
      <c r="G1055" s="35" t="s">
        <v>60</v>
      </c>
      <c r="H1055" s="35" t="s">
        <v>61</v>
      </c>
      <c r="I1055" s="4"/>
    </row>
    <row r="1056" customFormat="false" ht="15" hidden="false" customHeight="false" outlineLevel="0" collapsed="false">
      <c r="A1056" s="35" t="s">
        <v>3467</v>
      </c>
      <c r="B1056" s="35" t="s">
        <v>3468</v>
      </c>
      <c r="C1056" s="35" t="s">
        <v>48</v>
      </c>
      <c r="D1056" s="35" t="s">
        <v>53</v>
      </c>
      <c r="E1056" s="35"/>
      <c r="F1056" s="35"/>
      <c r="G1056" s="35" t="s">
        <v>337</v>
      </c>
      <c r="H1056" s="35" t="s">
        <v>61</v>
      </c>
      <c r="I1056" s="4"/>
    </row>
    <row r="1057" customFormat="false" ht="15" hidden="false" customHeight="false" outlineLevel="0" collapsed="false">
      <c r="A1057" s="35" t="s">
        <v>3469</v>
      </c>
      <c r="B1057" s="35" t="s">
        <v>3470</v>
      </c>
      <c r="C1057" s="35" t="s">
        <v>48</v>
      </c>
      <c r="D1057" s="35" t="s">
        <v>53</v>
      </c>
      <c r="E1057" s="35"/>
      <c r="F1057" s="35"/>
      <c r="G1057" s="35" t="s">
        <v>680</v>
      </c>
      <c r="H1057" s="35" t="s">
        <v>61</v>
      </c>
      <c r="I1057" s="4"/>
    </row>
    <row r="1058" customFormat="false" ht="15" hidden="false" customHeight="false" outlineLevel="0" collapsed="false">
      <c r="A1058" s="35" t="s">
        <v>3471</v>
      </c>
      <c r="B1058" s="35" t="s">
        <v>3472</v>
      </c>
      <c r="C1058" s="35" t="s">
        <v>48</v>
      </c>
      <c r="D1058" s="35" t="s">
        <v>57</v>
      </c>
      <c r="E1058" s="35" t="s">
        <v>1172</v>
      </c>
      <c r="F1058" s="35"/>
      <c r="G1058" s="35" t="s">
        <v>188</v>
      </c>
      <c r="H1058" s="35" t="s">
        <v>3428</v>
      </c>
      <c r="I1058" s="4"/>
    </row>
    <row r="1059" customFormat="false" ht="15" hidden="false" customHeight="false" outlineLevel="0" collapsed="false">
      <c r="A1059" s="35" t="s">
        <v>3473</v>
      </c>
      <c r="B1059" s="35" t="s">
        <v>3474</v>
      </c>
      <c r="C1059" s="35" t="s">
        <v>48</v>
      </c>
      <c r="D1059" s="35" t="s">
        <v>53</v>
      </c>
      <c r="E1059" s="35"/>
      <c r="F1059" s="35"/>
      <c r="G1059" s="35" t="s">
        <v>680</v>
      </c>
      <c r="H1059" s="35" t="s">
        <v>61</v>
      </c>
      <c r="I1059" s="4"/>
    </row>
    <row r="1060" customFormat="false" ht="15" hidden="false" customHeight="false" outlineLevel="0" collapsed="false">
      <c r="A1060" s="35" t="s">
        <v>3475</v>
      </c>
      <c r="B1060" s="35" t="s">
        <v>3476</v>
      </c>
      <c r="C1060" s="35" t="s">
        <v>48</v>
      </c>
      <c r="D1060" s="35" t="s">
        <v>53</v>
      </c>
      <c r="E1060" s="35"/>
      <c r="F1060" s="35"/>
      <c r="G1060" s="35" t="s">
        <v>679</v>
      </c>
      <c r="H1060" s="35" t="s">
        <v>61</v>
      </c>
      <c r="I1060" s="4"/>
    </row>
    <row r="1061" customFormat="false" ht="15" hidden="false" customHeight="false" outlineLevel="0" collapsed="false">
      <c r="A1061" s="35" t="s">
        <v>1463</v>
      </c>
      <c r="B1061" s="35" t="s">
        <v>3477</v>
      </c>
      <c r="C1061" s="35" t="s">
        <v>48</v>
      </c>
      <c r="D1061" s="35" t="s">
        <v>107</v>
      </c>
      <c r="E1061" s="35" t="s">
        <v>104</v>
      </c>
      <c r="F1061" s="35"/>
      <c r="G1061" s="35" t="s">
        <v>119</v>
      </c>
      <c r="H1061" s="35" t="s">
        <v>61</v>
      </c>
      <c r="I1061" s="4"/>
    </row>
    <row r="1062" customFormat="false" ht="15" hidden="false" customHeight="false" outlineLevel="0" collapsed="false">
      <c r="A1062" s="35" t="s">
        <v>1465</v>
      </c>
      <c r="B1062" s="35" t="s">
        <v>3478</v>
      </c>
      <c r="C1062" s="35" t="s">
        <v>48</v>
      </c>
      <c r="D1062" s="35" t="s">
        <v>107</v>
      </c>
      <c r="E1062" s="35" t="s">
        <v>1464</v>
      </c>
      <c r="F1062" s="35"/>
      <c r="G1062" s="35" t="s">
        <v>188</v>
      </c>
      <c r="H1062" s="35" t="s">
        <v>61</v>
      </c>
      <c r="I1062" s="4"/>
    </row>
    <row r="1063" customFormat="false" ht="15" hidden="false" customHeight="false" outlineLevel="0" collapsed="false">
      <c r="A1063" s="35" t="s">
        <v>3479</v>
      </c>
      <c r="B1063" s="35" t="s">
        <v>3480</v>
      </c>
      <c r="C1063" s="35" t="s">
        <v>48</v>
      </c>
      <c r="D1063" s="35" t="s">
        <v>157</v>
      </c>
      <c r="E1063" s="35"/>
      <c r="F1063" s="35"/>
      <c r="G1063" s="35" t="s">
        <v>693</v>
      </c>
      <c r="H1063" s="35" t="s">
        <v>61</v>
      </c>
      <c r="I1063" s="4"/>
    </row>
    <row r="1064" customFormat="false" ht="15" hidden="false" customHeight="false" outlineLevel="0" collapsed="false">
      <c r="A1064" s="35" t="s">
        <v>3481</v>
      </c>
      <c r="B1064" s="35" t="s">
        <v>3482</v>
      </c>
      <c r="C1064" s="35" t="s">
        <v>48</v>
      </c>
      <c r="D1064" s="35" t="s">
        <v>157</v>
      </c>
      <c r="E1064" s="35"/>
      <c r="F1064" s="35" t="s">
        <v>2147</v>
      </c>
      <c r="G1064" s="35" t="s">
        <v>328</v>
      </c>
      <c r="H1064" s="35" t="s">
        <v>61</v>
      </c>
      <c r="I1064" s="4"/>
    </row>
    <row r="1065" customFormat="false" ht="15" hidden="false" customHeight="false" outlineLevel="0" collapsed="false">
      <c r="A1065" s="35" t="s">
        <v>3483</v>
      </c>
      <c r="B1065" s="35" t="s">
        <v>3484</v>
      </c>
      <c r="C1065" s="35" t="s">
        <v>48</v>
      </c>
      <c r="D1065" s="35" t="s">
        <v>157</v>
      </c>
      <c r="E1065" s="35"/>
      <c r="F1065" s="35"/>
      <c r="G1065" s="35" t="s">
        <v>104</v>
      </c>
      <c r="H1065" s="35" t="s">
        <v>61</v>
      </c>
      <c r="I1065" s="4"/>
    </row>
    <row r="1066" customFormat="false" ht="15" hidden="false" customHeight="false" outlineLevel="0" collapsed="false">
      <c r="A1066" s="35" t="s">
        <v>3485</v>
      </c>
      <c r="B1066" s="35" t="s">
        <v>3486</v>
      </c>
      <c r="C1066" s="35" t="s">
        <v>48</v>
      </c>
      <c r="D1066" s="35" t="s">
        <v>114</v>
      </c>
      <c r="E1066" s="35"/>
      <c r="F1066" s="35"/>
      <c r="G1066" s="35" t="s">
        <v>681</v>
      </c>
      <c r="H1066" s="35" t="s">
        <v>61</v>
      </c>
      <c r="I1066" s="4"/>
    </row>
    <row r="1067" customFormat="false" ht="15" hidden="false" customHeight="false" outlineLevel="0" collapsed="false">
      <c r="A1067" s="35" t="s">
        <v>3487</v>
      </c>
      <c r="B1067" s="35" t="s">
        <v>3488</v>
      </c>
      <c r="C1067" s="35" t="s">
        <v>48</v>
      </c>
      <c r="D1067" s="35" t="s">
        <v>107</v>
      </c>
      <c r="E1067" s="35" t="s">
        <v>798</v>
      </c>
      <c r="F1067" s="35"/>
      <c r="G1067" s="35" t="s">
        <v>679</v>
      </c>
      <c r="H1067" s="35" t="s">
        <v>61</v>
      </c>
      <c r="I1067" s="4"/>
    </row>
    <row r="1068" customFormat="false" ht="15" hidden="false" customHeight="false" outlineLevel="0" collapsed="false">
      <c r="A1068" s="35" t="s">
        <v>3489</v>
      </c>
      <c r="B1068" s="35" t="s">
        <v>3490</v>
      </c>
      <c r="C1068" s="35" t="s">
        <v>48</v>
      </c>
      <c r="D1068" s="35" t="s">
        <v>107</v>
      </c>
      <c r="E1068" s="35" t="s">
        <v>798</v>
      </c>
      <c r="F1068" s="35"/>
      <c r="G1068" s="35" t="s">
        <v>679</v>
      </c>
      <c r="H1068" s="35" t="s">
        <v>61</v>
      </c>
      <c r="I1068" s="4"/>
    </row>
    <row r="1069" customFormat="false" ht="15" hidden="false" customHeight="false" outlineLevel="0" collapsed="false">
      <c r="A1069" s="35" t="s">
        <v>3491</v>
      </c>
      <c r="B1069" s="35" t="s">
        <v>3492</v>
      </c>
      <c r="C1069" s="35" t="s">
        <v>48</v>
      </c>
      <c r="D1069" s="35" t="s">
        <v>107</v>
      </c>
      <c r="E1069" s="35" t="s">
        <v>798</v>
      </c>
      <c r="F1069" s="35"/>
      <c r="G1069" s="35" t="s">
        <v>679</v>
      </c>
      <c r="H1069" s="35" t="s">
        <v>61</v>
      </c>
      <c r="I1069" s="4"/>
    </row>
    <row r="1070" customFormat="false" ht="15" hidden="false" customHeight="false" outlineLevel="0" collapsed="false">
      <c r="A1070" s="35" t="s">
        <v>3493</v>
      </c>
      <c r="B1070" s="35"/>
      <c r="C1070" s="35" t="s">
        <v>673</v>
      </c>
      <c r="D1070" s="35" t="s">
        <v>114</v>
      </c>
      <c r="E1070" s="35"/>
      <c r="F1070" s="35"/>
      <c r="G1070" s="35" t="s">
        <v>707</v>
      </c>
      <c r="H1070" s="35" t="s">
        <v>61</v>
      </c>
      <c r="I1070" s="4"/>
    </row>
    <row r="1071" customFormat="false" ht="15" hidden="false" customHeight="false" outlineLevel="0" collapsed="false">
      <c r="A1071" s="35" t="s">
        <v>1127</v>
      </c>
      <c r="B1071" s="35" t="s">
        <v>3494</v>
      </c>
      <c r="C1071" s="35" t="s">
        <v>48</v>
      </c>
      <c r="D1071" s="35" t="s">
        <v>57</v>
      </c>
      <c r="E1071" s="35" t="s">
        <v>1127</v>
      </c>
      <c r="F1071" s="35"/>
      <c r="G1071" s="35" t="s">
        <v>119</v>
      </c>
      <c r="H1071" s="35" t="s">
        <v>61</v>
      </c>
      <c r="I1071" s="4"/>
    </row>
    <row r="1072" customFormat="false" ht="15" hidden="false" customHeight="false" outlineLevel="0" collapsed="false">
      <c r="A1072" s="35" t="s">
        <v>3495</v>
      </c>
      <c r="B1072" s="35" t="s">
        <v>3496</v>
      </c>
      <c r="C1072" s="35" t="s">
        <v>48</v>
      </c>
      <c r="D1072" s="35" t="s">
        <v>157</v>
      </c>
      <c r="E1072" s="35"/>
      <c r="F1072" s="35"/>
      <c r="G1072" s="35" t="s">
        <v>119</v>
      </c>
      <c r="H1072" s="35" t="s">
        <v>61</v>
      </c>
      <c r="I1072" s="4"/>
    </row>
    <row r="1073" customFormat="false" ht="15" hidden="false" customHeight="false" outlineLevel="0" collapsed="false">
      <c r="A1073" s="35" t="s">
        <v>3497</v>
      </c>
      <c r="B1073" s="35" t="s">
        <v>3498</v>
      </c>
      <c r="C1073" s="35" t="s">
        <v>48</v>
      </c>
      <c r="D1073" s="35" t="s">
        <v>447</v>
      </c>
      <c r="E1073" s="35"/>
      <c r="F1073" s="35" t="s">
        <v>447</v>
      </c>
      <c r="G1073" s="35" t="s">
        <v>444</v>
      </c>
      <c r="H1073" s="35" t="s">
        <v>61</v>
      </c>
      <c r="I1073" s="4"/>
    </row>
    <row r="1074" customFormat="false" ht="15" hidden="false" customHeight="false" outlineLevel="0" collapsed="false">
      <c r="A1074" s="35" t="s">
        <v>536</v>
      </c>
      <c r="B1074" s="35" t="s">
        <v>537</v>
      </c>
      <c r="C1074" s="35" t="s">
        <v>48</v>
      </c>
      <c r="D1074" s="35" t="s">
        <v>157</v>
      </c>
      <c r="E1074" s="35"/>
      <c r="F1074" s="35"/>
      <c r="G1074" s="35" t="s">
        <v>535</v>
      </c>
      <c r="H1074" s="35" t="s">
        <v>61</v>
      </c>
      <c r="I1074" s="4" t="s">
        <v>2025</v>
      </c>
    </row>
    <row r="1075" customFormat="false" ht="15" hidden="false" customHeight="false" outlineLevel="0" collapsed="false">
      <c r="A1075" s="35" t="s">
        <v>3499</v>
      </c>
      <c r="B1075" s="35" t="s">
        <v>3500</v>
      </c>
      <c r="C1075" s="35" t="s">
        <v>48</v>
      </c>
      <c r="D1075" s="35" t="s">
        <v>447</v>
      </c>
      <c r="E1075" s="35"/>
      <c r="F1075" s="35" t="s">
        <v>447</v>
      </c>
      <c r="G1075" s="35" t="s">
        <v>444</v>
      </c>
      <c r="H1075" s="35" t="s">
        <v>61</v>
      </c>
      <c r="I1075" s="4"/>
    </row>
    <row r="1076" customFormat="false" ht="15" hidden="false" customHeight="false" outlineLevel="0" collapsed="false">
      <c r="A1076" s="35" t="s">
        <v>3501</v>
      </c>
      <c r="B1076" s="35" t="s">
        <v>3502</v>
      </c>
      <c r="C1076" s="35" t="s">
        <v>48</v>
      </c>
      <c r="D1076" s="35" t="s">
        <v>447</v>
      </c>
      <c r="E1076" s="35"/>
      <c r="F1076" s="35" t="s">
        <v>447</v>
      </c>
      <c r="G1076" s="35" t="s">
        <v>444</v>
      </c>
      <c r="H1076" s="35" t="s">
        <v>61</v>
      </c>
      <c r="I1076" s="4"/>
    </row>
    <row r="1077" customFormat="false" ht="15" hidden="false" customHeight="false" outlineLevel="0" collapsed="false">
      <c r="A1077" s="35" t="s">
        <v>3503</v>
      </c>
      <c r="B1077" s="35" t="s">
        <v>3504</v>
      </c>
      <c r="C1077" s="35" t="s">
        <v>48</v>
      </c>
      <c r="D1077" s="35" t="s">
        <v>107</v>
      </c>
      <c r="E1077" s="35" t="s">
        <v>403</v>
      </c>
      <c r="F1077" s="35"/>
      <c r="G1077" s="35" t="s">
        <v>87</v>
      </c>
      <c r="H1077" s="35" t="s">
        <v>61</v>
      </c>
      <c r="I1077" s="4"/>
    </row>
    <row r="1078" customFormat="false" ht="15" hidden="false" customHeight="false" outlineLevel="0" collapsed="false">
      <c r="A1078" s="35" t="s">
        <v>3505</v>
      </c>
      <c r="B1078" s="35" t="s">
        <v>3506</v>
      </c>
      <c r="C1078" s="35" t="s">
        <v>48</v>
      </c>
      <c r="D1078" s="35" t="s">
        <v>57</v>
      </c>
      <c r="E1078" s="35" t="s">
        <v>403</v>
      </c>
      <c r="F1078" s="35"/>
      <c r="G1078" s="35" t="s">
        <v>87</v>
      </c>
      <c r="H1078" s="35" t="s">
        <v>61</v>
      </c>
      <c r="I1078" s="4"/>
    </row>
    <row r="1079" customFormat="false" ht="15" hidden="false" customHeight="false" outlineLevel="0" collapsed="false">
      <c r="A1079" s="35" t="s">
        <v>3507</v>
      </c>
      <c r="B1079" s="35" t="s">
        <v>3508</v>
      </c>
      <c r="C1079" s="35" t="s">
        <v>48</v>
      </c>
      <c r="D1079" s="35" t="s">
        <v>57</v>
      </c>
      <c r="E1079" s="35" t="s">
        <v>403</v>
      </c>
      <c r="F1079" s="35"/>
      <c r="G1079" s="35" t="s">
        <v>87</v>
      </c>
      <c r="H1079" s="35" t="s">
        <v>61</v>
      </c>
      <c r="I1079" s="4"/>
    </row>
    <row r="1080" customFormat="false" ht="15" hidden="false" customHeight="false" outlineLevel="0" collapsed="false">
      <c r="A1080" s="35" t="s">
        <v>3509</v>
      </c>
      <c r="B1080" s="35" t="s">
        <v>3510</v>
      </c>
      <c r="C1080" s="35" t="s">
        <v>48</v>
      </c>
      <c r="D1080" s="35" t="s">
        <v>107</v>
      </c>
      <c r="E1080" s="35" t="s">
        <v>553</v>
      </c>
      <c r="F1080" s="35"/>
      <c r="G1080" s="35" t="s">
        <v>555</v>
      </c>
      <c r="H1080" s="35" t="s">
        <v>61</v>
      </c>
      <c r="I1080" s="4"/>
    </row>
    <row r="1081" customFormat="false" ht="15" hidden="false" customHeight="false" outlineLevel="0" collapsed="false">
      <c r="A1081" s="35" t="s">
        <v>3511</v>
      </c>
      <c r="B1081" s="35" t="s">
        <v>3512</v>
      </c>
      <c r="C1081" s="35" t="s">
        <v>48</v>
      </c>
      <c r="D1081" s="35" t="s">
        <v>107</v>
      </c>
      <c r="E1081" s="35" t="s">
        <v>1129</v>
      </c>
      <c r="F1081" s="35"/>
      <c r="G1081" s="35" t="s">
        <v>555</v>
      </c>
      <c r="H1081" s="35" t="s">
        <v>61</v>
      </c>
      <c r="I1081" s="4"/>
    </row>
    <row r="1082" customFormat="false" ht="15" hidden="false" customHeight="false" outlineLevel="0" collapsed="false">
      <c r="A1082" s="35" t="s">
        <v>3513</v>
      </c>
      <c r="B1082" s="35" t="s">
        <v>3514</v>
      </c>
      <c r="C1082" s="35" t="s">
        <v>48</v>
      </c>
      <c r="D1082" s="35" t="s">
        <v>107</v>
      </c>
      <c r="E1082" s="35" t="s">
        <v>1129</v>
      </c>
      <c r="F1082" s="35"/>
      <c r="G1082" s="35" t="s">
        <v>555</v>
      </c>
      <c r="H1082" s="35" t="s">
        <v>61</v>
      </c>
      <c r="I1082" s="4"/>
    </row>
    <row r="1083" customFormat="false" ht="15" hidden="false" customHeight="false" outlineLevel="0" collapsed="false">
      <c r="A1083" s="35" t="s">
        <v>1479</v>
      </c>
      <c r="B1083" s="35" t="s">
        <v>3515</v>
      </c>
      <c r="C1083" s="35" t="s">
        <v>48</v>
      </c>
      <c r="D1083" s="35" t="s">
        <v>107</v>
      </c>
      <c r="E1083" s="35" t="s">
        <v>1478</v>
      </c>
      <c r="F1083" s="35"/>
      <c r="G1083" s="35" t="s">
        <v>729</v>
      </c>
      <c r="H1083" s="35" t="s">
        <v>61</v>
      </c>
      <c r="I1083" s="4"/>
    </row>
    <row r="1084" customFormat="false" ht="15" hidden="false" customHeight="false" outlineLevel="0" collapsed="false">
      <c r="A1084" s="35" t="s">
        <v>1374</v>
      </c>
      <c r="B1084" s="35" t="s">
        <v>3516</v>
      </c>
      <c r="C1084" s="35" t="s">
        <v>48</v>
      </c>
      <c r="D1084" s="35" t="s">
        <v>107</v>
      </c>
      <c r="E1084" s="35" t="s">
        <v>1373</v>
      </c>
      <c r="F1084" s="35"/>
      <c r="G1084" s="35" t="s">
        <v>710</v>
      </c>
      <c r="H1084" s="35" t="s">
        <v>61</v>
      </c>
      <c r="I1084" s="4"/>
    </row>
    <row r="1085" customFormat="false" ht="15" hidden="false" customHeight="false" outlineLevel="0" collapsed="false">
      <c r="A1085" s="35" t="s">
        <v>1739</v>
      </c>
      <c r="B1085" s="35" t="s">
        <v>3517</v>
      </c>
      <c r="C1085" s="35" t="s">
        <v>48</v>
      </c>
      <c r="D1085" s="35" t="s">
        <v>107</v>
      </c>
      <c r="E1085" s="35" t="s">
        <v>1738</v>
      </c>
      <c r="F1085" s="35"/>
      <c r="G1085" s="35" t="s">
        <v>751</v>
      </c>
      <c r="H1085" s="35" t="s">
        <v>61</v>
      </c>
      <c r="I1085" s="4"/>
    </row>
    <row r="1086" customFormat="false" ht="15" hidden="false" customHeight="false" outlineLevel="0" collapsed="false">
      <c r="A1086" s="35" t="s">
        <v>1480</v>
      </c>
      <c r="B1086" s="35" t="s">
        <v>3518</v>
      </c>
      <c r="C1086" s="35" t="s">
        <v>48</v>
      </c>
      <c r="D1086" s="35" t="s">
        <v>46</v>
      </c>
      <c r="E1086" s="35" t="s">
        <v>1480</v>
      </c>
      <c r="F1086" s="35"/>
      <c r="G1086" s="35" t="s">
        <v>710</v>
      </c>
      <c r="H1086" s="35" t="s">
        <v>61</v>
      </c>
      <c r="I1086" s="4"/>
    </row>
    <row r="1087" customFormat="false" ht="15" hidden="false" customHeight="false" outlineLevel="0" collapsed="false">
      <c r="A1087" s="35" t="s">
        <v>1833</v>
      </c>
      <c r="B1087" s="35" t="s">
        <v>3519</v>
      </c>
      <c r="C1087" s="35" t="s">
        <v>48</v>
      </c>
      <c r="D1087" s="35" t="s">
        <v>107</v>
      </c>
      <c r="E1087" s="35" t="s">
        <v>1832</v>
      </c>
      <c r="F1087" s="35"/>
      <c r="G1087" s="35" t="s">
        <v>729</v>
      </c>
      <c r="H1087" s="35" t="s">
        <v>61</v>
      </c>
      <c r="I1087" s="4"/>
    </row>
    <row r="1088" customFormat="false" ht="15" hidden="false" customHeight="false" outlineLevel="0" collapsed="false">
      <c r="A1088" s="35" t="s">
        <v>1481</v>
      </c>
      <c r="B1088" s="35" t="s">
        <v>3520</v>
      </c>
      <c r="C1088" s="35" t="s">
        <v>48</v>
      </c>
      <c r="D1088" s="35" t="s">
        <v>107</v>
      </c>
      <c r="E1088" s="35" t="s">
        <v>1481</v>
      </c>
      <c r="F1088" s="35"/>
      <c r="G1088" s="35" t="s">
        <v>681</v>
      </c>
      <c r="H1088" s="35" t="s">
        <v>61</v>
      </c>
      <c r="I1088" s="4"/>
    </row>
    <row r="1089" customFormat="false" ht="15" hidden="false" customHeight="false" outlineLevel="0" collapsed="false">
      <c r="A1089" s="35" t="s">
        <v>3521</v>
      </c>
      <c r="B1089" s="35" t="s">
        <v>3522</v>
      </c>
      <c r="C1089" s="35" t="s">
        <v>48</v>
      </c>
      <c r="D1089" s="35" t="s">
        <v>114</v>
      </c>
      <c r="E1089" s="35"/>
      <c r="F1089" s="35"/>
      <c r="G1089" s="35" t="s">
        <v>99</v>
      </c>
      <c r="H1089" s="35" t="s">
        <v>562</v>
      </c>
      <c r="I1089" s="4"/>
    </row>
    <row r="1090" customFormat="false" ht="15" hidden="false" customHeight="false" outlineLevel="0" collapsed="false">
      <c r="A1090" s="35" t="s">
        <v>3523</v>
      </c>
      <c r="B1090" s="35" t="s">
        <v>3524</v>
      </c>
      <c r="C1090" s="35" t="s">
        <v>48</v>
      </c>
      <c r="D1090" s="35" t="s">
        <v>114</v>
      </c>
      <c r="E1090" s="35"/>
      <c r="F1090" s="35"/>
      <c r="G1090" s="35" t="s">
        <v>421</v>
      </c>
      <c r="H1090" s="35" t="s">
        <v>258</v>
      </c>
      <c r="I1090" s="4"/>
    </row>
    <row r="1091" customFormat="false" ht="15" hidden="false" customHeight="false" outlineLevel="0" collapsed="false">
      <c r="A1091" s="35" t="s">
        <v>142</v>
      </c>
      <c r="B1091" s="35" t="s">
        <v>143</v>
      </c>
      <c r="C1091" s="35" t="s">
        <v>48</v>
      </c>
      <c r="D1091" s="35" t="s">
        <v>114</v>
      </c>
      <c r="E1091" s="35"/>
      <c r="F1091" s="35"/>
      <c r="G1091" s="35" t="s">
        <v>104</v>
      </c>
      <c r="H1091" s="35" t="s">
        <v>50</v>
      </c>
      <c r="I1091" s="4" t="s">
        <v>2025</v>
      </c>
    </row>
    <row r="1092" customFormat="false" ht="15" hidden="false" customHeight="false" outlineLevel="0" collapsed="false">
      <c r="A1092" s="35" t="s">
        <v>3525</v>
      </c>
      <c r="B1092" s="35"/>
      <c r="C1092" s="35" t="s">
        <v>673</v>
      </c>
      <c r="D1092" s="35" t="s">
        <v>114</v>
      </c>
      <c r="E1092" s="35"/>
      <c r="F1092" s="35"/>
      <c r="G1092" s="35" t="s">
        <v>707</v>
      </c>
      <c r="H1092" s="35" t="s">
        <v>61</v>
      </c>
      <c r="I1092" s="4"/>
    </row>
    <row r="1093" customFormat="false" ht="15" hidden="false" customHeight="false" outlineLevel="0" collapsed="false">
      <c r="A1093" s="35" t="s">
        <v>3526</v>
      </c>
      <c r="B1093" s="35" t="s">
        <v>3527</v>
      </c>
      <c r="C1093" s="35" t="s">
        <v>48</v>
      </c>
      <c r="D1093" s="35" t="s">
        <v>114</v>
      </c>
      <c r="E1093" s="35"/>
      <c r="F1093" s="35" t="s">
        <v>885</v>
      </c>
      <c r="G1093" s="35" t="s">
        <v>328</v>
      </c>
      <c r="H1093" s="35" t="s">
        <v>61</v>
      </c>
      <c r="I1093" s="4"/>
    </row>
    <row r="1094" customFormat="false" ht="15" hidden="false" customHeight="false" outlineLevel="0" collapsed="false">
      <c r="A1094" s="35" t="s">
        <v>3528</v>
      </c>
      <c r="B1094" s="35" t="s">
        <v>3529</v>
      </c>
      <c r="C1094" s="35" t="s">
        <v>48</v>
      </c>
      <c r="D1094" s="35" t="s">
        <v>157</v>
      </c>
      <c r="E1094" s="35"/>
      <c r="F1094" s="35"/>
      <c r="G1094" s="35" t="s">
        <v>524</v>
      </c>
      <c r="H1094" s="35" t="s">
        <v>61</v>
      </c>
      <c r="I1094" s="4"/>
    </row>
    <row r="1095" customFormat="false" ht="15" hidden="false" customHeight="false" outlineLevel="0" collapsed="false">
      <c r="A1095" s="35" t="s">
        <v>3530</v>
      </c>
      <c r="B1095" s="35" t="s">
        <v>3531</v>
      </c>
      <c r="C1095" s="35" t="s">
        <v>48</v>
      </c>
      <c r="D1095" s="35" t="s">
        <v>157</v>
      </c>
      <c r="E1095" s="35"/>
      <c r="F1095" s="35"/>
      <c r="G1095" s="35" t="s">
        <v>746</v>
      </c>
      <c r="H1095" s="35" t="s">
        <v>3428</v>
      </c>
      <c r="I1095" s="4"/>
    </row>
    <row r="1096" customFormat="false" ht="15" hidden="false" customHeight="false" outlineLevel="0" collapsed="false">
      <c r="A1096" s="35" t="s">
        <v>3532</v>
      </c>
      <c r="B1096" s="35" t="s">
        <v>3533</v>
      </c>
      <c r="C1096" s="35" t="s">
        <v>48</v>
      </c>
      <c r="D1096" s="35" t="s">
        <v>57</v>
      </c>
      <c r="E1096" s="35" t="s">
        <v>45</v>
      </c>
      <c r="F1096" s="35"/>
      <c r="G1096" s="35" t="s">
        <v>723</v>
      </c>
      <c r="H1096" s="35" t="s">
        <v>61</v>
      </c>
      <c r="I1096" s="4"/>
    </row>
    <row r="1097" customFormat="false" ht="15" hidden="false" customHeight="false" outlineLevel="0" collapsed="false">
      <c r="A1097" s="35" t="s">
        <v>3534</v>
      </c>
      <c r="B1097" s="35" t="s">
        <v>3534</v>
      </c>
      <c r="C1097" s="35" t="s">
        <v>48</v>
      </c>
      <c r="D1097" s="35" t="s">
        <v>57</v>
      </c>
      <c r="E1097" s="35" t="s">
        <v>45</v>
      </c>
      <c r="F1097" s="35"/>
      <c r="G1097" s="35" t="s">
        <v>762</v>
      </c>
      <c r="H1097" s="35" t="s">
        <v>61</v>
      </c>
      <c r="I1097" s="4"/>
    </row>
    <row r="1098" customFormat="false" ht="15" hidden="false" customHeight="false" outlineLevel="0" collapsed="false">
      <c r="A1098" s="35" t="s">
        <v>3535</v>
      </c>
      <c r="B1098" s="35" t="s">
        <v>3536</v>
      </c>
      <c r="C1098" s="35" t="s">
        <v>48</v>
      </c>
      <c r="D1098" s="35" t="s">
        <v>114</v>
      </c>
      <c r="E1098" s="35"/>
      <c r="F1098" s="35"/>
      <c r="G1098" s="35" t="s">
        <v>753</v>
      </c>
      <c r="H1098" s="35" t="s">
        <v>61</v>
      </c>
      <c r="I1098" s="4"/>
    </row>
    <row r="1099" customFormat="false" ht="15" hidden="false" customHeight="false" outlineLevel="0" collapsed="false">
      <c r="A1099" s="35" t="s">
        <v>3537</v>
      </c>
      <c r="B1099" s="35" t="s">
        <v>3538</v>
      </c>
      <c r="C1099" s="35" t="s">
        <v>48</v>
      </c>
      <c r="D1099" s="35" t="s">
        <v>53</v>
      </c>
      <c r="E1099" s="35"/>
      <c r="F1099" s="35"/>
      <c r="G1099" s="35" t="s">
        <v>337</v>
      </c>
      <c r="H1099" s="35" t="s">
        <v>61</v>
      </c>
      <c r="I1099" s="4"/>
    </row>
    <row r="1100" customFormat="false" ht="15" hidden="false" customHeight="false" outlineLevel="0" collapsed="false">
      <c r="A1100" s="35" t="s">
        <v>3539</v>
      </c>
      <c r="B1100" s="35" t="s">
        <v>3540</v>
      </c>
      <c r="C1100" s="35" t="s">
        <v>48</v>
      </c>
      <c r="D1100" s="35" t="s">
        <v>447</v>
      </c>
      <c r="E1100" s="35"/>
      <c r="F1100" s="35"/>
      <c r="G1100" s="35" t="s">
        <v>716</v>
      </c>
      <c r="H1100" s="35" t="s">
        <v>61</v>
      </c>
      <c r="I1100" s="4"/>
    </row>
    <row r="1101" customFormat="false" ht="15" hidden="false" customHeight="false" outlineLevel="0" collapsed="false">
      <c r="A1101" s="35" t="s">
        <v>3541</v>
      </c>
      <c r="B1101" s="35" t="s">
        <v>3542</v>
      </c>
      <c r="C1101" s="35" t="s">
        <v>48</v>
      </c>
      <c r="D1101" s="35" t="s">
        <v>107</v>
      </c>
      <c r="E1101" s="35" t="s">
        <v>719</v>
      </c>
      <c r="F1101" s="35"/>
      <c r="G1101" s="35" t="s">
        <v>719</v>
      </c>
      <c r="H1101" s="35" t="s">
        <v>61</v>
      </c>
      <c r="I1101" s="4"/>
    </row>
    <row r="1102" customFormat="false" ht="15" hidden="false" customHeight="false" outlineLevel="0" collapsed="false">
      <c r="A1102" s="35" t="s">
        <v>3543</v>
      </c>
      <c r="B1102" s="35" t="s">
        <v>3544</v>
      </c>
      <c r="C1102" s="35" t="s">
        <v>48</v>
      </c>
      <c r="D1102" s="35" t="s">
        <v>107</v>
      </c>
      <c r="E1102" s="35" t="s">
        <v>719</v>
      </c>
      <c r="F1102" s="35"/>
      <c r="G1102" s="35" t="s">
        <v>719</v>
      </c>
      <c r="H1102" s="35" t="s">
        <v>61</v>
      </c>
      <c r="I1102" s="4"/>
    </row>
    <row r="1103" customFormat="false" ht="15" hidden="false" customHeight="false" outlineLevel="0" collapsed="false">
      <c r="A1103" s="35" t="s">
        <v>3545</v>
      </c>
      <c r="B1103" s="35" t="s">
        <v>3546</v>
      </c>
      <c r="C1103" s="35" t="s">
        <v>48</v>
      </c>
      <c r="D1103" s="35" t="s">
        <v>107</v>
      </c>
      <c r="E1103" s="35" t="s">
        <v>598</v>
      </c>
      <c r="F1103" s="35"/>
      <c r="G1103" s="35" t="s">
        <v>417</v>
      </c>
      <c r="H1103" s="35" t="s">
        <v>61</v>
      </c>
      <c r="I1103" s="4"/>
    </row>
    <row r="1104" customFormat="false" ht="15" hidden="false" customHeight="false" outlineLevel="0" collapsed="false">
      <c r="A1104" s="35" t="s">
        <v>1303</v>
      </c>
      <c r="B1104" s="35" t="s">
        <v>3547</v>
      </c>
      <c r="C1104" s="35" t="s">
        <v>48</v>
      </c>
      <c r="D1104" s="35" t="s">
        <v>107</v>
      </c>
      <c r="E1104" s="35" t="s">
        <v>1302</v>
      </c>
      <c r="F1104" s="35" t="s">
        <v>3548</v>
      </c>
      <c r="G1104" s="35" t="s">
        <v>545</v>
      </c>
      <c r="H1104" s="35" t="s">
        <v>61</v>
      </c>
      <c r="I1104" s="4"/>
    </row>
    <row r="1105" customFormat="false" ht="15" hidden="false" customHeight="false" outlineLevel="0" collapsed="false">
      <c r="A1105" s="35" t="s">
        <v>3549</v>
      </c>
      <c r="B1105" s="35" t="s">
        <v>3550</v>
      </c>
      <c r="C1105" s="35" t="s">
        <v>48</v>
      </c>
      <c r="D1105" s="35" t="s">
        <v>46</v>
      </c>
      <c r="E1105" s="35" t="s">
        <v>1135</v>
      </c>
      <c r="F1105" s="35"/>
      <c r="G1105" s="35" t="s">
        <v>99</v>
      </c>
      <c r="H1105" s="35" t="s">
        <v>562</v>
      </c>
      <c r="I1105" s="4"/>
    </row>
    <row r="1106" customFormat="false" ht="15" hidden="false" customHeight="false" outlineLevel="0" collapsed="false">
      <c r="A1106" s="35" t="s">
        <v>1489</v>
      </c>
      <c r="B1106" s="35" t="s">
        <v>3551</v>
      </c>
      <c r="C1106" s="35" t="s">
        <v>48</v>
      </c>
      <c r="D1106" s="35" t="s">
        <v>107</v>
      </c>
      <c r="E1106" s="35" t="s">
        <v>1488</v>
      </c>
      <c r="F1106" s="35" t="s">
        <v>3552</v>
      </c>
      <c r="G1106" s="35" t="s">
        <v>722</v>
      </c>
      <c r="H1106" s="35" t="s">
        <v>61</v>
      </c>
      <c r="I1106" s="4"/>
    </row>
    <row r="1107" customFormat="false" ht="15" hidden="false" customHeight="false" outlineLevel="0" collapsed="false">
      <c r="A1107" s="35" t="s">
        <v>1487</v>
      </c>
      <c r="B1107" s="35" t="s">
        <v>3553</v>
      </c>
      <c r="C1107" s="35" t="s">
        <v>48</v>
      </c>
      <c r="D1107" s="35" t="s">
        <v>107</v>
      </c>
      <c r="E1107" s="35" t="s">
        <v>1486</v>
      </c>
      <c r="F1107" s="35" t="s">
        <v>3552</v>
      </c>
      <c r="G1107" s="35" t="s">
        <v>722</v>
      </c>
      <c r="H1107" s="35" t="s">
        <v>61</v>
      </c>
      <c r="I1107" s="4"/>
    </row>
    <row r="1108" customFormat="false" ht="15" hidden="false" customHeight="false" outlineLevel="0" collapsed="false">
      <c r="A1108" s="35" t="s">
        <v>3554</v>
      </c>
      <c r="B1108" s="35" t="s">
        <v>3555</v>
      </c>
      <c r="C1108" s="35" t="s">
        <v>48</v>
      </c>
      <c r="D1108" s="35" t="s">
        <v>107</v>
      </c>
      <c r="E1108" s="35" t="s">
        <v>1137</v>
      </c>
      <c r="F1108" s="35"/>
      <c r="G1108" s="35" t="s">
        <v>685</v>
      </c>
      <c r="H1108" s="35" t="s">
        <v>61</v>
      </c>
      <c r="I1108" s="4"/>
    </row>
    <row r="1109" customFormat="false" ht="15" hidden="false" customHeight="false" outlineLevel="0" collapsed="false">
      <c r="A1109" s="35" t="s">
        <v>3556</v>
      </c>
      <c r="B1109" s="35" t="s">
        <v>3557</v>
      </c>
      <c r="C1109" s="35" t="s">
        <v>48</v>
      </c>
      <c r="D1109" s="35" t="s">
        <v>107</v>
      </c>
      <c r="E1109" s="35" t="s">
        <v>1133</v>
      </c>
      <c r="F1109" s="35"/>
      <c r="G1109" s="35" t="s">
        <v>685</v>
      </c>
      <c r="H1109" s="35" t="s">
        <v>61</v>
      </c>
      <c r="I1109" s="4"/>
    </row>
    <row r="1110" customFormat="false" ht="15" hidden="false" customHeight="false" outlineLevel="0" collapsed="false">
      <c r="A1110" s="35" t="s">
        <v>3558</v>
      </c>
      <c r="B1110" s="35" t="s">
        <v>3559</v>
      </c>
      <c r="C1110" s="35" t="s">
        <v>48</v>
      </c>
      <c r="D1110" s="35" t="s">
        <v>107</v>
      </c>
      <c r="E1110" s="35" t="s">
        <v>1139</v>
      </c>
      <c r="F1110" s="35"/>
      <c r="G1110" s="35" t="s">
        <v>685</v>
      </c>
      <c r="H1110" s="35" t="s">
        <v>61</v>
      </c>
      <c r="I1110" s="4"/>
    </row>
    <row r="1111" customFormat="false" ht="15" hidden="false" customHeight="false" outlineLevel="0" collapsed="false">
      <c r="A1111" s="35" t="s">
        <v>3560</v>
      </c>
      <c r="B1111" s="35" t="s">
        <v>3561</v>
      </c>
      <c r="C1111" s="35" t="s">
        <v>48</v>
      </c>
      <c r="D1111" s="35" t="s">
        <v>53</v>
      </c>
      <c r="E1111" s="35"/>
      <c r="F1111" s="35" t="s">
        <v>1544</v>
      </c>
      <c r="G1111" s="35" t="s">
        <v>433</v>
      </c>
      <c r="H1111" s="35" t="s">
        <v>61</v>
      </c>
      <c r="I1111" s="4"/>
    </row>
    <row r="1112" customFormat="false" ht="15" hidden="false" customHeight="false" outlineLevel="0" collapsed="false">
      <c r="A1112" s="35" t="s">
        <v>3562</v>
      </c>
      <c r="B1112" s="35" t="s">
        <v>3563</v>
      </c>
      <c r="C1112" s="35" t="s">
        <v>48</v>
      </c>
      <c r="D1112" s="35" t="s">
        <v>57</v>
      </c>
      <c r="E1112" s="35" t="s">
        <v>914</v>
      </c>
      <c r="F1112" s="35"/>
      <c r="G1112" s="35" t="s">
        <v>49</v>
      </c>
      <c r="H1112" s="35" t="s">
        <v>49</v>
      </c>
      <c r="I1112" s="4"/>
    </row>
    <row r="1113" customFormat="false" ht="15" hidden="false" customHeight="false" outlineLevel="0" collapsed="false">
      <c r="A1113" s="35" t="s">
        <v>3564</v>
      </c>
      <c r="B1113" s="35" t="s">
        <v>3565</v>
      </c>
      <c r="C1113" s="35" t="s">
        <v>48</v>
      </c>
      <c r="D1113" s="35" t="s">
        <v>57</v>
      </c>
      <c r="E1113" s="35" t="s">
        <v>914</v>
      </c>
      <c r="F1113" s="35"/>
      <c r="G1113" s="35" t="s">
        <v>545</v>
      </c>
      <c r="H1113" s="35" t="s">
        <v>369</v>
      </c>
      <c r="I1113" s="4"/>
    </row>
    <row r="1114" customFormat="false" ht="15" hidden="false" customHeight="false" outlineLevel="0" collapsed="false">
      <c r="A1114" s="35" t="s">
        <v>3566</v>
      </c>
      <c r="B1114" s="35" t="s">
        <v>3567</v>
      </c>
      <c r="C1114" s="35" t="s">
        <v>48</v>
      </c>
      <c r="D1114" s="35" t="s">
        <v>57</v>
      </c>
      <c r="E1114" s="35" t="s">
        <v>914</v>
      </c>
      <c r="F1114" s="35"/>
      <c r="G1114" s="35" t="s">
        <v>545</v>
      </c>
      <c r="H1114" s="35" t="s">
        <v>369</v>
      </c>
      <c r="I1114" s="4"/>
    </row>
    <row r="1115" customFormat="false" ht="15" hidden="false" customHeight="false" outlineLevel="0" collapsed="false">
      <c r="A1115" s="35" t="s">
        <v>3568</v>
      </c>
      <c r="B1115" s="35" t="s">
        <v>3569</v>
      </c>
      <c r="C1115" s="35" t="s">
        <v>48</v>
      </c>
      <c r="D1115" s="35" t="s">
        <v>53</v>
      </c>
      <c r="E1115" s="35"/>
      <c r="F1115" s="35"/>
      <c r="G1115" s="35" t="s">
        <v>524</v>
      </c>
      <c r="H1115" s="35" t="s">
        <v>61</v>
      </c>
      <c r="I1115" s="4"/>
    </row>
    <row r="1116" customFormat="false" ht="15" hidden="false" customHeight="false" outlineLevel="0" collapsed="false">
      <c r="A1116" s="35" t="s">
        <v>3570</v>
      </c>
      <c r="B1116" s="35" t="s">
        <v>3571</v>
      </c>
      <c r="C1116" s="35" t="s">
        <v>48</v>
      </c>
      <c r="D1116" s="35" t="s">
        <v>107</v>
      </c>
      <c r="E1116" s="35" t="s">
        <v>914</v>
      </c>
      <c r="F1116" s="35"/>
      <c r="G1116" s="35" t="s">
        <v>49</v>
      </c>
      <c r="H1116" s="35" t="s">
        <v>49</v>
      </c>
      <c r="I1116" s="4"/>
    </row>
    <row r="1117" customFormat="false" ht="15" hidden="false" customHeight="false" outlineLevel="0" collapsed="false">
      <c r="A1117" s="35" t="s">
        <v>3572</v>
      </c>
      <c r="B1117" s="35" t="s">
        <v>3573</v>
      </c>
      <c r="C1117" s="35" t="s">
        <v>48</v>
      </c>
      <c r="D1117" s="35" t="s">
        <v>146</v>
      </c>
      <c r="E1117" s="35"/>
      <c r="F1117" s="35"/>
      <c r="G1117" s="35" t="s">
        <v>545</v>
      </c>
      <c r="H1117" s="35" t="s">
        <v>369</v>
      </c>
      <c r="I1117" s="4"/>
    </row>
    <row r="1118" customFormat="false" ht="15" hidden="false" customHeight="false" outlineLevel="0" collapsed="false">
      <c r="A1118" s="35" t="s">
        <v>3574</v>
      </c>
      <c r="B1118" s="35" t="s">
        <v>3575</v>
      </c>
      <c r="C1118" s="35" t="s">
        <v>48</v>
      </c>
      <c r="D1118" s="35" t="s">
        <v>146</v>
      </c>
      <c r="E1118" s="35"/>
      <c r="F1118" s="35"/>
      <c r="G1118" s="35" t="s">
        <v>545</v>
      </c>
      <c r="H1118" s="35" t="s">
        <v>369</v>
      </c>
      <c r="I1118" s="4"/>
    </row>
    <row r="1119" customFormat="false" ht="15" hidden="false" customHeight="false" outlineLevel="0" collapsed="false">
      <c r="A1119" s="35" t="s">
        <v>3576</v>
      </c>
      <c r="B1119" s="35" t="s">
        <v>3577</v>
      </c>
      <c r="C1119" s="35" t="s">
        <v>48</v>
      </c>
      <c r="D1119" s="35" t="s">
        <v>146</v>
      </c>
      <c r="E1119" s="35"/>
      <c r="F1119" s="35"/>
      <c r="G1119" s="35" t="s">
        <v>545</v>
      </c>
      <c r="H1119" s="35" t="s">
        <v>369</v>
      </c>
      <c r="I1119" s="4"/>
    </row>
    <row r="1120" customFormat="false" ht="15" hidden="false" customHeight="false" outlineLevel="0" collapsed="false">
      <c r="A1120" s="35" t="s">
        <v>3578</v>
      </c>
      <c r="B1120" s="35" t="s">
        <v>3579</v>
      </c>
      <c r="C1120" s="35" t="s">
        <v>48</v>
      </c>
      <c r="D1120" s="35" t="s">
        <v>146</v>
      </c>
      <c r="E1120" s="35"/>
      <c r="F1120" s="35"/>
      <c r="G1120" s="35" t="s">
        <v>545</v>
      </c>
      <c r="H1120" s="35" t="s">
        <v>369</v>
      </c>
      <c r="I1120" s="4"/>
    </row>
    <row r="1121" customFormat="false" ht="15" hidden="false" customHeight="false" outlineLevel="0" collapsed="false">
      <c r="A1121" s="35" t="s">
        <v>3580</v>
      </c>
      <c r="B1121" s="35" t="s">
        <v>3581</v>
      </c>
      <c r="C1121" s="35" t="s">
        <v>48</v>
      </c>
      <c r="D1121" s="35" t="s">
        <v>107</v>
      </c>
      <c r="E1121" s="35" t="s">
        <v>916</v>
      </c>
      <c r="F1121" s="35"/>
      <c r="G1121" s="35" t="s">
        <v>524</v>
      </c>
      <c r="H1121" s="35" t="s">
        <v>61</v>
      </c>
      <c r="I1121" s="4"/>
    </row>
    <row r="1122" customFormat="false" ht="15" hidden="false" customHeight="false" outlineLevel="0" collapsed="false">
      <c r="A1122" s="35" t="s">
        <v>3582</v>
      </c>
      <c r="B1122" s="35" t="s">
        <v>3583</v>
      </c>
      <c r="C1122" s="35" t="s">
        <v>48</v>
      </c>
      <c r="D1122" s="35" t="s">
        <v>107</v>
      </c>
      <c r="E1122" s="35" t="s">
        <v>916</v>
      </c>
      <c r="F1122" s="35"/>
      <c r="G1122" s="35" t="s">
        <v>524</v>
      </c>
      <c r="H1122" s="35" t="s">
        <v>369</v>
      </c>
      <c r="I1122" s="4"/>
    </row>
    <row r="1123" customFormat="false" ht="15" hidden="false" customHeight="false" outlineLevel="0" collapsed="false">
      <c r="A1123" s="35" t="s">
        <v>3584</v>
      </c>
      <c r="B1123" s="35" t="s">
        <v>3585</v>
      </c>
      <c r="C1123" s="35" t="s">
        <v>48</v>
      </c>
      <c r="D1123" s="35" t="s">
        <v>107</v>
      </c>
      <c r="E1123" s="35" t="s">
        <v>916</v>
      </c>
      <c r="F1123" s="35"/>
      <c r="G1123" s="35" t="s">
        <v>524</v>
      </c>
      <c r="H1123" s="35" t="s">
        <v>61</v>
      </c>
      <c r="I1123" s="4"/>
    </row>
    <row r="1124" customFormat="false" ht="15" hidden="false" customHeight="false" outlineLevel="0" collapsed="false">
      <c r="A1124" s="35" t="s">
        <v>3586</v>
      </c>
      <c r="B1124" s="35" t="s">
        <v>3587</v>
      </c>
      <c r="C1124" s="35" t="s">
        <v>48</v>
      </c>
      <c r="D1124" s="35" t="s">
        <v>107</v>
      </c>
      <c r="E1124" s="35" t="s">
        <v>916</v>
      </c>
      <c r="F1124" s="35"/>
      <c r="G1124" s="35" t="s">
        <v>524</v>
      </c>
      <c r="H1124" s="35" t="s">
        <v>61</v>
      </c>
      <c r="I1124" s="4"/>
    </row>
    <row r="1125" customFormat="false" ht="15" hidden="false" customHeight="false" outlineLevel="0" collapsed="false">
      <c r="A1125" s="35" t="s">
        <v>3588</v>
      </c>
      <c r="B1125" s="35" t="s">
        <v>3589</v>
      </c>
      <c r="C1125" s="35" t="s">
        <v>48</v>
      </c>
      <c r="D1125" s="35" t="s">
        <v>53</v>
      </c>
      <c r="E1125" s="35"/>
      <c r="F1125" s="35"/>
      <c r="G1125" s="35" t="s">
        <v>524</v>
      </c>
      <c r="H1125" s="35" t="s">
        <v>61</v>
      </c>
      <c r="I1125" s="4"/>
    </row>
    <row r="1126" customFormat="false" ht="15" hidden="false" customHeight="false" outlineLevel="0" collapsed="false">
      <c r="A1126" s="35" t="s">
        <v>3590</v>
      </c>
      <c r="B1126" s="35" t="s">
        <v>3591</v>
      </c>
      <c r="C1126" s="35" t="s">
        <v>48</v>
      </c>
      <c r="D1126" s="35" t="s">
        <v>107</v>
      </c>
      <c r="E1126" s="35" t="s">
        <v>936</v>
      </c>
      <c r="F1126" s="35"/>
      <c r="G1126" s="35" t="s">
        <v>328</v>
      </c>
      <c r="H1126" s="35" t="s">
        <v>61</v>
      </c>
      <c r="I1126" s="4"/>
    </row>
    <row r="1127" customFormat="false" ht="15" hidden="false" customHeight="false" outlineLevel="0" collapsed="false">
      <c r="A1127" s="35" t="s">
        <v>1497</v>
      </c>
      <c r="B1127" s="35" t="s">
        <v>3592</v>
      </c>
      <c r="C1127" s="35" t="s">
        <v>48</v>
      </c>
      <c r="D1127" s="35" t="s">
        <v>107</v>
      </c>
      <c r="E1127" s="35" t="s">
        <v>1496</v>
      </c>
      <c r="F1127" s="35" t="s">
        <v>3593</v>
      </c>
      <c r="G1127" s="35" t="s">
        <v>524</v>
      </c>
      <c r="H1127" s="35" t="s">
        <v>61</v>
      </c>
      <c r="I1127" s="4"/>
    </row>
    <row r="1128" customFormat="false" ht="15" hidden="false" customHeight="false" outlineLevel="0" collapsed="false">
      <c r="A1128" s="35" t="s">
        <v>1493</v>
      </c>
      <c r="B1128" s="35" t="s">
        <v>3594</v>
      </c>
      <c r="C1128" s="35" t="s">
        <v>48</v>
      </c>
      <c r="D1128" s="35" t="s">
        <v>107</v>
      </c>
      <c r="E1128" s="35" t="s">
        <v>1492</v>
      </c>
      <c r="F1128" s="35" t="s">
        <v>3595</v>
      </c>
      <c r="G1128" s="35" t="s">
        <v>524</v>
      </c>
      <c r="H1128" s="35" t="s">
        <v>61</v>
      </c>
      <c r="I1128" s="4"/>
    </row>
    <row r="1129" customFormat="false" ht="15" hidden="false" customHeight="false" outlineLevel="0" collapsed="false">
      <c r="A1129" s="35" t="s">
        <v>3596</v>
      </c>
      <c r="B1129" s="35" t="s">
        <v>3597</v>
      </c>
      <c r="C1129" s="35" t="s">
        <v>48</v>
      </c>
      <c r="D1129" s="35" t="s">
        <v>107</v>
      </c>
      <c r="E1129" s="35" t="s">
        <v>729</v>
      </c>
      <c r="F1129" s="35"/>
      <c r="G1129" s="35" t="s">
        <v>328</v>
      </c>
      <c r="H1129" s="35" t="s">
        <v>61</v>
      </c>
      <c r="I1129" s="4"/>
    </row>
    <row r="1130" customFormat="false" ht="15" hidden="false" customHeight="false" outlineLevel="0" collapsed="false">
      <c r="A1130" s="35" t="s">
        <v>1499</v>
      </c>
      <c r="B1130" s="35" t="s">
        <v>3598</v>
      </c>
      <c r="C1130" s="35" t="s">
        <v>48</v>
      </c>
      <c r="D1130" s="35" t="s">
        <v>57</v>
      </c>
      <c r="E1130" s="35" t="s">
        <v>1498</v>
      </c>
      <c r="F1130" s="35"/>
      <c r="G1130" s="35" t="s">
        <v>735</v>
      </c>
      <c r="H1130" s="35" t="s">
        <v>61</v>
      </c>
      <c r="I1130" s="4"/>
    </row>
    <row r="1131" customFormat="false" ht="15" hidden="false" customHeight="false" outlineLevel="0" collapsed="false">
      <c r="A1131" s="35" t="s">
        <v>3599</v>
      </c>
      <c r="B1131" s="35"/>
      <c r="C1131" s="35" t="s">
        <v>632</v>
      </c>
      <c r="D1131" s="35" t="s">
        <v>447</v>
      </c>
      <c r="E1131" s="35"/>
      <c r="F1131" s="35"/>
      <c r="G1131" s="35" t="s">
        <v>421</v>
      </c>
      <c r="H1131" s="35" t="s">
        <v>61</v>
      </c>
      <c r="I1131" s="4"/>
    </row>
    <row r="1132" customFormat="false" ht="15" hidden="false" customHeight="false" outlineLevel="0" collapsed="false">
      <c r="A1132" s="35" t="s">
        <v>3600</v>
      </c>
      <c r="B1132" s="35"/>
      <c r="C1132" s="35" t="s">
        <v>632</v>
      </c>
      <c r="D1132" s="35" t="s">
        <v>53</v>
      </c>
      <c r="E1132" s="35"/>
      <c r="F1132" s="35"/>
      <c r="G1132" s="35" t="s">
        <v>421</v>
      </c>
      <c r="H1132" s="35" t="s">
        <v>61</v>
      </c>
      <c r="I1132" s="4"/>
    </row>
    <row r="1133" customFormat="false" ht="15" hidden="false" customHeight="false" outlineLevel="0" collapsed="false">
      <c r="A1133" s="35" t="s">
        <v>3601</v>
      </c>
      <c r="B1133" s="35"/>
      <c r="C1133" s="35" t="s">
        <v>632</v>
      </c>
      <c r="D1133" s="35" t="s">
        <v>146</v>
      </c>
      <c r="E1133" s="35"/>
      <c r="F1133" s="35"/>
      <c r="G1133" s="35" t="s">
        <v>421</v>
      </c>
      <c r="H1133" s="35" t="s">
        <v>61</v>
      </c>
      <c r="I1133" s="4"/>
    </row>
    <row r="1134" customFormat="false" ht="15" hidden="false" customHeight="false" outlineLevel="0" collapsed="false">
      <c r="A1134" s="35" t="s">
        <v>3602</v>
      </c>
      <c r="B1134" s="35"/>
      <c r="C1134" s="35" t="s">
        <v>632</v>
      </c>
      <c r="D1134" s="35" t="s">
        <v>53</v>
      </c>
      <c r="E1134" s="35"/>
      <c r="F1134" s="35" t="s">
        <v>2022</v>
      </c>
      <c r="G1134" s="35" t="s">
        <v>421</v>
      </c>
      <c r="H1134" s="35" t="s">
        <v>61</v>
      </c>
      <c r="I1134" s="4"/>
    </row>
    <row r="1135" customFormat="false" ht="15" hidden="false" customHeight="false" outlineLevel="0" collapsed="false">
      <c r="A1135" s="35" t="s">
        <v>3603</v>
      </c>
      <c r="B1135" s="35"/>
      <c r="C1135" s="35" t="s">
        <v>632</v>
      </c>
      <c r="D1135" s="35" t="s">
        <v>57</v>
      </c>
      <c r="E1135" s="35" t="s">
        <v>247</v>
      </c>
      <c r="F1135" s="35" t="s">
        <v>3604</v>
      </c>
      <c r="G1135" s="35" t="s">
        <v>421</v>
      </c>
      <c r="H1135" s="35" t="s">
        <v>61</v>
      </c>
      <c r="I1135" s="4"/>
    </row>
    <row r="1136" customFormat="false" ht="15" hidden="false" customHeight="false" outlineLevel="0" collapsed="false">
      <c r="A1136" s="35" t="s">
        <v>3605</v>
      </c>
      <c r="B1136" s="35"/>
      <c r="C1136" s="35" t="s">
        <v>632</v>
      </c>
      <c r="D1136" s="35" t="s">
        <v>53</v>
      </c>
      <c r="E1136" s="35"/>
      <c r="F1136" s="35"/>
      <c r="G1136" s="35" t="s">
        <v>104</v>
      </c>
      <c r="H1136" s="35" t="s">
        <v>61</v>
      </c>
      <c r="I1136" s="4"/>
    </row>
    <row r="1137" customFormat="false" ht="15" hidden="false" customHeight="false" outlineLevel="0" collapsed="false">
      <c r="A1137" s="35" t="s">
        <v>3606</v>
      </c>
      <c r="B1137" s="35"/>
      <c r="C1137" s="35" t="s">
        <v>632</v>
      </c>
      <c r="D1137" s="35" t="s">
        <v>53</v>
      </c>
      <c r="E1137" s="35"/>
      <c r="F1137" s="35"/>
      <c r="G1137" s="35" t="s">
        <v>421</v>
      </c>
      <c r="H1137" s="35" t="s">
        <v>61</v>
      </c>
      <c r="I1137" s="4"/>
    </row>
    <row r="1138" customFormat="false" ht="15" hidden="false" customHeight="false" outlineLevel="0" collapsed="false">
      <c r="A1138" s="35" t="s">
        <v>3607</v>
      </c>
      <c r="B1138" s="35"/>
      <c r="C1138" s="35" t="s">
        <v>632</v>
      </c>
      <c r="D1138" s="35" t="s">
        <v>53</v>
      </c>
      <c r="E1138" s="35"/>
      <c r="F1138" s="35"/>
      <c r="G1138" s="35" t="s">
        <v>421</v>
      </c>
      <c r="H1138" s="35" t="s">
        <v>61</v>
      </c>
      <c r="I1138" s="4"/>
    </row>
    <row r="1139" customFormat="false" ht="15" hidden="false" customHeight="false" outlineLevel="0" collapsed="false">
      <c r="A1139" s="35" t="s">
        <v>3608</v>
      </c>
      <c r="B1139" s="35" t="s">
        <v>3609</v>
      </c>
      <c r="C1139" s="35" t="s">
        <v>632</v>
      </c>
      <c r="D1139" s="35" t="s">
        <v>53</v>
      </c>
      <c r="E1139" s="35"/>
      <c r="F1139" s="35"/>
      <c r="G1139" s="35" t="s">
        <v>104</v>
      </c>
      <c r="H1139" s="35" t="s">
        <v>61</v>
      </c>
      <c r="I1139" s="4"/>
    </row>
    <row r="1140" customFormat="false" ht="15" hidden="false" customHeight="false" outlineLevel="0" collapsed="false">
      <c r="A1140" s="35" t="s">
        <v>3610</v>
      </c>
      <c r="B1140" s="35"/>
      <c r="C1140" s="35" t="s">
        <v>632</v>
      </c>
      <c r="D1140" s="35" t="s">
        <v>57</v>
      </c>
      <c r="E1140" s="35" t="s">
        <v>1211</v>
      </c>
      <c r="F1140" s="35"/>
      <c r="G1140" s="35" t="s">
        <v>421</v>
      </c>
      <c r="H1140" s="35" t="s">
        <v>61</v>
      </c>
      <c r="I1140" s="4"/>
    </row>
    <row r="1141" customFormat="false" ht="15" hidden="false" customHeight="false" outlineLevel="0" collapsed="false">
      <c r="A1141" s="35" t="s">
        <v>3611</v>
      </c>
      <c r="B1141" s="35"/>
      <c r="C1141" s="35" t="s">
        <v>632</v>
      </c>
      <c r="D1141" s="35" t="s">
        <v>53</v>
      </c>
      <c r="E1141" s="35"/>
      <c r="F1141" s="35"/>
      <c r="G1141" s="35" t="s">
        <v>421</v>
      </c>
      <c r="H1141" s="35" t="s">
        <v>61</v>
      </c>
      <c r="I1141" s="4"/>
    </row>
    <row r="1142" customFormat="false" ht="15" hidden="false" customHeight="false" outlineLevel="0" collapsed="false">
      <c r="A1142" s="35" t="s">
        <v>3612</v>
      </c>
      <c r="B1142" s="35"/>
      <c r="C1142" s="35" t="s">
        <v>632</v>
      </c>
      <c r="D1142" s="35" t="s">
        <v>114</v>
      </c>
      <c r="E1142" s="35"/>
      <c r="F1142" s="35"/>
      <c r="G1142" s="35" t="s">
        <v>421</v>
      </c>
      <c r="H1142" s="35" t="s">
        <v>61</v>
      </c>
      <c r="I1142" s="4"/>
    </row>
    <row r="1143" customFormat="false" ht="15" hidden="false" customHeight="false" outlineLevel="0" collapsed="false">
      <c r="A1143" s="35" t="s">
        <v>3613</v>
      </c>
      <c r="B1143" s="35"/>
      <c r="C1143" s="35" t="s">
        <v>632</v>
      </c>
      <c r="D1143" s="35" t="s">
        <v>146</v>
      </c>
      <c r="E1143" s="35"/>
      <c r="F1143" s="35"/>
      <c r="G1143" s="35" t="s">
        <v>421</v>
      </c>
      <c r="H1143" s="35" t="s">
        <v>61</v>
      </c>
      <c r="I1143" s="4"/>
    </row>
    <row r="1144" customFormat="false" ht="15" hidden="false" customHeight="false" outlineLevel="0" collapsed="false">
      <c r="A1144" s="35" t="s">
        <v>3614</v>
      </c>
      <c r="B1144" s="35"/>
      <c r="C1144" s="35" t="s">
        <v>673</v>
      </c>
      <c r="D1144" s="35" t="s">
        <v>53</v>
      </c>
      <c r="E1144" s="35"/>
      <c r="F1144" s="35"/>
      <c r="G1144" s="35" t="s">
        <v>707</v>
      </c>
      <c r="H1144" s="35" t="s">
        <v>61</v>
      </c>
      <c r="I1144" s="4"/>
    </row>
    <row r="1145" customFormat="false" ht="15" hidden="false" customHeight="false" outlineLevel="0" collapsed="false">
      <c r="A1145" s="35" t="s">
        <v>1467</v>
      </c>
      <c r="B1145" s="35" t="s">
        <v>3615</v>
      </c>
      <c r="C1145" s="35" t="s">
        <v>48</v>
      </c>
      <c r="D1145" s="35" t="s">
        <v>57</v>
      </c>
      <c r="E1145" s="35" t="s">
        <v>1466</v>
      </c>
      <c r="F1145" s="35"/>
      <c r="G1145" s="35" t="s">
        <v>328</v>
      </c>
      <c r="H1145" s="35" t="s">
        <v>369</v>
      </c>
      <c r="I1145" s="4"/>
    </row>
    <row r="1146" customFormat="false" ht="15" hidden="false" customHeight="false" outlineLevel="0" collapsed="false">
      <c r="A1146" s="35" t="s">
        <v>3616</v>
      </c>
      <c r="B1146" s="35" t="s">
        <v>3617</v>
      </c>
      <c r="C1146" s="35" t="s">
        <v>48</v>
      </c>
      <c r="D1146" s="35" t="s">
        <v>57</v>
      </c>
      <c r="E1146" s="35" t="s">
        <v>888</v>
      </c>
      <c r="F1146" s="35"/>
      <c r="G1146" s="35" t="s">
        <v>87</v>
      </c>
      <c r="H1146" s="35" t="s">
        <v>61</v>
      </c>
      <c r="I1146" s="4"/>
    </row>
    <row r="1147" customFormat="false" ht="15" hidden="false" customHeight="false" outlineLevel="0" collapsed="false">
      <c r="A1147" s="35" t="s">
        <v>3618</v>
      </c>
      <c r="B1147" s="35" t="s">
        <v>3619</v>
      </c>
      <c r="C1147" s="35" t="s">
        <v>48</v>
      </c>
      <c r="D1147" s="35" t="s">
        <v>157</v>
      </c>
      <c r="E1147" s="35"/>
      <c r="F1147" s="35"/>
      <c r="G1147" s="35" t="s">
        <v>679</v>
      </c>
      <c r="H1147" s="35" t="s">
        <v>61</v>
      </c>
      <c r="I1147" s="4"/>
    </row>
    <row r="1148" customFormat="false" ht="15" hidden="false" customHeight="false" outlineLevel="0" collapsed="false">
      <c r="A1148" s="35" t="s">
        <v>3620</v>
      </c>
      <c r="B1148" s="35" t="s">
        <v>3620</v>
      </c>
      <c r="C1148" s="35" t="s">
        <v>48</v>
      </c>
      <c r="D1148" s="35" t="s">
        <v>157</v>
      </c>
      <c r="E1148" s="35"/>
      <c r="F1148" s="35"/>
      <c r="G1148" s="35" t="s">
        <v>679</v>
      </c>
      <c r="H1148" s="35" t="s">
        <v>61</v>
      </c>
      <c r="I1148" s="4"/>
    </row>
    <row r="1149" customFormat="false" ht="15" hidden="false" customHeight="false" outlineLevel="0" collapsed="false">
      <c r="A1149" s="35" t="s">
        <v>3621</v>
      </c>
      <c r="B1149" s="35" t="s">
        <v>3622</v>
      </c>
      <c r="C1149" s="35" t="s">
        <v>48</v>
      </c>
      <c r="D1149" s="35" t="s">
        <v>157</v>
      </c>
      <c r="E1149" s="35"/>
      <c r="F1149" s="35"/>
      <c r="G1149" s="35" t="s">
        <v>679</v>
      </c>
      <c r="H1149" s="35" t="s">
        <v>61</v>
      </c>
      <c r="I1149" s="4"/>
    </row>
    <row r="1150" customFormat="false" ht="15" hidden="false" customHeight="false" outlineLevel="0" collapsed="false">
      <c r="A1150" s="35" t="s">
        <v>3623</v>
      </c>
      <c r="B1150" s="35" t="s">
        <v>3623</v>
      </c>
      <c r="C1150" s="35" t="s">
        <v>48</v>
      </c>
      <c r="D1150" s="35" t="s">
        <v>57</v>
      </c>
      <c r="E1150" s="35" t="s">
        <v>883</v>
      </c>
      <c r="F1150" s="35"/>
      <c r="G1150" s="35" t="s">
        <v>679</v>
      </c>
      <c r="H1150" s="35" t="s">
        <v>61</v>
      </c>
      <c r="I1150" s="4"/>
    </row>
    <row r="1151" customFormat="false" ht="15" hidden="false" customHeight="false" outlineLevel="0" collapsed="false">
      <c r="A1151" s="35" t="s">
        <v>3624</v>
      </c>
      <c r="B1151" s="35" t="s">
        <v>3625</v>
      </c>
      <c r="C1151" s="35" t="s">
        <v>48</v>
      </c>
      <c r="D1151" s="35" t="s">
        <v>114</v>
      </c>
      <c r="E1151" s="35"/>
      <c r="F1151" s="35"/>
      <c r="G1151" s="35" t="s">
        <v>679</v>
      </c>
      <c r="H1151" s="35" t="s">
        <v>61</v>
      </c>
      <c r="I1151" s="4"/>
    </row>
    <row r="1152" customFormat="false" ht="15" hidden="false" customHeight="false" outlineLevel="0" collapsed="false">
      <c r="A1152" s="35" t="s">
        <v>3626</v>
      </c>
      <c r="B1152" s="35" t="s">
        <v>3627</v>
      </c>
      <c r="C1152" s="35" t="s">
        <v>48</v>
      </c>
      <c r="D1152" s="35" t="s">
        <v>114</v>
      </c>
      <c r="E1152" s="35"/>
      <c r="F1152" s="35"/>
      <c r="G1152" s="35" t="s">
        <v>679</v>
      </c>
      <c r="H1152" s="35" t="s">
        <v>61</v>
      </c>
      <c r="I1152" s="4"/>
    </row>
    <row r="1153" customFormat="false" ht="15" hidden="false" customHeight="false" outlineLevel="0" collapsed="false">
      <c r="A1153" s="35" t="s">
        <v>3628</v>
      </c>
      <c r="B1153" s="35" t="s">
        <v>3629</v>
      </c>
      <c r="C1153" s="35" t="s">
        <v>48</v>
      </c>
      <c r="D1153" s="35" t="s">
        <v>57</v>
      </c>
      <c r="E1153" s="35" t="s">
        <v>297</v>
      </c>
      <c r="F1153" s="35"/>
      <c r="G1153" s="35" t="s">
        <v>679</v>
      </c>
      <c r="H1153" s="35" t="s">
        <v>61</v>
      </c>
      <c r="I1153" s="4"/>
    </row>
    <row r="1154" customFormat="false" ht="15" hidden="false" customHeight="false" outlineLevel="0" collapsed="false">
      <c r="A1154" s="35" t="s">
        <v>3630</v>
      </c>
      <c r="B1154" s="35" t="s">
        <v>3630</v>
      </c>
      <c r="C1154" s="35" t="s">
        <v>48</v>
      </c>
      <c r="D1154" s="35" t="s">
        <v>53</v>
      </c>
      <c r="E1154" s="35"/>
      <c r="F1154" s="35"/>
      <c r="G1154" s="35" t="s">
        <v>679</v>
      </c>
      <c r="H1154" s="35" t="s">
        <v>61</v>
      </c>
      <c r="I1154" s="4"/>
    </row>
    <row r="1155" customFormat="false" ht="15" hidden="false" customHeight="false" outlineLevel="0" collapsed="false">
      <c r="A1155" s="35" t="s">
        <v>3631</v>
      </c>
      <c r="B1155" s="35" t="s">
        <v>3632</v>
      </c>
      <c r="C1155" s="35" t="s">
        <v>48</v>
      </c>
      <c r="D1155" s="35" t="s">
        <v>114</v>
      </c>
      <c r="E1155" s="35"/>
      <c r="F1155" s="35"/>
      <c r="G1155" s="35" t="s">
        <v>679</v>
      </c>
      <c r="H1155" s="35" t="s">
        <v>61</v>
      </c>
      <c r="I1155" s="4"/>
    </row>
    <row r="1156" customFormat="false" ht="15" hidden="false" customHeight="false" outlineLevel="0" collapsed="false">
      <c r="A1156" s="35" t="s">
        <v>3633</v>
      </c>
      <c r="B1156" s="35" t="s">
        <v>3634</v>
      </c>
      <c r="C1156" s="35" t="s">
        <v>48</v>
      </c>
      <c r="D1156" s="35" t="s">
        <v>107</v>
      </c>
      <c r="E1156" s="35" t="s">
        <v>1131</v>
      </c>
      <c r="F1156" s="35"/>
      <c r="G1156" s="35" t="s">
        <v>679</v>
      </c>
      <c r="H1156" s="35" t="s">
        <v>61</v>
      </c>
      <c r="I1156" s="4"/>
    </row>
    <row r="1157" customFormat="false" ht="15" hidden="false" customHeight="false" outlineLevel="0" collapsed="false">
      <c r="A1157" s="35" t="s">
        <v>3635</v>
      </c>
      <c r="B1157" s="35" t="s">
        <v>3636</v>
      </c>
      <c r="C1157" s="35" t="s">
        <v>48</v>
      </c>
      <c r="D1157" s="35" t="s">
        <v>114</v>
      </c>
      <c r="E1157" s="35"/>
      <c r="F1157" s="35"/>
      <c r="G1157" s="35" t="s">
        <v>679</v>
      </c>
      <c r="H1157" s="35" t="s">
        <v>61</v>
      </c>
      <c r="I1157" s="4"/>
    </row>
    <row r="1158" customFormat="false" ht="15" hidden="false" customHeight="false" outlineLevel="0" collapsed="false">
      <c r="A1158" s="35" t="s">
        <v>3637</v>
      </c>
      <c r="B1158" s="35" t="s">
        <v>3638</v>
      </c>
      <c r="C1158" s="35" t="s">
        <v>48</v>
      </c>
      <c r="D1158" s="35" t="s">
        <v>114</v>
      </c>
      <c r="E1158" s="35"/>
      <c r="F1158" s="35"/>
      <c r="G1158" s="35" t="s">
        <v>49</v>
      </c>
      <c r="H1158" s="35" t="s">
        <v>49</v>
      </c>
      <c r="I1158" s="4"/>
    </row>
    <row r="1159" customFormat="false" ht="15" hidden="false" customHeight="false" outlineLevel="0" collapsed="false">
      <c r="A1159" s="35" t="s">
        <v>3639</v>
      </c>
      <c r="B1159" s="35" t="s">
        <v>3640</v>
      </c>
      <c r="C1159" s="35" t="s">
        <v>48</v>
      </c>
      <c r="D1159" s="35" t="s">
        <v>107</v>
      </c>
      <c r="E1159" s="35" t="s">
        <v>1131</v>
      </c>
      <c r="F1159" s="35"/>
      <c r="G1159" s="35" t="s">
        <v>679</v>
      </c>
      <c r="H1159" s="35" t="s">
        <v>61</v>
      </c>
      <c r="I1159" s="4"/>
    </row>
    <row r="1160" customFormat="false" ht="15" hidden="false" customHeight="false" outlineLevel="0" collapsed="false">
      <c r="A1160" s="35" t="s">
        <v>3641</v>
      </c>
      <c r="B1160" s="35" t="s">
        <v>3642</v>
      </c>
      <c r="C1160" s="35" t="s">
        <v>48</v>
      </c>
      <c r="D1160" s="35" t="s">
        <v>157</v>
      </c>
      <c r="E1160" s="35"/>
      <c r="F1160" s="35"/>
      <c r="G1160" s="35" t="s">
        <v>679</v>
      </c>
      <c r="H1160" s="35" t="s">
        <v>61</v>
      </c>
      <c r="I1160" s="4"/>
    </row>
    <row r="1161" customFormat="false" ht="15" hidden="false" customHeight="false" outlineLevel="0" collapsed="false">
      <c r="A1161" s="35" t="s">
        <v>3643</v>
      </c>
      <c r="B1161" s="35" t="s">
        <v>3644</v>
      </c>
      <c r="C1161" s="35" t="s">
        <v>48</v>
      </c>
      <c r="D1161" s="35" t="s">
        <v>157</v>
      </c>
      <c r="E1161" s="35"/>
      <c r="F1161" s="35"/>
      <c r="G1161" s="35" t="s">
        <v>679</v>
      </c>
      <c r="H1161" s="35" t="s">
        <v>61</v>
      </c>
      <c r="I1161" s="4"/>
    </row>
    <row r="1162" customFormat="false" ht="15" hidden="false" customHeight="false" outlineLevel="0" collapsed="false">
      <c r="A1162" s="35" t="s">
        <v>3645</v>
      </c>
      <c r="B1162" s="35" t="s">
        <v>3646</v>
      </c>
      <c r="C1162" s="35" t="s">
        <v>48</v>
      </c>
      <c r="D1162" s="35" t="s">
        <v>114</v>
      </c>
      <c r="E1162" s="35"/>
      <c r="F1162" s="35"/>
      <c r="G1162" s="35" t="s">
        <v>679</v>
      </c>
      <c r="H1162" s="35" t="s">
        <v>61</v>
      </c>
      <c r="I1162" s="4"/>
    </row>
    <row r="1163" customFormat="false" ht="15" hidden="false" customHeight="false" outlineLevel="0" collapsed="false">
      <c r="A1163" s="35" t="s">
        <v>3647</v>
      </c>
      <c r="B1163" s="35" t="s">
        <v>3648</v>
      </c>
      <c r="C1163" s="35" t="s">
        <v>48</v>
      </c>
      <c r="D1163" s="35" t="s">
        <v>157</v>
      </c>
      <c r="E1163" s="35"/>
      <c r="F1163" s="35"/>
      <c r="G1163" s="35" t="s">
        <v>679</v>
      </c>
      <c r="H1163" s="35" t="s">
        <v>61</v>
      </c>
      <c r="I1163" s="4"/>
    </row>
    <row r="1164" customFormat="false" ht="15" hidden="false" customHeight="false" outlineLevel="0" collapsed="false">
      <c r="A1164" s="35" t="s">
        <v>3649</v>
      </c>
      <c r="B1164" s="35" t="s">
        <v>3650</v>
      </c>
      <c r="C1164" s="35" t="s">
        <v>48</v>
      </c>
      <c r="D1164" s="35" t="s">
        <v>157</v>
      </c>
      <c r="E1164" s="35"/>
      <c r="F1164" s="35"/>
      <c r="G1164" s="35" t="s">
        <v>679</v>
      </c>
      <c r="H1164" s="35" t="s">
        <v>61</v>
      </c>
      <c r="I1164" s="4"/>
    </row>
    <row r="1165" customFormat="false" ht="15" hidden="false" customHeight="false" outlineLevel="0" collapsed="false">
      <c r="A1165" s="35" t="s">
        <v>3651</v>
      </c>
      <c r="B1165" s="35" t="s">
        <v>3652</v>
      </c>
      <c r="C1165" s="35" t="s">
        <v>48</v>
      </c>
      <c r="D1165" s="35" t="s">
        <v>157</v>
      </c>
      <c r="E1165" s="35"/>
      <c r="F1165" s="35"/>
      <c r="G1165" s="35" t="s">
        <v>679</v>
      </c>
      <c r="H1165" s="35" t="s">
        <v>61</v>
      </c>
      <c r="I1165" s="4"/>
    </row>
    <row r="1166" customFormat="false" ht="15" hidden="false" customHeight="false" outlineLevel="0" collapsed="false">
      <c r="A1166" s="35" t="s">
        <v>3653</v>
      </c>
      <c r="B1166" s="35" t="s">
        <v>3654</v>
      </c>
      <c r="C1166" s="35" t="s">
        <v>48</v>
      </c>
      <c r="D1166" s="35" t="s">
        <v>157</v>
      </c>
      <c r="E1166" s="35"/>
      <c r="F1166" s="35"/>
      <c r="G1166" s="35" t="s">
        <v>679</v>
      </c>
      <c r="H1166" s="35" t="s">
        <v>61</v>
      </c>
      <c r="I1166" s="4"/>
    </row>
    <row r="1167" customFormat="false" ht="15" hidden="false" customHeight="false" outlineLevel="0" collapsed="false">
      <c r="A1167" s="35" t="s">
        <v>3655</v>
      </c>
      <c r="B1167" s="35" t="s">
        <v>3656</v>
      </c>
      <c r="C1167" s="35" t="s">
        <v>48</v>
      </c>
      <c r="D1167" s="35" t="s">
        <v>114</v>
      </c>
      <c r="E1167" s="35"/>
      <c r="F1167" s="35"/>
      <c r="G1167" s="35" t="s">
        <v>679</v>
      </c>
      <c r="H1167" s="35" t="s">
        <v>61</v>
      </c>
      <c r="I1167" s="4"/>
    </row>
    <row r="1168" customFormat="false" ht="15" hidden="false" customHeight="false" outlineLevel="0" collapsed="false">
      <c r="A1168" s="35" t="s">
        <v>3657</v>
      </c>
      <c r="B1168" s="35" t="s">
        <v>3657</v>
      </c>
      <c r="C1168" s="35" t="s">
        <v>48</v>
      </c>
      <c r="D1168" s="35" t="s">
        <v>157</v>
      </c>
      <c r="E1168" s="35"/>
      <c r="F1168" s="35"/>
      <c r="G1168" s="35" t="s">
        <v>679</v>
      </c>
      <c r="H1168" s="35" t="s">
        <v>61</v>
      </c>
      <c r="I1168" s="4"/>
    </row>
    <row r="1169" customFormat="false" ht="15" hidden="false" customHeight="false" outlineLevel="0" collapsed="false">
      <c r="A1169" s="35" t="s">
        <v>3658</v>
      </c>
      <c r="B1169" s="35" t="s">
        <v>3659</v>
      </c>
      <c r="C1169" s="35" t="s">
        <v>48</v>
      </c>
      <c r="D1169" s="35" t="s">
        <v>114</v>
      </c>
      <c r="E1169" s="35"/>
      <c r="F1169" s="35"/>
      <c r="G1169" s="35" t="s">
        <v>679</v>
      </c>
      <c r="H1169" s="35" t="s">
        <v>61</v>
      </c>
      <c r="I1169" s="4"/>
    </row>
    <row r="1170" customFormat="false" ht="15" hidden="false" customHeight="false" outlineLevel="0" collapsed="false">
      <c r="A1170" s="35" t="s">
        <v>3660</v>
      </c>
      <c r="B1170" s="35" t="s">
        <v>3661</v>
      </c>
      <c r="C1170" s="35" t="s">
        <v>48</v>
      </c>
      <c r="D1170" s="35" t="s">
        <v>157</v>
      </c>
      <c r="E1170" s="35"/>
      <c r="F1170" s="35"/>
      <c r="G1170" s="35" t="s">
        <v>679</v>
      </c>
      <c r="H1170" s="35" t="s">
        <v>61</v>
      </c>
      <c r="I1170" s="4"/>
    </row>
    <row r="1171" customFormat="false" ht="15" hidden="false" customHeight="false" outlineLevel="0" collapsed="false">
      <c r="A1171" s="35" t="s">
        <v>3662</v>
      </c>
      <c r="B1171" s="35" t="s">
        <v>3663</v>
      </c>
      <c r="C1171" s="35" t="s">
        <v>48</v>
      </c>
      <c r="D1171" s="35" t="s">
        <v>447</v>
      </c>
      <c r="E1171" s="35"/>
      <c r="F1171" s="35"/>
      <c r="G1171" s="35" t="s">
        <v>679</v>
      </c>
      <c r="H1171" s="35" t="s">
        <v>61</v>
      </c>
      <c r="I1171" s="4"/>
    </row>
    <row r="1172" customFormat="false" ht="15" hidden="false" customHeight="false" outlineLevel="0" collapsed="false">
      <c r="A1172" s="35" t="s">
        <v>3664</v>
      </c>
      <c r="B1172" s="35" t="s">
        <v>3664</v>
      </c>
      <c r="C1172" s="35" t="s">
        <v>48</v>
      </c>
      <c r="D1172" s="35" t="s">
        <v>157</v>
      </c>
      <c r="E1172" s="35"/>
      <c r="F1172" s="35"/>
      <c r="G1172" s="35" t="s">
        <v>679</v>
      </c>
      <c r="H1172" s="35" t="s">
        <v>61</v>
      </c>
      <c r="I1172" s="4"/>
    </row>
    <row r="1173" customFormat="false" ht="15" hidden="false" customHeight="false" outlineLevel="0" collapsed="false">
      <c r="A1173" s="35" t="s">
        <v>3665</v>
      </c>
      <c r="B1173" s="35" t="s">
        <v>3666</v>
      </c>
      <c r="C1173" s="35" t="s">
        <v>48</v>
      </c>
      <c r="D1173" s="35" t="s">
        <v>447</v>
      </c>
      <c r="E1173" s="35"/>
      <c r="F1173" s="35"/>
      <c r="G1173" s="35" t="s">
        <v>679</v>
      </c>
      <c r="H1173" s="35" t="s">
        <v>61</v>
      </c>
      <c r="I1173" s="4"/>
    </row>
    <row r="1174" customFormat="false" ht="15" hidden="false" customHeight="false" outlineLevel="0" collapsed="false">
      <c r="A1174" s="35" t="s">
        <v>3667</v>
      </c>
      <c r="B1174" s="35" t="s">
        <v>3668</v>
      </c>
      <c r="C1174" s="35" t="s">
        <v>48</v>
      </c>
      <c r="D1174" s="35" t="s">
        <v>114</v>
      </c>
      <c r="E1174" s="35"/>
      <c r="F1174" s="35"/>
      <c r="G1174" s="35" t="s">
        <v>679</v>
      </c>
      <c r="H1174" s="35" t="s">
        <v>61</v>
      </c>
      <c r="I1174" s="4"/>
    </row>
    <row r="1175" customFormat="false" ht="15" hidden="false" customHeight="false" outlineLevel="0" collapsed="false">
      <c r="A1175" s="35" t="s">
        <v>3669</v>
      </c>
      <c r="B1175" s="35" t="s">
        <v>3670</v>
      </c>
      <c r="C1175" s="35" t="s">
        <v>48</v>
      </c>
      <c r="D1175" s="35" t="s">
        <v>114</v>
      </c>
      <c r="E1175" s="35"/>
      <c r="F1175" s="35"/>
      <c r="G1175" s="35" t="s">
        <v>679</v>
      </c>
      <c r="H1175" s="35" t="s">
        <v>61</v>
      </c>
      <c r="I1175" s="4"/>
    </row>
    <row r="1176" customFormat="false" ht="15" hidden="false" customHeight="false" outlineLevel="0" collapsed="false">
      <c r="A1176" s="35" t="s">
        <v>3671</v>
      </c>
      <c r="B1176" s="35" t="s">
        <v>3672</v>
      </c>
      <c r="C1176" s="35" t="s">
        <v>48</v>
      </c>
      <c r="D1176" s="35" t="s">
        <v>114</v>
      </c>
      <c r="E1176" s="35"/>
      <c r="F1176" s="35"/>
      <c r="G1176" s="35" t="s">
        <v>679</v>
      </c>
      <c r="H1176" s="35" t="s">
        <v>61</v>
      </c>
      <c r="I1176" s="4"/>
    </row>
    <row r="1177" customFormat="false" ht="15" hidden="false" customHeight="false" outlineLevel="0" collapsed="false">
      <c r="A1177" s="35" t="s">
        <v>3673</v>
      </c>
      <c r="B1177" s="35" t="s">
        <v>3673</v>
      </c>
      <c r="C1177" s="35" t="s">
        <v>48</v>
      </c>
      <c r="D1177" s="35" t="s">
        <v>57</v>
      </c>
      <c r="E1177" s="35" t="s">
        <v>883</v>
      </c>
      <c r="F1177" s="35"/>
      <c r="G1177" s="35" t="s">
        <v>679</v>
      </c>
      <c r="H1177" s="35" t="s">
        <v>61</v>
      </c>
      <c r="I1177" s="4"/>
    </row>
    <row r="1178" customFormat="false" ht="15" hidden="false" customHeight="false" outlineLevel="0" collapsed="false">
      <c r="A1178" s="35" t="s">
        <v>3674</v>
      </c>
      <c r="B1178" s="35" t="s">
        <v>3675</v>
      </c>
      <c r="C1178" s="35" t="s">
        <v>48</v>
      </c>
      <c r="D1178" s="35" t="s">
        <v>114</v>
      </c>
      <c r="E1178" s="35"/>
      <c r="F1178" s="35"/>
      <c r="G1178" s="35" t="s">
        <v>679</v>
      </c>
      <c r="H1178" s="35" t="s">
        <v>61</v>
      </c>
      <c r="I1178" s="4"/>
    </row>
    <row r="1179" customFormat="false" ht="15" hidden="false" customHeight="false" outlineLevel="0" collapsed="false">
      <c r="A1179" s="35" t="s">
        <v>3676</v>
      </c>
      <c r="B1179" s="35" t="s">
        <v>3677</v>
      </c>
      <c r="C1179" s="35" t="s">
        <v>48</v>
      </c>
      <c r="D1179" s="35" t="s">
        <v>114</v>
      </c>
      <c r="E1179" s="35"/>
      <c r="F1179" s="35"/>
      <c r="G1179" s="35" t="s">
        <v>679</v>
      </c>
      <c r="H1179" s="35" t="s">
        <v>61</v>
      </c>
      <c r="I1179" s="4"/>
    </row>
    <row r="1180" customFormat="false" ht="15" hidden="false" customHeight="false" outlineLevel="0" collapsed="false">
      <c r="A1180" s="35" t="s">
        <v>3678</v>
      </c>
      <c r="B1180" s="35" t="s">
        <v>3679</v>
      </c>
      <c r="C1180" s="35" t="s">
        <v>48</v>
      </c>
      <c r="D1180" s="35" t="s">
        <v>114</v>
      </c>
      <c r="E1180" s="35"/>
      <c r="F1180" s="35"/>
      <c r="G1180" s="35" t="s">
        <v>679</v>
      </c>
      <c r="H1180" s="35" t="s">
        <v>61</v>
      </c>
      <c r="I1180" s="4"/>
    </row>
    <row r="1181" customFormat="false" ht="15" hidden="false" customHeight="false" outlineLevel="0" collapsed="false">
      <c r="A1181" s="35" t="s">
        <v>3680</v>
      </c>
      <c r="B1181" s="35" t="s">
        <v>3680</v>
      </c>
      <c r="C1181" s="35" t="s">
        <v>48</v>
      </c>
      <c r="D1181" s="35" t="s">
        <v>146</v>
      </c>
      <c r="E1181" s="35"/>
      <c r="F1181" s="35"/>
      <c r="G1181" s="35" t="s">
        <v>679</v>
      </c>
      <c r="H1181" s="35" t="s">
        <v>61</v>
      </c>
      <c r="I1181" s="4"/>
    </row>
    <row r="1182" customFormat="false" ht="15" hidden="false" customHeight="false" outlineLevel="0" collapsed="false">
      <c r="A1182" s="35" t="s">
        <v>3681</v>
      </c>
      <c r="B1182" s="35" t="s">
        <v>3682</v>
      </c>
      <c r="C1182" s="35" t="s">
        <v>48</v>
      </c>
      <c r="D1182" s="35" t="s">
        <v>447</v>
      </c>
      <c r="E1182" s="35"/>
      <c r="F1182" s="35"/>
      <c r="G1182" s="35" t="s">
        <v>679</v>
      </c>
      <c r="H1182" s="35" t="s">
        <v>61</v>
      </c>
      <c r="I1182" s="4"/>
    </row>
    <row r="1183" customFormat="false" ht="15" hidden="false" customHeight="false" outlineLevel="0" collapsed="false">
      <c r="A1183" s="35" t="s">
        <v>3683</v>
      </c>
      <c r="B1183" s="35" t="s">
        <v>3684</v>
      </c>
      <c r="C1183" s="35" t="s">
        <v>48</v>
      </c>
      <c r="D1183" s="35" t="s">
        <v>447</v>
      </c>
      <c r="E1183" s="35"/>
      <c r="F1183" s="35"/>
      <c r="G1183" s="35" t="s">
        <v>679</v>
      </c>
      <c r="H1183" s="35" t="s">
        <v>61</v>
      </c>
      <c r="I1183" s="4"/>
    </row>
    <row r="1184" customFormat="false" ht="15" hidden="false" customHeight="false" outlineLevel="0" collapsed="false">
      <c r="A1184" s="35" t="s">
        <v>3685</v>
      </c>
      <c r="B1184" s="35" t="s">
        <v>3686</v>
      </c>
      <c r="C1184" s="35" t="s">
        <v>48</v>
      </c>
      <c r="D1184" s="35" t="s">
        <v>114</v>
      </c>
      <c r="E1184" s="35"/>
      <c r="F1184" s="35"/>
      <c r="G1184" s="35" t="s">
        <v>682</v>
      </c>
      <c r="H1184" s="35" t="s">
        <v>61</v>
      </c>
      <c r="I1184" s="4"/>
    </row>
    <row r="1185" customFormat="false" ht="15" hidden="false" customHeight="false" outlineLevel="0" collapsed="false">
      <c r="A1185" s="35" t="s">
        <v>3687</v>
      </c>
      <c r="B1185" s="35" t="s">
        <v>3688</v>
      </c>
      <c r="C1185" s="35" t="s">
        <v>48</v>
      </c>
      <c r="D1185" s="35" t="s">
        <v>114</v>
      </c>
      <c r="E1185" s="35"/>
      <c r="F1185" s="35"/>
      <c r="G1185" s="35" t="s">
        <v>682</v>
      </c>
      <c r="H1185" s="35" t="s">
        <v>61</v>
      </c>
      <c r="I1185" s="4"/>
    </row>
    <row r="1186" customFormat="false" ht="15" hidden="false" customHeight="false" outlineLevel="0" collapsed="false">
      <c r="A1186" s="35" t="s">
        <v>3689</v>
      </c>
      <c r="B1186" s="35" t="s">
        <v>3690</v>
      </c>
      <c r="C1186" s="35" t="s">
        <v>48</v>
      </c>
      <c r="D1186" s="35" t="s">
        <v>114</v>
      </c>
      <c r="E1186" s="35"/>
      <c r="F1186" s="35"/>
      <c r="G1186" s="35" t="s">
        <v>682</v>
      </c>
      <c r="H1186" s="35" t="s">
        <v>61</v>
      </c>
      <c r="I1186" s="4"/>
    </row>
    <row r="1187" customFormat="false" ht="15" hidden="false" customHeight="false" outlineLevel="0" collapsed="false">
      <c r="A1187" s="35" t="s">
        <v>1503</v>
      </c>
      <c r="B1187" s="35" t="s">
        <v>3691</v>
      </c>
      <c r="C1187" s="35" t="s">
        <v>48</v>
      </c>
      <c r="D1187" s="35" t="s">
        <v>107</v>
      </c>
      <c r="E1187" s="35" t="s">
        <v>1502</v>
      </c>
      <c r="F1187" s="35"/>
      <c r="G1187" s="35" t="s">
        <v>571</v>
      </c>
      <c r="H1187" s="35" t="s">
        <v>61</v>
      </c>
      <c r="I1187" s="4"/>
    </row>
    <row r="1188" customFormat="false" ht="15" hidden="false" customHeight="false" outlineLevel="0" collapsed="false">
      <c r="A1188" s="35" t="s">
        <v>918</v>
      </c>
      <c r="B1188" s="35" t="s">
        <v>3692</v>
      </c>
      <c r="C1188" s="35" t="s">
        <v>48</v>
      </c>
      <c r="D1188" s="35" t="s">
        <v>107</v>
      </c>
      <c r="E1188" s="35" t="s">
        <v>918</v>
      </c>
      <c r="F1188" s="35"/>
      <c r="G1188" s="35" t="s">
        <v>571</v>
      </c>
      <c r="H1188" s="35" t="s">
        <v>61</v>
      </c>
      <c r="I1188" s="4"/>
    </row>
    <row r="1189" customFormat="false" ht="15" hidden="false" customHeight="false" outlineLevel="0" collapsed="false">
      <c r="A1189" s="35" t="s">
        <v>3693</v>
      </c>
      <c r="B1189" s="35" t="s">
        <v>3694</v>
      </c>
      <c r="C1189" s="35" t="s">
        <v>48</v>
      </c>
      <c r="D1189" s="35" t="s">
        <v>107</v>
      </c>
      <c r="E1189" s="35" t="s">
        <v>918</v>
      </c>
      <c r="F1189" s="35"/>
      <c r="G1189" s="35" t="s">
        <v>571</v>
      </c>
      <c r="H1189" s="35" t="s">
        <v>61</v>
      </c>
      <c r="I1189" s="4"/>
    </row>
    <row r="1190" customFormat="false" ht="15" hidden="false" customHeight="false" outlineLevel="0" collapsed="false">
      <c r="A1190" s="35" t="s">
        <v>3695</v>
      </c>
      <c r="B1190" s="35" t="s">
        <v>3696</v>
      </c>
      <c r="C1190" s="35" t="s">
        <v>48</v>
      </c>
      <c r="D1190" s="35" t="s">
        <v>107</v>
      </c>
      <c r="E1190" s="35" t="s">
        <v>918</v>
      </c>
      <c r="F1190" s="35" t="s">
        <v>3697</v>
      </c>
      <c r="G1190" s="35" t="s">
        <v>571</v>
      </c>
      <c r="H1190" s="35" t="s">
        <v>61</v>
      </c>
      <c r="I1190" s="4"/>
    </row>
    <row r="1191" customFormat="false" ht="15" hidden="false" customHeight="false" outlineLevel="0" collapsed="false">
      <c r="A1191" s="35" t="s">
        <v>3698</v>
      </c>
      <c r="B1191" s="35" t="s">
        <v>3699</v>
      </c>
      <c r="C1191" s="35" t="s">
        <v>48</v>
      </c>
      <c r="D1191" s="35" t="s">
        <v>114</v>
      </c>
      <c r="E1191" s="35"/>
      <c r="F1191" s="35"/>
      <c r="G1191" s="35" t="s">
        <v>681</v>
      </c>
      <c r="H1191" s="35" t="s">
        <v>61</v>
      </c>
      <c r="I1191" s="4"/>
    </row>
    <row r="1192" customFormat="false" ht="15" hidden="false" customHeight="false" outlineLevel="0" collapsed="false">
      <c r="A1192" s="35" t="s">
        <v>3700</v>
      </c>
      <c r="B1192" s="35" t="s">
        <v>3701</v>
      </c>
      <c r="C1192" s="35" t="s">
        <v>48</v>
      </c>
      <c r="D1192" s="35" t="s">
        <v>114</v>
      </c>
      <c r="E1192" s="35"/>
      <c r="F1192" s="35"/>
      <c r="G1192" s="35" t="s">
        <v>87</v>
      </c>
      <c r="H1192" s="35" t="s">
        <v>61</v>
      </c>
      <c r="I1192" s="4"/>
    </row>
    <row r="1193" customFormat="false" ht="15" hidden="false" customHeight="false" outlineLevel="0" collapsed="false">
      <c r="A1193" s="35" t="s">
        <v>3702</v>
      </c>
      <c r="B1193" s="35" t="s">
        <v>3703</v>
      </c>
      <c r="C1193" s="35" t="s">
        <v>48</v>
      </c>
      <c r="D1193" s="35" t="s">
        <v>114</v>
      </c>
      <c r="E1193" s="35"/>
      <c r="F1193" s="35"/>
      <c r="G1193" s="35" t="s">
        <v>87</v>
      </c>
      <c r="H1193" s="35" t="s">
        <v>61</v>
      </c>
      <c r="I1193" s="4"/>
    </row>
    <row r="1194" customFormat="false" ht="15" hidden="false" customHeight="false" outlineLevel="0" collapsed="false">
      <c r="A1194" s="35" t="s">
        <v>3704</v>
      </c>
      <c r="B1194" s="35" t="s">
        <v>3705</v>
      </c>
      <c r="C1194" s="35" t="s">
        <v>48</v>
      </c>
      <c r="D1194" s="35" t="s">
        <v>107</v>
      </c>
      <c r="E1194" s="35" t="s">
        <v>976</v>
      </c>
      <c r="F1194" s="35"/>
      <c r="G1194" s="35" t="s">
        <v>417</v>
      </c>
      <c r="H1194" s="35" t="s">
        <v>245</v>
      </c>
      <c r="I1194" s="4"/>
    </row>
    <row r="1195" customFormat="false" ht="15" hidden="false" customHeight="false" outlineLevel="0" collapsed="false">
      <c r="A1195" s="35" t="s">
        <v>3706</v>
      </c>
      <c r="B1195" s="35" t="s">
        <v>2113</v>
      </c>
      <c r="C1195" s="35" t="s">
        <v>48</v>
      </c>
      <c r="D1195" s="35" t="s">
        <v>53</v>
      </c>
      <c r="E1195" s="35"/>
      <c r="F1195" s="35"/>
      <c r="G1195" s="35" t="s">
        <v>204</v>
      </c>
      <c r="H1195" s="35" t="s">
        <v>2109</v>
      </c>
      <c r="I1195" s="4"/>
    </row>
    <row r="1196" customFormat="false" ht="15" hidden="false" customHeight="false" outlineLevel="0" collapsed="false">
      <c r="A1196" s="35" t="s">
        <v>3707</v>
      </c>
      <c r="B1196" s="35" t="s">
        <v>3708</v>
      </c>
      <c r="C1196" s="35" t="s">
        <v>48</v>
      </c>
      <c r="D1196" s="35" t="s">
        <v>53</v>
      </c>
      <c r="E1196" s="35"/>
      <c r="F1196" s="35"/>
      <c r="G1196" s="35" t="s">
        <v>524</v>
      </c>
      <c r="H1196" s="35" t="s">
        <v>61</v>
      </c>
      <c r="I1196" s="4"/>
    </row>
    <row r="1197" customFormat="false" ht="15" hidden="false" customHeight="false" outlineLevel="0" collapsed="false">
      <c r="A1197" s="35" t="s">
        <v>533</v>
      </c>
      <c r="B1197" s="35" t="s">
        <v>534</v>
      </c>
      <c r="C1197" s="35" t="s">
        <v>48</v>
      </c>
      <c r="D1197" s="35" t="s">
        <v>157</v>
      </c>
      <c r="E1197" s="35"/>
      <c r="F1197" s="35"/>
      <c r="G1197" s="35" t="s">
        <v>535</v>
      </c>
      <c r="H1197" s="35" t="s">
        <v>61</v>
      </c>
      <c r="I1197" s="4" t="s">
        <v>2025</v>
      </c>
    </row>
    <row r="1198" customFormat="false" ht="15" hidden="false" customHeight="false" outlineLevel="0" collapsed="false">
      <c r="A1198" s="35" t="s">
        <v>3709</v>
      </c>
      <c r="B1198" s="35" t="s">
        <v>3710</v>
      </c>
      <c r="C1198" s="35" t="s">
        <v>48</v>
      </c>
      <c r="D1198" s="35" t="s">
        <v>53</v>
      </c>
      <c r="E1198" s="35"/>
      <c r="F1198" s="35" t="s">
        <v>3711</v>
      </c>
      <c r="G1198" s="35" t="s">
        <v>328</v>
      </c>
      <c r="H1198" s="35" t="s">
        <v>61</v>
      </c>
      <c r="I1198" s="4"/>
    </row>
    <row r="1199" customFormat="false" ht="15" hidden="false" customHeight="false" outlineLevel="0" collapsed="false">
      <c r="A1199" s="35" t="s">
        <v>3712</v>
      </c>
      <c r="B1199" s="35" t="s">
        <v>3713</v>
      </c>
      <c r="C1199" s="35" t="s">
        <v>48</v>
      </c>
      <c r="D1199" s="35" t="s">
        <v>157</v>
      </c>
      <c r="E1199" s="35"/>
      <c r="F1199" s="35"/>
      <c r="G1199" s="35" t="s">
        <v>535</v>
      </c>
      <c r="H1199" s="35" t="s">
        <v>61</v>
      </c>
      <c r="I1199" s="4"/>
    </row>
    <row r="1200" customFormat="false" ht="15" hidden="false" customHeight="false" outlineLevel="0" collapsed="false">
      <c r="A1200" s="35" t="s">
        <v>3714</v>
      </c>
      <c r="B1200" s="35" t="s">
        <v>3715</v>
      </c>
      <c r="C1200" s="35" t="s">
        <v>48</v>
      </c>
      <c r="D1200" s="35" t="s">
        <v>53</v>
      </c>
      <c r="E1200" s="35"/>
      <c r="F1200" s="35"/>
      <c r="G1200" s="35" t="s">
        <v>99</v>
      </c>
      <c r="H1200" s="35" t="s">
        <v>61</v>
      </c>
      <c r="I1200" s="4"/>
    </row>
    <row r="1201" customFormat="false" ht="15" hidden="false" customHeight="false" outlineLevel="0" collapsed="false">
      <c r="A1201" s="35" t="s">
        <v>1508</v>
      </c>
      <c r="B1201" s="35" t="s">
        <v>3716</v>
      </c>
      <c r="C1201" s="35" t="s">
        <v>48</v>
      </c>
      <c r="D1201" s="35" t="s">
        <v>107</v>
      </c>
      <c r="E1201" s="35" t="s">
        <v>1507</v>
      </c>
      <c r="F1201" s="35"/>
      <c r="G1201" s="35" t="s">
        <v>705</v>
      </c>
      <c r="H1201" s="35" t="s">
        <v>61</v>
      </c>
      <c r="I1201" s="4"/>
    </row>
    <row r="1202" customFormat="false" ht="15" hidden="false" customHeight="false" outlineLevel="0" collapsed="false">
      <c r="A1202" s="35" t="s">
        <v>1505</v>
      </c>
      <c r="B1202" s="35" t="s">
        <v>3717</v>
      </c>
      <c r="C1202" s="35" t="s">
        <v>48</v>
      </c>
      <c r="D1202" s="35" t="s">
        <v>57</v>
      </c>
      <c r="E1202" s="35" t="s">
        <v>1504</v>
      </c>
      <c r="F1202" s="35"/>
      <c r="G1202" s="35" t="s">
        <v>705</v>
      </c>
      <c r="H1202" s="35" t="s">
        <v>61</v>
      </c>
      <c r="I1202" s="4"/>
    </row>
    <row r="1203" customFormat="false" ht="15" hidden="false" customHeight="false" outlineLevel="0" collapsed="false">
      <c r="A1203" s="35" t="s">
        <v>3718</v>
      </c>
      <c r="B1203" s="35" t="s">
        <v>3719</v>
      </c>
      <c r="C1203" s="35" t="s">
        <v>48</v>
      </c>
      <c r="D1203" s="35" t="s">
        <v>107</v>
      </c>
      <c r="E1203" s="35" t="s">
        <v>920</v>
      </c>
      <c r="F1203" s="35"/>
      <c r="G1203" s="35" t="s">
        <v>705</v>
      </c>
      <c r="H1203" s="35" t="s">
        <v>61</v>
      </c>
      <c r="I1203" s="4"/>
    </row>
    <row r="1204" customFormat="false" ht="15" hidden="false" customHeight="false" outlineLevel="0" collapsed="false">
      <c r="A1204" s="35" t="s">
        <v>3720</v>
      </c>
      <c r="B1204" s="35" t="s">
        <v>3721</v>
      </c>
      <c r="C1204" s="35" t="s">
        <v>48</v>
      </c>
      <c r="D1204" s="35" t="s">
        <v>107</v>
      </c>
      <c r="E1204" s="35" t="s">
        <v>837</v>
      </c>
      <c r="F1204" s="35"/>
      <c r="G1204" s="35" t="s">
        <v>119</v>
      </c>
      <c r="H1204" s="35" t="s">
        <v>61</v>
      </c>
      <c r="I1204" s="4"/>
    </row>
    <row r="1205" customFormat="false" ht="15" hidden="false" customHeight="false" outlineLevel="0" collapsed="false">
      <c r="A1205" s="35" t="s">
        <v>1510</v>
      </c>
      <c r="B1205" s="35" t="s">
        <v>3722</v>
      </c>
      <c r="C1205" s="35" t="s">
        <v>48</v>
      </c>
      <c r="D1205" s="35" t="s">
        <v>107</v>
      </c>
      <c r="E1205" s="35" t="s">
        <v>1509</v>
      </c>
      <c r="F1205" s="35"/>
      <c r="G1205" s="35" t="s">
        <v>119</v>
      </c>
      <c r="H1205" s="35" t="s">
        <v>61</v>
      </c>
      <c r="I1205" s="4"/>
    </row>
    <row r="1206" customFormat="false" ht="15" hidden="false" customHeight="false" outlineLevel="0" collapsed="false">
      <c r="A1206" s="35" t="s">
        <v>3723</v>
      </c>
      <c r="B1206" s="35" t="s">
        <v>3724</v>
      </c>
      <c r="C1206" s="35" t="s">
        <v>48</v>
      </c>
      <c r="D1206" s="35" t="s">
        <v>114</v>
      </c>
      <c r="E1206" s="35"/>
      <c r="F1206" s="35"/>
      <c r="G1206" s="35" t="s">
        <v>433</v>
      </c>
      <c r="H1206" s="35" t="s">
        <v>61</v>
      </c>
      <c r="I1206" s="4"/>
    </row>
    <row r="1207" customFormat="false" ht="15" hidden="false" customHeight="false" outlineLevel="0" collapsed="false">
      <c r="A1207" s="35" t="s">
        <v>3725</v>
      </c>
      <c r="B1207" s="35" t="s">
        <v>3726</v>
      </c>
      <c r="C1207" s="35" t="s">
        <v>48</v>
      </c>
      <c r="D1207" s="35" t="s">
        <v>107</v>
      </c>
      <c r="E1207" s="35" t="s">
        <v>978</v>
      </c>
      <c r="F1207" s="35"/>
      <c r="G1207" s="35" t="s">
        <v>433</v>
      </c>
      <c r="H1207" s="35" t="s">
        <v>61</v>
      </c>
      <c r="I1207" s="4"/>
    </row>
    <row r="1208" customFormat="false" ht="15" hidden="false" customHeight="false" outlineLevel="0" collapsed="false">
      <c r="A1208" s="35" t="s">
        <v>756</v>
      </c>
      <c r="B1208" s="35" t="s">
        <v>3727</v>
      </c>
      <c r="C1208" s="35" t="s">
        <v>48</v>
      </c>
      <c r="D1208" s="35" t="s">
        <v>57</v>
      </c>
      <c r="E1208" s="35" t="s">
        <v>756</v>
      </c>
      <c r="F1208" s="35"/>
      <c r="G1208" s="35" t="s">
        <v>756</v>
      </c>
      <c r="H1208" s="35" t="s">
        <v>61</v>
      </c>
      <c r="I1208" s="4"/>
    </row>
    <row r="1209" customFormat="false" ht="15" hidden="false" customHeight="false" outlineLevel="0" collapsed="false">
      <c r="A1209" s="35" t="s">
        <v>3728</v>
      </c>
      <c r="B1209" s="35" t="s">
        <v>3729</v>
      </c>
      <c r="C1209" s="35" t="s">
        <v>48</v>
      </c>
      <c r="D1209" s="35" t="s">
        <v>114</v>
      </c>
      <c r="E1209" s="35"/>
      <c r="F1209" s="35"/>
      <c r="G1209" s="35" t="s">
        <v>45</v>
      </c>
      <c r="H1209" s="35" t="s">
        <v>61</v>
      </c>
      <c r="I1209" s="4"/>
    </row>
    <row r="1210" customFormat="false" ht="15" hidden="false" customHeight="false" outlineLevel="0" collapsed="false">
      <c r="A1210" s="35" t="s">
        <v>1818</v>
      </c>
      <c r="B1210" s="35" t="s">
        <v>3730</v>
      </c>
      <c r="C1210" s="35" t="s">
        <v>48</v>
      </c>
      <c r="D1210" s="35" t="s">
        <v>107</v>
      </c>
      <c r="E1210" s="35" t="s">
        <v>1817</v>
      </c>
      <c r="F1210" s="35"/>
      <c r="G1210" s="35" t="s">
        <v>328</v>
      </c>
      <c r="H1210" s="35" t="s">
        <v>369</v>
      </c>
      <c r="I1210" s="4"/>
    </row>
    <row r="1211" customFormat="false" ht="15" hidden="false" customHeight="false" outlineLevel="0" collapsed="false">
      <c r="A1211" s="35" t="s">
        <v>1638</v>
      </c>
      <c r="B1211" s="35" t="s">
        <v>3731</v>
      </c>
      <c r="C1211" s="35" t="s">
        <v>48</v>
      </c>
      <c r="D1211" s="35" t="s">
        <v>57</v>
      </c>
      <c r="E1211" s="35" t="s">
        <v>1637</v>
      </c>
      <c r="F1211" s="35"/>
      <c r="G1211" s="35" t="s">
        <v>328</v>
      </c>
      <c r="H1211" s="35" t="s">
        <v>61</v>
      </c>
      <c r="I1211" s="4"/>
    </row>
    <row r="1212" customFormat="false" ht="15" hidden="false" customHeight="false" outlineLevel="0" collapsed="false">
      <c r="A1212" s="35" t="s">
        <v>3732</v>
      </c>
      <c r="B1212" s="35" t="s">
        <v>3733</v>
      </c>
      <c r="C1212" s="35" t="s">
        <v>48</v>
      </c>
      <c r="D1212" s="35" t="s">
        <v>53</v>
      </c>
      <c r="E1212" s="35"/>
      <c r="F1212" s="35"/>
      <c r="G1212" s="35" t="s">
        <v>328</v>
      </c>
      <c r="H1212" s="35" t="s">
        <v>61</v>
      </c>
      <c r="I1212" s="4"/>
    </row>
    <row r="1213" customFormat="false" ht="15" hidden="false" customHeight="false" outlineLevel="0" collapsed="false">
      <c r="A1213" s="35" t="s">
        <v>3734</v>
      </c>
      <c r="B1213" s="35" t="s">
        <v>3735</v>
      </c>
      <c r="C1213" s="35" t="s">
        <v>48</v>
      </c>
      <c r="D1213" s="35" t="s">
        <v>53</v>
      </c>
      <c r="E1213" s="35"/>
      <c r="F1213" s="35" t="s">
        <v>2534</v>
      </c>
      <c r="G1213" s="35" t="s">
        <v>328</v>
      </c>
      <c r="H1213" s="35" t="s">
        <v>61</v>
      </c>
      <c r="I1213" s="4"/>
    </row>
    <row r="1214" customFormat="false" ht="15" hidden="false" customHeight="false" outlineLevel="0" collapsed="false">
      <c r="A1214" s="35" t="s">
        <v>3736</v>
      </c>
      <c r="B1214" s="35" t="s">
        <v>3737</v>
      </c>
      <c r="C1214" s="35" t="s">
        <v>48</v>
      </c>
      <c r="D1214" s="35" t="s">
        <v>53</v>
      </c>
      <c r="E1214" s="35"/>
      <c r="F1214" s="35" t="s">
        <v>2534</v>
      </c>
      <c r="G1214" s="35" t="s">
        <v>328</v>
      </c>
      <c r="H1214" s="35" t="s">
        <v>61</v>
      </c>
      <c r="I1214" s="4"/>
    </row>
    <row r="1215" customFormat="false" ht="15" hidden="false" customHeight="false" outlineLevel="0" collapsed="false">
      <c r="A1215" s="35" t="s">
        <v>3738</v>
      </c>
      <c r="B1215" s="35" t="s">
        <v>3739</v>
      </c>
      <c r="C1215" s="35" t="s">
        <v>48</v>
      </c>
      <c r="D1215" s="35" t="s">
        <v>53</v>
      </c>
      <c r="E1215" s="35"/>
      <c r="F1215" s="35" t="s">
        <v>2534</v>
      </c>
      <c r="G1215" s="35" t="s">
        <v>328</v>
      </c>
      <c r="H1215" s="35" t="s">
        <v>61</v>
      </c>
      <c r="I1215" s="4"/>
    </row>
    <row r="1216" customFormat="false" ht="15" hidden="false" customHeight="false" outlineLevel="0" collapsed="false">
      <c r="A1216" s="35" t="s">
        <v>3740</v>
      </c>
      <c r="B1216" s="35" t="s">
        <v>3741</v>
      </c>
      <c r="C1216" s="35" t="s">
        <v>48</v>
      </c>
      <c r="D1216" s="35" t="s">
        <v>53</v>
      </c>
      <c r="E1216" s="35"/>
      <c r="F1216" s="35" t="s">
        <v>2534</v>
      </c>
      <c r="G1216" s="35" t="s">
        <v>328</v>
      </c>
      <c r="H1216" s="35" t="s">
        <v>61</v>
      </c>
      <c r="I1216" s="4"/>
    </row>
    <row r="1217" customFormat="false" ht="15" hidden="false" customHeight="false" outlineLevel="0" collapsed="false">
      <c r="A1217" s="35" t="s">
        <v>3742</v>
      </c>
      <c r="B1217" s="35" t="s">
        <v>3743</v>
      </c>
      <c r="C1217" s="35" t="s">
        <v>48</v>
      </c>
      <c r="D1217" s="35" t="s">
        <v>53</v>
      </c>
      <c r="E1217" s="35"/>
      <c r="F1217" s="35" t="s">
        <v>2534</v>
      </c>
      <c r="G1217" s="35" t="s">
        <v>328</v>
      </c>
      <c r="H1217" s="35" t="s">
        <v>61</v>
      </c>
      <c r="I1217" s="4"/>
    </row>
    <row r="1218" customFormat="false" ht="15" hidden="false" customHeight="false" outlineLevel="0" collapsed="false">
      <c r="A1218" s="35" t="s">
        <v>3744</v>
      </c>
      <c r="B1218" s="35" t="s">
        <v>3745</v>
      </c>
      <c r="C1218" s="35" t="s">
        <v>48</v>
      </c>
      <c r="D1218" s="35" t="s">
        <v>157</v>
      </c>
      <c r="E1218" s="35"/>
      <c r="F1218" s="35" t="s">
        <v>2534</v>
      </c>
      <c r="G1218" s="35" t="s">
        <v>328</v>
      </c>
      <c r="H1218" s="35" t="s">
        <v>61</v>
      </c>
      <c r="I1218" s="4"/>
    </row>
    <row r="1219" customFormat="false" ht="15" hidden="false" customHeight="false" outlineLevel="0" collapsed="false">
      <c r="A1219" s="35" t="s">
        <v>3746</v>
      </c>
      <c r="B1219" s="35" t="s">
        <v>3747</v>
      </c>
      <c r="C1219" s="35" t="s">
        <v>48</v>
      </c>
      <c r="D1219" s="35" t="s">
        <v>53</v>
      </c>
      <c r="E1219" s="35"/>
      <c r="F1219" s="35"/>
      <c r="G1219" s="35" t="s">
        <v>328</v>
      </c>
      <c r="H1219" s="35" t="s">
        <v>61</v>
      </c>
      <c r="I1219" s="4"/>
    </row>
    <row r="1220" customFormat="false" ht="15" hidden="false" customHeight="false" outlineLevel="0" collapsed="false">
      <c r="A1220" s="35" t="s">
        <v>3748</v>
      </c>
      <c r="B1220" s="35" t="s">
        <v>3749</v>
      </c>
      <c r="C1220" s="35" t="s">
        <v>48</v>
      </c>
      <c r="D1220" s="35" t="s">
        <v>157</v>
      </c>
      <c r="E1220" s="35"/>
      <c r="F1220" s="35"/>
      <c r="G1220" s="35" t="s">
        <v>328</v>
      </c>
      <c r="H1220" s="35" t="s">
        <v>369</v>
      </c>
      <c r="I1220" s="4"/>
    </row>
    <row r="1221" customFormat="false" ht="15" hidden="false" customHeight="false" outlineLevel="0" collapsed="false">
      <c r="A1221" s="35" t="s">
        <v>3750</v>
      </c>
      <c r="B1221" s="35" t="s">
        <v>3751</v>
      </c>
      <c r="C1221" s="35" t="s">
        <v>48</v>
      </c>
      <c r="D1221" s="35" t="s">
        <v>157</v>
      </c>
      <c r="E1221" s="35"/>
      <c r="F1221" s="35" t="s">
        <v>2534</v>
      </c>
      <c r="G1221" s="35" t="s">
        <v>328</v>
      </c>
      <c r="H1221" s="35" t="s">
        <v>61</v>
      </c>
      <c r="I1221" s="4"/>
    </row>
    <row r="1222" customFormat="false" ht="15" hidden="false" customHeight="false" outlineLevel="0" collapsed="false">
      <c r="A1222" s="35" t="s">
        <v>3752</v>
      </c>
      <c r="B1222" s="35" t="s">
        <v>3753</v>
      </c>
      <c r="C1222" s="35" t="s">
        <v>48</v>
      </c>
      <c r="D1222" s="35" t="s">
        <v>53</v>
      </c>
      <c r="E1222" s="35"/>
      <c r="F1222" s="35" t="s">
        <v>2534</v>
      </c>
      <c r="G1222" s="35" t="s">
        <v>328</v>
      </c>
      <c r="H1222" s="35" t="s">
        <v>61</v>
      </c>
      <c r="I1222" s="4"/>
    </row>
    <row r="1223" customFormat="false" ht="15" hidden="false" customHeight="false" outlineLevel="0" collapsed="false">
      <c r="A1223" s="35" t="s">
        <v>3754</v>
      </c>
      <c r="B1223" s="35" t="s">
        <v>3755</v>
      </c>
      <c r="C1223" s="35" t="s">
        <v>48</v>
      </c>
      <c r="D1223" s="35" t="s">
        <v>53</v>
      </c>
      <c r="E1223" s="35"/>
      <c r="F1223" s="35"/>
      <c r="G1223" s="35" t="s">
        <v>60</v>
      </c>
      <c r="H1223" s="35" t="s">
        <v>61</v>
      </c>
      <c r="I1223" s="4"/>
    </row>
    <row r="1224" customFormat="false" ht="15" hidden="false" customHeight="false" outlineLevel="0" collapsed="false">
      <c r="A1224" s="35" t="s">
        <v>3756</v>
      </c>
      <c r="B1224" s="35" t="s">
        <v>3757</v>
      </c>
      <c r="C1224" s="35" t="s">
        <v>48</v>
      </c>
      <c r="D1224" s="35" t="s">
        <v>57</v>
      </c>
      <c r="E1224" s="35" t="s">
        <v>454</v>
      </c>
      <c r="F1224" s="35"/>
      <c r="G1224" s="35" t="s">
        <v>524</v>
      </c>
      <c r="H1224" s="35" t="s">
        <v>61</v>
      </c>
      <c r="I1224" s="4"/>
    </row>
    <row r="1225" customFormat="false" ht="15" hidden="false" customHeight="false" outlineLevel="0" collapsed="false">
      <c r="A1225" s="35" t="s">
        <v>3758</v>
      </c>
      <c r="B1225" s="35" t="s">
        <v>3759</v>
      </c>
      <c r="C1225" s="35" t="s">
        <v>48</v>
      </c>
      <c r="D1225" s="35" t="s">
        <v>57</v>
      </c>
      <c r="E1225" s="35" t="s">
        <v>454</v>
      </c>
      <c r="F1225" s="35"/>
      <c r="G1225" s="35" t="s">
        <v>717</v>
      </c>
      <c r="H1225" s="35" t="s">
        <v>61</v>
      </c>
      <c r="I1225" s="4"/>
    </row>
    <row r="1226" customFormat="false" ht="15" hidden="false" customHeight="false" outlineLevel="0" collapsed="false">
      <c r="A1226" s="35" t="s">
        <v>1513</v>
      </c>
      <c r="B1226" s="35"/>
      <c r="C1226" s="35" t="s">
        <v>673</v>
      </c>
      <c r="D1226" s="35" t="s">
        <v>107</v>
      </c>
      <c r="E1226" s="35" t="s">
        <v>1513</v>
      </c>
      <c r="F1226" s="35"/>
      <c r="G1226" s="35" t="s">
        <v>421</v>
      </c>
      <c r="H1226" s="35" t="s">
        <v>61</v>
      </c>
      <c r="I1226" s="4"/>
    </row>
    <row r="1227" customFormat="false" ht="15" hidden="false" customHeight="false" outlineLevel="0" collapsed="false">
      <c r="A1227" s="35" t="s">
        <v>145</v>
      </c>
      <c r="B1227" s="35" t="s">
        <v>147</v>
      </c>
      <c r="C1227" s="35" t="s">
        <v>48</v>
      </c>
      <c r="D1227" s="35" t="s">
        <v>146</v>
      </c>
      <c r="E1227" s="35"/>
      <c r="F1227" s="35"/>
      <c r="G1227" s="35" t="s">
        <v>49</v>
      </c>
      <c r="H1227" s="35" t="s">
        <v>49</v>
      </c>
      <c r="I1227" s="4" t="s">
        <v>2025</v>
      </c>
    </row>
    <row r="1228" customFormat="false" ht="15" hidden="false" customHeight="false" outlineLevel="0" collapsed="false">
      <c r="A1228" s="35" t="s">
        <v>3760</v>
      </c>
      <c r="B1228" s="35" t="s">
        <v>3761</v>
      </c>
      <c r="C1228" s="35" t="s">
        <v>48</v>
      </c>
      <c r="D1228" s="35" t="s">
        <v>146</v>
      </c>
      <c r="E1228" s="35"/>
      <c r="F1228" s="35"/>
      <c r="G1228" s="35" t="s">
        <v>119</v>
      </c>
      <c r="H1228" s="35" t="s">
        <v>61</v>
      </c>
      <c r="I1228" s="4"/>
    </row>
    <row r="1229" customFormat="false" ht="15" hidden="false" customHeight="false" outlineLevel="0" collapsed="false">
      <c r="A1229" s="35" t="s">
        <v>3762</v>
      </c>
      <c r="B1229" s="35" t="s">
        <v>3763</v>
      </c>
      <c r="C1229" s="35" t="s">
        <v>48</v>
      </c>
      <c r="D1229" s="35" t="s">
        <v>57</v>
      </c>
      <c r="E1229" s="35" t="s">
        <v>1141</v>
      </c>
      <c r="F1229" s="35"/>
      <c r="G1229" s="35" t="s">
        <v>714</v>
      </c>
      <c r="H1229" s="35" t="s">
        <v>61</v>
      </c>
      <c r="I1229" s="4"/>
    </row>
    <row r="1230" customFormat="false" ht="15" hidden="false" customHeight="false" outlineLevel="0" collapsed="false">
      <c r="A1230" s="35" t="s">
        <v>3764</v>
      </c>
      <c r="B1230" s="35" t="s">
        <v>3765</v>
      </c>
      <c r="C1230" s="35" t="s">
        <v>48</v>
      </c>
      <c r="D1230" s="35" t="s">
        <v>57</v>
      </c>
      <c r="E1230" s="35" t="s">
        <v>1141</v>
      </c>
      <c r="F1230" s="35"/>
      <c r="G1230" s="35" t="s">
        <v>714</v>
      </c>
      <c r="H1230" s="35" t="s">
        <v>61</v>
      </c>
      <c r="I1230" s="4"/>
    </row>
    <row r="1231" customFormat="false" ht="15" hidden="false" customHeight="false" outlineLevel="0" collapsed="false">
      <c r="A1231" s="35" t="s">
        <v>3766</v>
      </c>
      <c r="B1231" s="35" t="s">
        <v>3767</v>
      </c>
      <c r="C1231" s="35" t="s">
        <v>48</v>
      </c>
      <c r="D1231" s="35" t="s">
        <v>114</v>
      </c>
      <c r="E1231" s="35"/>
      <c r="F1231" s="35"/>
      <c r="G1231" s="35" t="s">
        <v>417</v>
      </c>
      <c r="H1231" s="35" t="s">
        <v>61</v>
      </c>
      <c r="I1231" s="4"/>
    </row>
    <row r="1232" customFormat="false" ht="15" hidden="false" customHeight="false" outlineLevel="0" collapsed="false">
      <c r="A1232" s="35" t="s">
        <v>71</v>
      </c>
      <c r="B1232" s="35" t="s">
        <v>72</v>
      </c>
      <c r="C1232" s="35" t="s">
        <v>48</v>
      </c>
      <c r="D1232" s="35" t="s">
        <v>53</v>
      </c>
      <c r="E1232" s="35"/>
      <c r="F1232" s="35"/>
      <c r="G1232" s="35" t="s">
        <v>60</v>
      </c>
      <c r="H1232" s="35" t="s">
        <v>61</v>
      </c>
      <c r="I1232" s="4" t="s">
        <v>2025</v>
      </c>
    </row>
    <row r="1233" customFormat="false" ht="15" hidden="false" customHeight="false" outlineLevel="0" collapsed="false">
      <c r="A1233" s="35" t="s">
        <v>3768</v>
      </c>
      <c r="B1233" s="35" t="s">
        <v>3769</v>
      </c>
      <c r="C1233" s="35" t="s">
        <v>48</v>
      </c>
      <c r="D1233" s="35" t="s">
        <v>53</v>
      </c>
      <c r="E1233" s="35"/>
      <c r="F1233" s="35"/>
      <c r="G1233" s="35" t="s">
        <v>87</v>
      </c>
      <c r="H1233" s="35" t="s">
        <v>61</v>
      </c>
      <c r="I1233" s="4"/>
    </row>
    <row r="1234" customFormat="false" ht="15" hidden="false" customHeight="false" outlineLevel="0" collapsed="false">
      <c r="A1234" s="35" t="s">
        <v>3770</v>
      </c>
      <c r="B1234" s="35" t="s">
        <v>3771</v>
      </c>
      <c r="C1234" s="35" t="s">
        <v>48</v>
      </c>
      <c r="D1234" s="35" t="s">
        <v>146</v>
      </c>
      <c r="E1234" s="35"/>
      <c r="F1234" s="35" t="s">
        <v>3772</v>
      </c>
      <c r="G1234" s="35" t="s">
        <v>328</v>
      </c>
      <c r="H1234" s="35" t="s">
        <v>369</v>
      </c>
      <c r="I1234" s="4"/>
    </row>
    <row r="1235" customFormat="false" ht="15" hidden="false" customHeight="false" outlineLevel="0" collapsed="false">
      <c r="A1235" s="35" t="s">
        <v>1514</v>
      </c>
      <c r="B1235" s="35" t="s">
        <v>3773</v>
      </c>
      <c r="C1235" s="35" t="s">
        <v>48</v>
      </c>
      <c r="D1235" s="35" t="s">
        <v>57</v>
      </c>
      <c r="E1235" s="35" t="s">
        <v>1514</v>
      </c>
      <c r="F1235" s="35"/>
      <c r="G1235" s="35" t="s">
        <v>45</v>
      </c>
      <c r="H1235" s="35" t="s">
        <v>61</v>
      </c>
      <c r="I1235" s="4"/>
    </row>
    <row r="1236" customFormat="false" ht="15" hidden="false" customHeight="false" outlineLevel="0" collapsed="false">
      <c r="A1236" s="35" t="s">
        <v>3774</v>
      </c>
      <c r="B1236" s="35" t="s">
        <v>3775</v>
      </c>
      <c r="C1236" s="35" t="s">
        <v>48</v>
      </c>
      <c r="D1236" s="35" t="s">
        <v>146</v>
      </c>
      <c r="E1236" s="35"/>
      <c r="F1236" s="35"/>
      <c r="G1236" s="35" t="s">
        <v>45</v>
      </c>
      <c r="H1236" s="35" t="s">
        <v>61</v>
      </c>
      <c r="I1236" s="4"/>
    </row>
    <row r="1237" customFormat="false" ht="15" hidden="false" customHeight="false" outlineLevel="0" collapsed="false">
      <c r="A1237" s="35" t="s">
        <v>3776</v>
      </c>
      <c r="B1237" s="35" t="s">
        <v>3777</v>
      </c>
      <c r="C1237" s="35" t="s">
        <v>48</v>
      </c>
      <c r="D1237" s="35" t="s">
        <v>53</v>
      </c>
      <c r="E1237" s="35"/>
      <c r="F1237" s="35"/>
      <c r="G1237" s="35" t="s">
        <v>60</v>
      </c>
      <c r="H1237" s="35" t="s">
        <v>61</v>
      </c>
      <c r="I1237" s="4"/>
    </row>
    <row r="1238" customFormat="false" ht="15" hidden="false" customHeight="false" outlineLevel="0" collapsed="false">
      <c r="A1238" s="35" t="s">
        <v>3778</v>
      </c>
      <c r="B1238" s="35" t="s">
        <v>3779</v>
      </c>
      <c r="C1238" s="35" t="s">
        <v>48</v>
      </c>
      <c r="D1238" s="35" t="s">
        <v>114</v>
      </c>
      <c r="E1238" s="35"/>
      <c r="F1238" s="35" t="s">
        <v>3780</v>
      </c>
      <c r="G1238" s="35" t="s">
        <v>684</v>
      </c>
      <c r="H1238" s="35" t="s">
        <v>50</v>
      </c>
      <c r="I1238" s="4"/>
    </row>
    <row r="1239" customFormat="false" ht="15" hidden="false" customHeight="false" outlineLevel="0" collapsed="false">
      <c r="A1239" s="35" t="s">
        <v>1518</v>
      </c>
      <c r="B1239" s="35" t="s">
        <v>3781</v>
      </c>
      <c r="C1239" s="35" t="s">
        <v>48</v>
      </c>
      <c r="D1239" s="35" t="s">
        <v>46</v>
      </c>
      <c r="E1239" s="35" t="s">
        <v>1517</v>
      </c>
      <c r="F1239" s="35"/>
      <c r="G1239" s="35" t="s">
        <v>262</v>
      </c>
      <c r="H1239" s="35" t="s">
        <v>61</v>
      </c>
      <c r="I1239" s="4"/>
    </row>
    <row r="1240" customFormat="false" ht="15" hidden="false" customHeight="false" outlineLevel="0" collapsed="false">
      <c r="A1240" s="35" t="s">
        <v>3782</v>
      </c>
      <c r="B1240" s="35" t="s">
        <v>3783</v>
      </c>
      <c r="C1240" s="35" t="s">
        <v>48</v>
      </c>
      <c r="D1240" s="35" t="s">
        <v>107</v>
      </c>
      <c r="E1240" s="35" t="s">
        <v>1143</v>
      </c>
      <c r="F1240" s="35"/>
      <c r="G1240" s="35" t="s">
        <v>262</v>
      </c>
      <c r="H1240" s="35" t="s">
        <v>267</v>
      </c>
      <c r="I1240" s="4"/>
    </row>
    <row r="1241" customFormat="false" ht="15" hidden="false" customHeight="false" outlineLevel="0" collapsed="false">
      <c r="A1241" s="35" t="s">
        <v>1520</v>
      </c>
      <c r="B1241" s="35" t="s">
        <v>3784</v>
      </c>
      <c r="C1241" s="35" t="s">
        <v>48</v>
      </c>
      <c r="D1241" s="35" t="s">
        <v>107</v>
      </c>
      <c r="E1241" s="35" t="s">
        <v>1519</v>
      </c>
      <c r="F1241" s="35"/>
      <c r="G1241" s="35" t="s">
        <v>444</v>
      </c>
      <c r="H1241" s="35" t="s">
        <v>61</v>
      </c>
      <c r="I1241" s="4"/>
    </row>
    <row r="1242" customFormat="false" ht="15" hidden="false" customHeight="false" outlineLevel="0" collapsed="false">
      <c r="A1242" s="35" t="s">
        <v>3785</v>
      </c>
      <c r="B1242" s="35"/>
      <c r="C1242" s="35" t="s">
        <v>632</v>
      </c>
      <c r="D1242" s="35" t="s">
        <v>53</v>
      </c>
      <c r="E1242" s="35"/>
      <c r="F1242" s="35"/>
      <c r="G1242" s="35" t="s">
        <v>444</v>
      </c>
      <c r="H1242" s="35" t="s">
        <v>61</v>
      </c>
      <c r="I1242" s="4"/>
    </row>
    <row r="1243" customFormat="false" ht="15" hidden="false" customHeight="false" outlineLevel="0" collapsed="false">
      <c r="A1243" s="35" t="s">
        <v>3786</v>
      </c>
      <c r="B1243" s="35"/>
      <c r="C1243" s="35" t="s">
        <v>632</v>
      </c>
      <c r="D1243" s="35" t="s">
        <v>53</v>
      </c>
      <c r="E1243" s="35"/>
      <c r="F1243" s="35"/>
      <c r="G1243" s="35" t="s">
        <v>444</v>
      </c>
      <c r="H1243" s="35" t="s">
        <v>61</v>
      </c>
      <c r="I1243" s="4"/>
    </row>
    <row r="1244" customFormat="false" ht="15" hidden="false" customHeight="false" outlineLevel="0" collapsed="false">
      <c r="A1244" s="35" t="s">
        <v>3787</v>
      </c>
      <c r="B1244" s="35"/>
      <c r="C1244" s="35" t="s">
        <v>632</v>
      </c>
      <c r="D1244" s="35" t="s">
        <v>53</v>
      </c>
      <c r="E1244" s="35"/>
      <c r="F1244" s="35"/>
      <c r="G1244" s="35" t="s">
        <v>444</v>
      </c>
      <c r="H1244" s="35" t="s">
        <v>61</v>
      </c>
      <c r="I1244" s="4"/>
    </row>
    <row r="1245" customFormat="false" ht="15" hidden="false" customHeight="false" outlineLevel="0" collapsed="false">
      <c r="A1245" s="35" t="s">
        <v>3788</v>
      </c>
      <c r="B1245" s="35"/>
      <c r="C1245" s="35" t="s">
        <v>632</v>
      </c>
      <c r="D1245" s="35" t="s">
        <v>146</v>
      </c>
      <c r="E1245" s="35"/>
      <c r="F1245" s="35"/>
      <c r="G1245" s="35" t="s">
        <v>444</v>
      </c>
      <c r="H1245" s="35" t="s">
        <v>61</v>
      </c>
      <c r="I1245" s="4"/>
    </row>
    <row r="1246" customFormat="false" ht="15" hidden="false" customHeight="false" outlineLevel="0" collapsed="false">
      <c r="A1246" s="35" t="s">
        <v>3789</v>
      </c>
      <c r="B1246" s="35" t="s">
        <v>3790</v>
      </c>
      <c r="C1246" s="35" t="s">
        <v>48</v>
      </c>
      <c r="D1246" s="35" t="s">
        <v>53</v>
      </c>
      <c r="E1246" s="35"/>
      <c r="F1246" s="35" t="s">
        <v>157</v>
      </c>
      <c r="G1246" s="35" t="s">
        <v>328</v>
      </c>
      <c r="H1246" s="35" t="s">
        <v>61</v>
      </c>
      <c r="I1246" s="4"/>
    </row>
    <row r="1247" customFormat="false" ht="15" hidden="false" customHeight="false" outlineLevel="0" collapsed="false">
      <c r="A1247" s="35" t="s">
        <v>3791</v>
      </c>
      <c r="B1247" s="35" t="s">
        <v>3792</v>
      </c>
      <c r="C1247" s="35" t="s">
        <v>48</v>
      </c>
      <c r="D1247" s="35" t="s">
        <v>157</v>
      </c>
      <c r="E1247" s="35"/>
      <c r="F1247" s="35" t="s">
        <v>157</v>
      </c>
      <c r="G1247" s="35" t="s">
        <v>328</v>
      </c>
      <c r="H1247" s="35" t="s">
        <v>61</v>
      </c>
      <c r="I1247" s="4"/>
    </row>
    <row r="1248" customFormat="false" ht="15" hidden="false" customHeight="false" outlineLevel="0" collapsed="false">
      <c r="A1248" s="35" t="s">
        <v>3793</v>
      </c>
      <c r="B1248" s="35" t="s">
        <v>3794</v>
      </c>
      <c r="C1248" s="35" t="s">
        <v>48</v>
      </c>
      <c r="D1248" s="35" t="s">
        <v>53</v>
      </c>
      <c r="E1248" s="35"/>
      <c r="F1248" s="35" t="s">
        <v>157</v>
      </c>
      <c r="G1248" s="35" t="s">
        <v>328</v>
      </c>
      <c r="H1248" s="35" t="s">
        <v>61</v>
      </c>
      <c r="I1248" s="4"/>
    </row>
    <row r="1249" customFormat="false" ht="15" hidden="false" customHeight="false" outlineLevel="0" collapsed="false">
      <c r="A1249" s="35" t="s">
        <v>3795</v>
      </c>
      <c r="B1249" s="35" t="s">
        <v>3796</v>
      </c>
      <c r="C1249" s="35" t="s">
        <v>48</v>
      </c>
      <c r="D1249" s="35" t="s">
        <v>114</v>
      </c>
      <c r="E1249" s="35"/>
      <c r="F1249" s="35" t="s">
        <v>157</v>
      </c>
      <c r="G1249" s="35" t="s">
        <v>328</v>
      </c>
      <c r="H1249" s="35" t="s">
        <v>61</v>
      </c>
      <c r="I1249" s="4"/>
    </row>
    <row r="1250" customFormat="false" ht="15" hidden="false" customHeight="false" outlineLevel="0" collapsed="false">
      <c r="A1250" s="35" t="s">
        <v>3797</v>
      </c>
      <c r="B1250" s="35" t="s">
        <v>3798</v>
      </c>
      <c r="C1250" s="35" t="s">
        <v>48</v>
      </c>
      <c r="D1250" s="35" t="s">
        <v>53</v>
      </c>
      <c r="E1250" s="35"/>
      <c r="F1250" s="35"/>
      <c r="G1250" s="35" t="s">
        <v>680</v>
      </c>
      <c r="H1250" s="35" t="s">
        <v>61</v>
      </c>
      <c r="I1250" s="4"/>
    </row>
    <row r="1251" customFormat="false" ht="15" hidden="false" customHeight="false" outlineLevel="0" collapsed="false">
      <c r="A1251" s="35" t="s">
        <v>3799</v>
      </c>
      <c r="B1251" s="35" t="s">
        <v>3800</v>
      </c>
      <c r="C1251" s="35" t="s">
        <v>48</v>
      </c>
      <c r="D1251" s="35" t="s">
        <v>53</v>
      </c>
      <c r="E1251" s="35"/>
      <c r="F1251" s="35"/>
      <c r="G1251" s="35" t="s">
        <v>680</v>
      </c>
      <c r="H1251" s="35" t="s">
        <v>61</v>
      </c>
      <c r="I1251" s="4"/>
    </row>
    <row r="1252" customFormat="false" ht="15" hidden="false" customHeight="false" outlineLevel="0" collapsed="false">
      <c r="A1252" s="35" t="s">
        <v>3801</v>
      </c>
      <c r="B1252" s="35" t="s">
        <v>3802</v>
      </c>
      <c r="C1252" s="35" t="s">
        <v>48</v>
      </c>
      <c r="D1252" s="35" t="s">
        <v>114</v>
      </c>
      <c r="E1252" s="35"/>
      <c r="F1252" s="35" t="s">
        <v>3803</v>
      </c>
      <c r="G1252" s="35" t="s">
        <v>680</v>
      </c>
      <c r="H1252" s="35" t="s">
        <v>61</v>
      </c>
      <c r="I1252" s="4"/>
    </row>
    <row r="1253" customFormat="false" ht="15" hidden="false" customHeight="false" outlineLevel="0" collapsed="false">
      <c r="A1253" s="35" t="s">
        <v>3804</v>
      </c>
      <c r="B1253" s="35" t="s">
        <v>3805</v>
      </c>
      <c r="C1253" s="35" t="s">
        <v>48</v>
      </c>
      <c r="D1253" s="35" t="s">
        <v>146</v>
      </c>
      <c r="E1253" s="35"/>
      <c r="F1253" s="35"/>
      <c r="G1253" s="35" t="s">
        <v>680</v>
      </c>
      <c r="H1253" s="35" t="s">
        <v>61</v>
      </c>
      <c r="I1253" s="4"/>
    </row>
    <row r="1254" customFormat="false" ht="15" hidden="false" customHeight="false" outlineLevel="0" collapsed="false">
      <c r="A1254" s="35" t="s">
        <v>3806</v>
      </c>
      <c r="B1254" s="35" t="s">
        <v>3807</v>
      </c>
      <c r="C1254" s="35" t="s">
        <v>48</v>
      </c>
      <c r="D1254" s="35" t="s">
        <v>146</v>
      </c>
      <c r="E1254" s="35"/>
      <c r="F1254" s="35"/>
      <c r="G1254" s="35" t="s">
        <v>680</v>
      </c>
      <c r="H1254" s="35" t="s">
        <v>61</v>
      </c>
      <c r="I1254" s="4"/>
    </row>
    <row r="1255" customFormat="false" ht="15" hidden="false" customHeight="false" outlineLevel="0" collapsed="false">
      <c r="A1255" s="35" t="s">
        <v>3808</v>
      </c>
      <c r="B1255" s="35" t="s">
        <v>3809</v>
      </c>
      <c r="C1255" s="35" t="s">
        <v>48</v>
      </c>
      <c r="D1255" s="35" t="s">
        <v>53</v>
      </c>
      <c r="E1255" s="35"/>
      <c r="F1255" s="35"/>
      <c r="G1255" s="35" t="s">
        <v>680</v>
      </c>
      <c r="H1255" s="35" t="s">
        <v>61</v>
      </c>
      <c r="I1255" s="4"/>
    </row>
    <row r="1256" customFormat="false" ht="15" hidden="false" customHeight="false" outlineLevel="0" collapsed="false">
      <c r="A1256" s="35" t="s">
        <v>3810</v>
      </c>
      <c r="B1256" s="35" t="s">
        <v>3811</v>
      </c>
      <c r="C1256" s="35" t="s">
        <v>48</v>
      </c>
      <c r="D1256" s="35" t="s">
        <v>447</v>
      </c>
      <c r="E1256" s="35"/>
      <c r="F1256" s="35"/>
      <c r="G1256" s="35" t="s">
        <v>49</v>
      </c>
      <c r="H1256" s="35" t="s">
        <v>49</v>
      </c>
      <c r="I1256" s="4"/>
    </row>
    <row r="1257" customFormat="false" ht="15" hidden="false" customHeight="false" outlineLevel="0" collapsed="false">
      <c r="A1257" s="35" t="s">
        <v>3812</v>
      </c>
      <c r="B1257" s="35" t="s">
        <v>3813</v>
      </c>
      <c r="C1257" s="35" t="s">
        <v>48</v>
      </c>
      <c r="D1257" s="35" t="s">
        <v>53</v>
      </c>
      <c r="E1257" s="35"/>
      <c r="F1257" s="35" t="s">
        <v>885</v>
      </c>
      <c r="G1257" s="35" t="s">
        <v>328</v>
      </c>
      <c r="H1257" s="35" t="s">
        <v>61</v>
      </c>
      <c r="I1257" s="4"/>
    </row>
    <row r="1258" customFormat="false" ht="15" hidden="false" customHeight="false" outlineLevel="0" collapsed="false">
      <c r="A1258" s="35" t="s">
        <v>3814</v>
      </c>
      <c r="B1258" s="35" t="s">
        <v>3815</v>
      </c>
      <c r="C1258" s="35" t="s">
        <v>48</v>
      </c>
      <c r="D1258" s="35" t="s">
        <v>157</v>
      </c>
      <c r="E1258" s="35"/>
      <c r="F1258" s="35" t="s">
        <v>885</v>
      </c>
      <c r="G1258" s="35" t="s">
        <v>328</v>
      </c>
      <c r="H1258" s="35" t="s">
        <v>61</v>
      </c>
      <c r="I1258" s="4"/>
    </row>
    <row r="1259" customFormat="false" ht="15" hidden="false" customHeight="false" outlineLevel="0" collapsed="false">
      <c r="A1259" s="35" t="s">
        <v>3816</v>
      </c>
      <c r="B1259" s="35" t="s">
        <v>3817</v>
      </c>
      <c r="C1259" s="35" t="s">
        <v>48</v>
      </c>
      <c r="D1259" s="35" t="s">
        <v>157</v>
      </c>
      <c r="E1259" s="35"/>
      <c r="F1259" s="35" t="s">
        <v>885</v>
      </c>
      <c r="G1259" s="35" t="s">
        <v>328</v>
      </c>
      <c r="H1259" s="35" t="s">
        <v>61</v>
      </c>
      <c r="I1259" s="4"/>
    </row>
    <row r="1260" customFormat="false" ht="15" hidden="false" customHeight="false" outlineLevel="0" collapsed="false">
      <c r="A1260" s="35" t="s">
        <v>3818</v>
      </c>
      <c r="B1260" s="35" t="s">
        <v>3819</v>
      </c>
      <c r="C1260" s="35" t="s">
        <v>48</v>
      </c>
      <c r="D1260" s="35" t="s">
        <v>114</v>
      </c>
      <c r="E1260" s="35"/>
      <c r="F1260" s="35" t="s">
        <v>885</v>
      </c>
      <c r="G1260" s="35" t="s">
        <v>328</v>
      </c>
      <c r="H1260" s="35" t="s">
        <v>61</v>
      </c>
      <c r="I1260" s="4"/>
    </row>
    <row r="1261" customFormat="false" ht="15" hidden="false" customHeight="false" outlineLevel="0" collapsed="false">
      <c r="A1261" s="35" t="s">
        <v>3820</v>
      </c>
      <c r="B1261" s="35" t="s">
        <v>3821</v>
      </c>
      <c r="C1261" s="35" t="s">
        <v>48</v>
      </c>
      <c r="D1261" s="35" t="s">
        <v>114</v>
      </c>
      <c r="E1261" s="35"/>
      <c r="F1261" s="35" t="s">
        <v>885</v>
      </c>
      <c r="G1261" s="35" t="s">
        <v>328</v>
      </c>
      <c r="H1261" s="35" t="s">
        <v>61</v>
      </c>
      <c r="I1261" s="4"/>
    </row>
    <row r="1262" customFormat="false" ht="15" hidden="false" customHeight="false" outlineLevel="0" collapsed="false">
      <c r="A1262" s="35" t="s">
        <v>3822</v>
      </c>
      <c r="B1262" s="35" t="s">
        <v>3823</v>
      </c>
      <c r="C1262" s="35" t="s">
        <v>48</v>
      </c>
      <c r="D1262" s="35" t="s">
        <v>114</v>
      </c>
      <c r="E1262" s="35"/>
      <c r="F1262" s="35" t="s">
        <v>885</v>
      </c>
      <c r="G1262" s="35" t="s">
        <v>328</v>
      </c>
      <c r="H1262" s="35" t="s">
        <v>61</v>
      </c>
      <c r="I1262" s="4"/>
    </row>
    <row r="1263" customFormat="false" ht="15" hidden="false" customHeight="false" outlineLevel="0" collapsed="false">
      <c r="A1263" s="35" t="s">
        <v>3824</v>
      </c>
      <c r="B1263" s="35" t="s">
        <v>3825</v>
      </c>
      <c r="C1263" s="35" t="s">
        <v>48</v>
      </c>
      <c r="D1263" s="35" t="s">
        <v>114</v>
      </c>
      <c r="E1263" s="35"/>
      <c r="F1263" s="35" t="s">
        <v>885</v>
      </c>
      <c r="G1263" s="35" t="s">
        <v>328</v>
      </c>
      <c r="H1263" s="35" t="s">
        <v>61</v>
      </c>
      <c r="I1263" s="4"/>
    </row>
    <row r="1264" customFormat="false" ht="15" hidden="false" customHeight="false" outlineLevel="0" collapsed="false">
      <c r="A1264" s="35" t="s">
        <v>3826</v>
      </c>
      <c r="B1264" s="35" t="s">
        <v>3827</v>
      </c>
      <c r="C1264" s="35" t="s">
        <v>48</v>
      </c>
      <c r="D1264" s="35" t="s">
        <v>53</v>
      </c>
      <c r="E1264" s="35"/>
      <c r="F1264" s="35" t="s">
        <v>885</v>
      </c>
      <c r="G1264" s="35" t="s">
        <v>328</v>
      </c>
      <c r="H1264" s="35" t="s">
        <v>61</v>
      </c>
      <c r="I1264" s="4"/>
    </row>
    <row r="1265" customFormat="false" ht="15" hidden="false" customHeight="false" outlineLevel="0" collapsed="false">
      <c r="A1265" s="35" t="s">
        <v>3828</v>
      </c>
      <c r="B1265" s="35" t="s">
        <v>3829</v>
      </c>
      <c r="C1265" s="35" t="s">
        <v>48</v>
      </c>
      <c r="D1265" s="35" t="s">
        <v>57</v>
      </c>
      <c r="E1265" s="35" t="s">
        <v>934</v>
      </c>
      <c r="F1265" s="35" t="s">
        <v>885</v>
      </c>
      <c r="G1265" s="35" t="s">
        <v>328</v>
      </c>
      <c r="H1265" s="35" t="s">
        <v>61</v>
      </c>
      <c r="I1265" s="4"/>
    </row>
    <row r="1266" customFormat="false" ht="15" hidden="false" customHeight="false" outlineLevel="0" collapsed="false">
      <c r="A1266" s="35" t="s">
        <v>3830</v>
      </c>
      <c r="B1266" s="35" t="s">
        <v>3831</v>
      </c>
      <c r="C1266" s="35" t="s">
        <v>48</v>
      </c>
      <c r="D1266" s="35" t="s">
        <v>114</v>
      </c>
      <c r="E1266" s="35"/>
      <c r="F1266" s="35" t="s">
        <v>885</v>
      </c>
      <c r="G1266" s="35" t="s">
        <v>328</v>
      </c>
      <c r="H1266" s="35" t="s">
        <v>61</v>
      </c>
      <c r="I1266" s="4"/>
    </row>
    <row r="1267" customFormat="false" ht="15" hidden="false" customHeight="false" outlineLevel="0" collapsed="false">
      <c r="A1267" s="35" t="s">
        <v>386</v>
      </c>
      <c r="B1267" s="35" t="s">
        <v>387</v>
      </c>
      <c r="C1267" s="35" t="s">
        <v>48</v>
      </c>
      <c r="D1267" s="35" t="s">
        <v>57</v>
      </c>
      <c r="E1267" s="35" t="s">
        <v>386</v>
      </c>
      <c r="F1267" s="35"/>
      <c r="G1267" s="35" t="s">
        <v>49</v>
      </c>
      <c r="H1267" s="35" t="s">
        <v>49</v>
      </c>
      <c r="I1267" s="4" t="s">
        <v>2025</v>
      </c>
    </row>
    <row r="1268" customFormat="false" ht="15" hidden="false" customHeight="false" outlineLevel="0" collapsed="false">
      <c r="A1268" s="35" t="s">
        <v>3832</v>
      </c>
      <c r="B1268" s="35" t="s">
        <v>3833</v>
      </c>
      <c r="C1268" s="35" t="s">
        <v>48</v>
      </c>
      <c r="D1268" s="35" t="s">
        <v>57</v>
      </c>
      <c r="E1268" s="35" t="s">
        <v>386</v>
      </c>
      <c r="F1268" s="35"/>
      <c r="G1268" s="35" t="s">
        <v>49</v>
      </c>
      <c r="H1268" s="35" t="s">
        <v>49</v>
      </c>
      <c r="I1268" s="4"/>
    </row>
    <row r="1269" customFormat="false" ht="15" hidden="false" customHeight="false" outlineLevel="0" collapsed="false">
      <c r="A1269" s="35" t="s">
        <v>3834</v>
      </c>
      <c r="B1269" s="35" t="s">
        <v>3835</v>
      </c>
      <c r="C1269" s="35" t="s">
        <v>48</v>
      </c>
      <c r="D1269" s="35" t="s">
        <v>57</v>
      </c>
      <c r="E1269" s="35" t="s">
        <v>386</v>
      </c>
      <c r="F1269" s="35"/>
      <c r="G1269" s="35" t="s">
        <v>686</v>
      </c>
      <c r="H1269" s="35" t="s">
        <v>61</v>
      </c>
      <c r="I1269" s="4"/>
    </row>
    <row r="1270" customFormat="false" ht="15" hidden="false" customHeight="false" outlineLevel="0" collapsed="false">
      <c r="A1270" s="35" t="s">
        <v>3836</v>
      </c>
      <c r="B1270" s="35" t="s">
        <v>3837</v>
      </c>
      <c r="C1270" s="35" t="s">
        <v>48</v>
      </c>
      <c r="D1270" s="35" t="s">
        <v>107</v>
      </c>
      <c r="E1270" s="35" t="s">
        <v>393</v>
      </c>
      <c r="F1270" s="35"/>
      <c r="G1270" s="35" t="s">
        <v>87</v>
      </c>
      <c r="H1270" s="35" t="s">
        <v>61</v>
      </c>
      <c r="I1270" s="4"/>
    </row>
    <row r="1271" customFormat="false" ht="15" hidden="false" customHeight="false" outlineLevel="0" collapsed="false">
      <c r="A1271" s="35" t="s">
        <v>392</v>
      </c>
      <c r="B1271" s="35" t="s">
        <v>394</v>
      </c>
      <c r="C1271" s="35" t="s">
        <v>48</v>
      </c>
      <c r="D1271" s="35" t="s">
        <v>57</v>
      </c>
      <c r="E1271" s="35" t="s">
        <v>393</v>
      </c>
      <c r="F1271" s="35"/>
      <c r="G1271" s="35" t="s">
        <v>87</v>
      </c>
      <c r="H1271" s="35" t="s">
        <v>61</v>
      </c>
      <c r="I1271" s="4" t="s">
        <v>2025</v>
      </c>
    </row>
    <row r="1272" customFormat="false" ht="15" hidden="false" customHeight="false" outlineLevel="0" collapsed="false">
      <c r="A1272" s="35" t="s">
        <v>1798</v>
      </c>
      <c r="B1272" s="35" t="s">
        <v>3838</v>
      </c>
      <c r="C1272" s="35" t="s">
        <v>48</v>
      </c>
      <c r="D1272" s="35" t="s">
        <v>57</v>
      </c>
      <c r="E1272" s="35" t="s">
        <v>1797</v>
      </c>
      <c r="F1272" s="35"/>
      <c r="G1272" s="35" t="s">
        <v>87</v>
      </c>
      <c r="H1272" s="35" t="s">
        <v>61</v>
      </c>
      <c r="I1272" s="4"/>
    </row>
    <row r="1273" customFormat="false" ht="15" hidden="false" customHeight="false" outlineLevel="0" collapsed="false">
      <c r="A1273" s="35" t="s">
        <v>984</v>
      </c>
      <c r="B1273" s="35" t="s">
        <v>3839</v>
      </c>
      <c r="C1273" s="35" t="s">
        <v>48</v>
      </c>
      <c r="D1273" s="35" t="s">
        <v>107</v>
      </c>
      <c r="E1273" s="35" t="s">
        <v>983</v>
      </c>
      <c r="F1273" s="35"/>
      <c r="G1273" s="35" t="s">
        <v>571</v>
      </c>
      <c r="H1273" s="35" t="s">
        <v>61</v>
      </c>
      <c r="I1273" s="4"/>
    </row>
    <row r="1274" customFormat="false" ht="15" hidden="false" customHeight="false" outlineLevel="0" collapsed="false">
      <c r="A1274" s="35" t="s">
        <v>1524</v>
      </c>
      <c r="B1274" s="35" t="s">
        <v>3840</v>
      </c>
      <c r="C1274" s="35" t="s">
        <v>48</v>
      </c>
      <c r="D1274" s="35" t="s">
        <v>46</v>
      </c>
      <c r="E1274" s="35" t="s">
        <v>1523</v>
      </c>
      <c r="F1274" s="35"/>
      <c r="G1274" s="35" t="s">
        <v>262</v>
      </c>
      <c r="H1274" s="35" t="s">
        <v>61</v>
      </c>
      <c r="I1274" s="4"/>
    </row>
    <row r="1275" customFormat="false" ht="15" hidden="false" customHeight="false" outlineLevel="0" collapsed="false">
      <c r="A1275" s="35" t="s">
        <v>3841</v>
      </c>
      <c r="B1275" s="35" t="s">
        <v>3842</v>
      </c>
      <c r="C1275" s="35" t="s">
        <v>48</v>
      </c>
      <c r="D1275" s="35" t="s">
        <v>107</v>
      </c>
      <c r="E1275" s="35" t="s">
        <v>1145</v>
      </c>
      <c r="F1275" s="35"/>
      <c r="G1275" s="35" t="s">
        <v>262</v>
      </c>
      <c r="H1275" s="35" t="s">
        <v>267</v>
      </c>
      <c r="I1275" s="4"/>
    </row>
    <row r="1276" customFormat="false" ht="15" hidden="false" customHeight="false" outlineLevel="0" collapsed="false">
      <c r="A1276" s="35" t="s">
        <v>3843</v>
      </c>
      <c r="B1276" s="35" t="s">
        <v>3844</v>
      </c>
      <c r="C1276" s="35" t="s">
        <v>48</v>
      </c>
      <c r="D1276" s="35" t="s">
        <v>53</v>
      </c>
      <c r="E1276" s="35"/>
      <c r="F1276" s="35"/>
      <c r="G1276" s="35" t="s">
        <v>571</v>
      </c>
      <c r="H1276" s="35" t="s">
        <v>61</v>
      </c>
      <c r="I1276" s="4"/>
    </row>
    <row r="1277" customFormat="false" ht="15" hidden="false" customHeight="false" outlineLevel="0" collapsed="false">
      <c r="A1277" s="35" t="s">
        <v>3845</v>
      </c>
      <c r="B1277" s="35" t="s">
        <v>3846</v>
      </c>
      <c r="C1277" s="35" t="s">
        <v>48</v>
      </c>
      <c r="D1277" s="35" t="s">
        <v>107</v>
      </c>
      <c r="E1277" s="35" t="s">
        <v>58</v>
      </c>
      <c r="F1277" s="35"/>
      <c r="G1277" s="35" t="s">
        <v>60</v>
      </c>
      <c r="H1277" s="35" t="s">
        <v>245</v>
      </c>
      <c r="I1277" s="4"/>
    </row>
    <row r="1278" customFormat="false" ht="15" hidden="false" customHeight="false" outlineLevel="0" collapsed="false">
      <c r="A1278" s="35" t="s">
        <v>3847</v>
      </c>
      <c r="B1278" s="35" t="s">
        <v>3848</v>
      </c>
      <c r="C1278" s="35" t="s">
        <v>48</v>
      </c>
      <c r="D1278" s="35" t="s">
        <v>107</v>
      </c>
      <c r="E1278" s="35" t="s">
        <v>58</v>
      </c>
      <c r="F1278" s="35"/>
      <c r="G1278" s="35" t="s">
        <v>60</v>
      </c>
      <c r="H1278" s="35" t="s">
        <v>245</v>
      </c>
      <c r="I1278" s="4"/>
    </row>
    <row r="1279" customFormat="false" ht="15" hidden="false" customHeight="false" outlineLevel="0" collapsed="false">
      <c r="A1279" s="35" t="s">
        <v>1527</v>
      </c>
      <c r="B1279" s="35" t="s">
        <v>3849</v>
      </c>
      <c r="C1279" s="35" t="s">
        <v>48</v>
      </c>
      <c r="D1279" s="35" t="s">
        <v>107</v>
      </c>
      <c r="E1279" s="35" t="s">
        <v>1526</v>
      </c>
      <c r="F1279" s="35"/>
      <c r="G1279" s="35" t="s">
        <v>555</v>
      </c>
      <c r="H1279" s="35" t="s">
        <v>61</v>
      </c>
      <c r="I1279" s="4"/>
    </row>
    <row r="1280" customFormat="false" ht="15" hidden="false" customHeight="false" outlineLevel="0" collapsed="false">
      <c r="A1280" s="35" t="s">
        <v>3850</v>
      </c>
      <c r="B1280" s="35" t="s">
        <v>3851</v>
      </c>
      <c r="C1280" s="35" t="s">
        <v>48</v>
      </c>
      <c r="D1280" s="35" t="s">
        <v>107</v>
      </c>
      <c r="E1280" s="35" t="s">
        <v>553</v>
      </c>
      <c r="F1280" s="35"/>
      <c r="G1280" s="35" t="s">
        <v>555</v>
      </c>
      <c r="H1280" s="35" t="s">
        <v>61</v>
      </c>
      <c r="I1280" s="4"/>
    </row>
    <row r="1281" customFormat="false" ht="15" hidden="false" customHeight="false" outlineLevel="0" collapsed="false">
      <c r="A1281" s="35" t="s">
        <v>564</v>
      </c>
      <c r="B1281" s="35" t="s">
        <v>566</v>
      </c>
      <c r="C1281" s="35" t="s">
        <v>48</v>
      </c>
      <c r="D1281" s="35" t="s">
        <v>107</v>
      </c>
      <c r="E1281" s="35" t="s">
        <v>565</v>
      </c>
      <c r="F1281" s="35"/>
      <c r="G1281" s="35" t="s">
        <v>555</v>
      </c>
      <c r="H1281" s="35" t="s">
        <v>61</v>
      </c>
      <c r="I1281" s="4" t="s">
        <v>2025</v>
      </c>
    </row>
    <row r="1282" customFormat="false" ht="15" hidden="false" customHeight="false" outlineLevel="0" collapsed="false">
      <c r="A1282" s="35" t="s">
        <v>3852</v>
      </c>
      <c r="B1282" s="35" t="s">
        <v>3853</v>
      </c>
      <c r="C1282" s="35" t="s">
        <v>48</v>
      </c>
      <c r="D1282" s="35" t="s">
        <v>107</v>
      </c>
      <c r="E1282" s="35" t="s">
        <v>565</v>
      </c>
      <c r="F1282" s="35"/>
      <c r="G1282" s="35" t="s">
        <v>555</v>
      </c>
      <c r="H1282" s="35" t="s">
        <v>2071</v>
      </c>
      <c r="I1282" s="4"/>
    </row>
    <row r="1283" customFormat="false" ht="15" hidden="false" customHeight="false" outlineLevel="0" collapsed="false">
      <c r="A1283" s="35" t="s">
        <v>3854</v>
      </c>
      <c r="B1283" s="35" t="s">
        <v>3855</v>
      </c>
      <c r="C1283" s="35" t="s">
        <v>48</v>
      </c>
      <c r="D1283" s="35" t="s">
        <v>107</v>
      </c>
      <c r="E1283" s="35" t="s">
        <v>987</v>
      </c>
      <c r="F1283" s="35"/>
      <c r="G1283" s="35" t="s">
        <v>99</v>
      </c>
      <c r="H1283" s="35" t="s">
        <v>61</v>
      </c>
      <c r="I1283" s="4"/>
    </row>
    <row r="1284" customFormat="false" ht="15" hidden="false" customHeight="false" outlineLevel="0" collapsed="false">
      <c r="A1284" s="35" t="s">
        <v>3856</v>
      </c>
      <c r="B1284" s="35" t="s">
        <v>3857</v>
      </c>
      <c r="C1284" s="35" t="s">
        <v>48</v>
      </c>
      <c r="D1284" s="35" t="s">
        <v>114</v>
      </c>
      <c r="E1284" s="35"/>
      <c r="F1284" s="35"/>
      <c r="G1284" s="35" t="s">
        <v>99</v>
      </c>
      <c r="H1284" s="35" t="s">
        <v>61</v>
      </c>
      <c r="I1284" s="4"/>
    </row>
    <row r="1285" customFormat="false" ht="15" hidden="false" customHeight="false" outlineLevel="0" collapsed="false">
      <c r="A1285" s="35" t="s">
        <v>3858</v>
      </c>
      <c r="B1285" s="35" t="s">
        <v>3859</v>
      </c>
      <c r="C1285" s="35" t="s">
        <v>48</v>
      </c>
      <c r="D1285" s="35" t="s">
        <v>114</v>
      </c>
      <c r="E1285" s="35"/>
      <c r="F1285" s="35"/>
      <c r="G1285" s="35" t="s">
        <v>328</v>
      </c>
      <c r="H1285" s="35" t="s">
        <v>61</v>
      </c>
      <c r="I1285" s="4"/>
    </row>
    <row r="1286" customFormat="false" ht="15" hidden="false" customHeight="false" outlineLevel="0" collapsed="false">
      <c r="A1286" s="35" t="s">
        <v>3860</v>
      </c>
      <c r="B1286" s="35" t="s">
        <v>3861</v>
      </c>
      <c r="C1286" s="35" t="s">
        <v>48</v>
      </c>
      <c r="D1286" s="35" t="s">
        <v>107</v>
      </c>
      <c r="E1286" s="35" t="s">
        <v>987</v>
      </c>
      <c r="F1286" s="35"/>
      <c r="G1286" s="35" t="s">
        <v>433</v>
      </c>
      <c r="H1286" s="35" t="s">
        <v>61</v>
      </c>
      <c r="I1286" s="4"/>
    </row>
    <row r="1287" customFormat="false" ht="15" hidden="false" customHeight="false" outlineLevel="0" collapsed="false">
      <c r="A1287" s="35" t="s">
        <v>3862</v>
      </c>
      <c r="B1287" s="35" t="s">
        <v>3863</v>
      </c>
      <c r="C1287" s="35" t="s">
        <v>48</v>
      </c>
      <c r="D1287" s="35" t="s">
        <v>107</v>
      </c>
      <c r="E1287" s="35" t="s">
        <v>850</v>
      </c>
      <c r="F1287" s="35"/>
      <c r="G1287" s="35" t="s">
        <v>433</v>
      </c>
      <c r="H1287" s="35" t="s">
        <v>245</v>
      </c>
      <c r="I1287" s="4"/>
    </row>
    <row r="1288" customFormat="false" ht="15" hidden="false" customHeight="false" outlineLevel="0" collapsed="false">
      <c r="A1288" s="35" t="s">
        <v>1531</v>
      </c>
      <c r="B1288" s="35" t="s">
        <v>3864</v>
      </c>
      <c r="C1288" s="35" t="s">
        <v>48</v>
      </c>
      <c r="D1288" s="35" t="s">
        <v>46</v>
      </c>
      <c r="E1288" s="35" t="s">
        <v>1530</v>
      </c>
      <c r="F1288" s="35"/>
      <c r="G1288" s="35" t="s">
        <v>262</v>
      </c>
      <c r="H1288" s="35" t="s">
        <v>61</v>
      </c>
      <c r="I1288" s="4"/>
    </row>
    <row r="1289" customFormat="false" ht="15" hidden="false" customHeight="false" outlineLevel="0" collapsed="false">
      <c r="A1289" s="35" t="s">
        <v>3865</v>
      </c>
      <c r="B1289" s="35" t="s">
        <v>3866</v>
      </c>
      <c r="C1289" s="35" t="s">
        <v>48</v>
      </c>
      <c r="D1289" s="35" t="s">
        <v>107</v>
      </c>
      <c r="E1289" s="35" t="s">
        <v>1148</v>
      </c>
      <c r="F1289" s="35"/>
      <c r="G1289" s="35" t="s">
        <v>262</v>
      </c>
      <c r="H1289" s="35" t="s">
        <v>267</v>
      </c>
      <c r="I1289" s="4"/>
    </row>
    <row r="1290" customFormat="false" ht="15" hidden="false" customHeight="false" outlineLevel="0" collapsed="false">
      <c r="A1290" s="35" t="s">
        <v>3867</v>
      </c>
      <c r="B1290" s="35" t="s">
        <v>3868</v>
      </c>
      <c r="C1290" s="35" t="s">
        <v>48</v>
      </c>
      <c r="D1290" s="35" t="s">
        <v>447</v>
      </c>
      <c r="E1290" s="35"/>
      <c r="F1290" s="35"/>
      <c r="G1290" s="35" t="s">
        <v>681</v>
      </c>
      <c r="H1290" s="35" t="s">
        <v>61</v>
      </c>
      <c r="I1290" s="4"/>
    </row>
    <row r="1291" customFormat="false" ht="15" hidden="false" customHeight="false" outlineLevel="0" collapsed="false">
      <c r="A1291" s="35" t="s">
        <v>3869</v>
      </c>
      <c r="B1291" s="35" t="s">
        <v>3870</v>
      </c>
      <c r="C1291" s="35" t="s">
        <v>48</v>
      </c>
      <c r="D1291" s="35" t="s">
        <v>447</v>
      </c>
      <c r="E1291" s="35"/>
      <c r="F1291" s="35"/>
      <c r="G1291" s="35" t="s">
        <v>444</v>
      </c>
      <c r="H1291" s="35" t="s">
        <v>61</v>
      </c>
      <c r="I1291" s="4"/>
    </row>
    <row r="1292" customFormat="false" ht="15" hidden="false" customHeight="false" outlineLevel="0" collapsed="false">
      <c r="A1292" s="35" t="s">
        <v>3871</v>
      </c>
      <c r="B1292" s="35" t="s">
        <v>3872</v>
      </c>
      <c r="C1292" s="35" t="s">
        <v>48</v>
      </c>
      <c r="D1292" s="35" t="s">
        <v>114</v>
      </c>
      <c r="E1292" s="35"/>
      <c r="F1292" s="35"/>
      <c r="G1292" s="35" t="s">
        <v>686</v>
      </c>
      <c r="H1292" s="35" t="s">
        <v>61</v>
      </c>
      <c r="I1292" s="4"/>
    </row>
    <row r="1293" customFormat="false" ht="15" hidden="false" customHeight="false" outlineLevel="0" collapsed="false">
      <c r="A1293" s="35" t="s">
        <v>3873</v>
      </c>
      <c r="B1293" s="35" t="s">
        <v>3874</v>
      </c>
      <c r="C1293" s="35" t="s">
        <v>48</v>
      </c>
      <c r="D1293" s="35" t="s">
        <v>114</v>
      </c>
      <c r="E1293" s="35"/>
      <c r="F1293" s="35"/>
      <c r="G1293" s="35" t="s">
        <v>119</v>
      </c>
      <c r="H1293" s="35" t="s">
        <v>50</v>
      </c>
      <c r="I1293" s="4"/>
    </row>
    <row r="1294" customFormat="false" ht="15" hidden="false" customHeight="false" outlineLevel="0" collapsed="false">
      <c r="A1294" s="35" t="s">
        <v>3875</v>
      </c>
      <c r="B1294" s="35" t="s">
        <v>3876</v>
      </c>
      <c r="C1294" s="35" t="s">
        <v>48</v>
      </c>
      <c r="D1294" s="35" t="s">
        <v>114</v>
      </c>
      <c r="E1294" s="35"/>
      <c r="F1294" s="35"/>
      <c r="G1294" s="35" t="s">
        <v>417</v>
      </c>
      <c r="H1294" s="35" t="s">
        <v>61</v>
      </c>
      <c r="I1294" s="4"/>
    </row>
    <row r="1295" customFormat="false" ht="15" hidden="false" customHeight="false" outlineLevel="0" collapsed="false">
      <c r="A1295" s="35" t="s">
        <v>3877</v>
      </c>
      <c r="B1295" s="35" t="s">
        <v>3878</v>
      </c>
      <c r="C1295" s="35" t="s">
        <v>48</v>
      </c>
      <c r="D1295" s="35" t="s">
        <v>114</v>
      </c>
      <c r="E1295" s="35"/>
      <c r="F1295" s="35"/>
      <c r="G1295" s="35" t="s">
        <v>690</v>
      </c>
      <c r="H1295" s="35" t="s">
        <v>61</v>
      </c>
      <c r="I1295" s="4"/>
    </row>
    <row r="1296" customFormat="false" ht="15" hidden="false" customHeight="false" outlineLevel="0" collapsed="false">
      <c r="A1296" s="35" t="s">
        <v>3879</v>
      </c>
      <c r="B1296" s="35" t="s">
        <v>3880</v>
      </c>
      <c r="C1296" s="35" t="s">
        <v>48</v>
      </c>
      <c r="D1296" s="35" t="s">
        <v>114</v>
      </c>
      <c r="E1296" s="35"/>
      <c r="F1296" s="35" t="s">
        <v>3881</v>
      </c>
      <c r="G1296" s="35" t="s">
        <v>699</v>
      </c>
      <c r="H1296" s="35" t="s">
        <v>61</v>
      </c>
      <c r="I1296" s="4"/>
    </row>
    <row r="1297" customFormat="false" ht="15" hidden="false" customHeight="false" outlineLevel="0" collapsed="false">
      <c r="A1297" s="35" t="s">
        <v>3882</v>
      </c>
      <c r="B1297" s="35" t="s">
        <v>3883</v>
      </c>
      <c r="C1297" s="35" t="s">
        <v>48</v>
      </c>
      <c r="D1297" s="35" t="s">
        <v>114</v>
      </c>
      <c r="E1297" s="35"/>
      <c r="F1297" s="35"/>
      <c r="G1297" s="35" t="s">
        <v>433</v>
      </c>
      <c r="H1297" s="35" t="s">
        <v>61</v>
      </c>
      <c r="I1297" s="4"/>
    </row>
    <row r="1298" customFormat="false" ht="15" hidden="false" customHeight="false" outlineLevel="0" collapsed="false">
      <c r="A1298" s="35" t="s">
        <v>3884</v>
      </c>
      <c r="B1298" s="35" t="s">
        <v>3885</v>
      </c>
      <c r="C1298" s="35" t="s">
        <v>48</v>
      </c>
      <c r="D1298" s="35" t="s">
        <v>114</v>
      </c>
      <c r="E1298" s="35"/>
      <c r="F1298" s="35"/>
      <c r="G1298" s="35" t="s">
        <v>681</v>
      </c>
      <c r="H1298" s="35" t="s">
        <v>61</v>
      </c>
      <c r="I1298" s="4"/>
    </row>
    <row r="1299" customFormat="false" ht="15" hidden="false" customHeight="false" outlineLevel="0" collapsed="false">
      <c r="A1299" s="35" t="s">
        <v>3886</v>
      </c>
      <c r="B1299" s="35" t="s">
        <v>3887</v>
      </c>
      <c r="C1299" s="35" t="s">
        <v>48</v>
      </c>
      <c r="D1299" s="35" t="s">
        <v>107</v>
      </c>
      <c r="E1299" s="35" t="s">
        <v>798</v>
      </c>
      <c r="F1299" s="35"/>
      <c r="G1299" s="35" t="s">
        <v>679</v>
      </c>
      <c r="H1299" s="35" t="s">
        <v>61</v>
      </c>
      <c r="I1299" s="4"/>
    </row>
    <row r="1300" customFormat="false" ht="15" hidden="false" customHeight="false" outlineLevel="0" collapsed="false">
      <c r="A1300" s="35" t="s">
        <v>3888</v>
      </c>
      <c r="B1300" s="35" t="s">
        <v>3889</v>
      </c>
      <c r="C1300" s="35" t="s">
        <v>48</v>
      </c>
      <c r="D1300" s="35" t="s">
        <v>114</v>
      </c>
      <c r="E1300" s="35"/>
      <c r="F1300" s="35"/>
      <c r="G1300" s="35" t="s">
        <v>433</v>
      </c>
      <c r="H1300" s="35" t="s">
        <v>61</v>
      </c>
      <c r="I1300" s="4"/>
    </row>
    <row r="1301" customFormat="false" ht="15" hidden="false" customHeight="false" outlineLevel="0" collapsed="false">
      <c r="A1301" s="35" t="s">
        <v>3890</v>
      </c>
      <c r="B1301" s="35" t="s">
        <v>3891</v>
      </c>
      <c r="C1301" s="35" t="s">
        <v>48</v>
      </c>
      <c r="D1301" s="35" t="s">
        <v>114</v>
      </c>
      <c r="E1301" s="35"/>
      <c r="F1301" s="35"/>
      <c r="G1301" s="35" t="s">
        <v>444</v>
      </c>
      <c r="H1301" s="35" t="s">
        <v>61</v>
      </c>
      <c r="I1301" s="4"/>
    </row>
    <row r="1302" customFormat="false" ht="15" hidden="false" customHeight="false" outlineLevel="0" collapsed="false">
      <c r="A1302" s="35" t="s">
        <v>3892</v>
      </c>
      <c r="B1302" s="35" t="s">
        <v>3893</v>
      </c>
      <c r="C1302" s="35" t="s">
        <v>48</v>
      </c>
      <c r="D1302" s="35" t="s">
        <v>114</v>
      </c>
      <c r="E1302" s="35"/>
      <c r="F1302" s="35"/>
      <c r="G1302" s="35" t="s">
        <v>421</v>
      </c>
      <c r="H1302" s="35" t="s">
        <v>61</v>
      </c>
      <c r="I1302" s="4"/>
    </row>
    <row r="1303" customFormat="false" ht="15" hidden="false" customHeight="false" outlineLevel="0" collapsed="false">
      <c r="A1303" s="35" t="s">
        <v>3894</v>
      </c>
      <c r="B1303" s="35" t="s">
        <v>3895</v>
      </c>
      <c r="C1303" s="35" t="s">
        <v>48</v>
      </c>
      <c r="D1303" s="35" t="s">
        <v>114</v>
      </c>
      <c r="E1303" s="35"/>
      <c r="F1303" s="35"/>
      <c r="G1303" s="35" t="s">
        <v>742</v>
      </c>
      <c r="H1303" s="35" t="s">
        <v>61</v>
      </c>
      <c r="I1303" s="4"/>
    </row>
    <row r="1304" customFormat="false" ht="15" hidden="false" customHeight="false" outlineLevel="0" collapsed="false">
      <c r="A1304" s="35" t="s">
        <v>3896</v>
      </c>
      <c r="B1304" s="35" t="s">
        <v>3897</v>
      </c>
      <c r="C1304" s="35" t="s">
        <v>48</v>
      </c>
      <c r="D1304" s="35" t="s">
        <v>114</v>
      </c>
      <c r="E1304" s="35"/>
      <c r="F1304" s="35"/>
      <c r="G1304" s="35" t="s">
        <v>104</v>
      </c>
      <c r="H1304" s="35" t="s">
        <v>61</v>
      </c>
      <c r="I1304" s="4"/>
    </row>
    <row r="1305" customFormat="false" ht="15" hidden="false" customHeight="false" outlineLevel="0" collapsed="false">
      <c r="A1305" s="35" t="s">
        <v>3898</v>
      </c>
      <c r="B1305" s="35" t="s">
        <v>3899</v>
      </c>
      <c r="C1305" s="35" t="s">
        <v>48</v>
      </c>
      <c r="D1305" s="35" t="s">
        <v>114</v>
      </c>
      <c r="E1305" s="35"/>
      <c r="F1305" s="35"/>
      <c r="G1305" s="35" t="s">
        <v>727</v>
      </c>
      <c r="H1305" s="35" t="s">
        <v>61</v>
      </c>
      <c r="I1305" s="4"/>
    </row>
    <row r="1306" customFormat="false" ht="15" hidden="false" customHeight="false" outlineLevel="0" collapsed="false">
      <c r="A1306" s="35" t="s">
        <v>3900</v>
      </c>
      <c r="B1306" s="35" t="s">
        <v>3901</v>
      </c>
      <c r="C1306" s="35" t="s">
        <v>48</v>
      </c>
      <c r="D1306" s="35" t="s">
        <v>107</v>
      </c>
      <c r="E1306" s="35" t="s">
        <v>110</v>
      </c>
      <c r="F1306" s="35" t="s">
        <v>3902</v>
      </c>
      <c r="G1306" s="35" t="s">
        <v>709</v>
      </c>
      <c r="H1306" s="35" t="s">
        <v>61</v>
      </c>
      <c r="I1306" s="4"/>
    </row>
    <row r="1307" customFormat="false" ht="15" hidden="false" customHeight="false" outlineLevel="0" collapsed="false">
      <c r="A1307" s="35" t="s">
        <v>3903</v>
      </c>
      <c r="B1307" s="35" t="s">
        <v>3904</v>
      </c>
      <c r="C1307" s="35" t="s">
        <v>48</v>
      </c>
      <c r="D1307" s="35" t="s">
        <v>107</v>
      </c>
      <c r="E1307" s="35" t="s">
        <v>289</v>
      </c>
      <c r="F1307" s="35" t="s">
        <v>3902</v>
      </c>
      <c r="G1307" s="35" t="s">
        <v>709</v>
      </c>
      <c r="H1307" s="35" t="s">
        <v>61</v>
      </c>
      <c r="I1307" s="4"/>
    </row>
    <row r="1308" customFormat="false" ht="15" hidden="false" customHeight="false" outlineLevel="0" collapsed="false">
      <c r="A1308" s="35" t="s">
        <v>3905</v>
      </c>
      <c r="B1308" s="35" t="s">
        <v>3906</v>
      </c>
      <c r="C1308" s="35" t="s">
        <v>48</v>
      </c>
      <c r="D1308" s="35" t="s">
        <v>107</v>
      </c>
      <c r="E1308" s="35" t="s">
        <v>320</v>
      </c>
      <c r="F1308" s="35" t="s">
        <v>3902</v>
      </c>
      <c r="G1308" s="35" t="s">
        <v>709</v>
      </c>
      <c r="H1308" s="35" t="s">
        <v>61</v>
      </c>
      <c r="I1308" s="4"/>
    </row>
    <row r="1309" customFormat="false" ht="15" hidden="false" customHeight="false" outlineLevel="0" collapsed="false">
      <c r="A1309" s="35" t="s">
        <v>3907</v>
      </c>
      <c r="B1309" s="35" t="s">
        <v>3908</v>
      </c>
      <c r="C1309" s="35" t="s">
        <v>48</v>
      </c>
      <c r="D1309" s="35" t="s">
        <v>107</v>
      </c>
      <c r="E1309" s="35" t="s">
        <v>106</v>
      </c>
      <c r="F1309" s="35" t="s">
        <v>3902</v>
      </c>
      <c r="G1309" s="35" t="s">
        <v>709</v>
      </c>
      <c r="H1309" s="35" t="s">
        <v>61</v>
      </c>
      <c r="I1309" s="4"/>
    </row>
    <row r="1310" customFormat="false" ht="15" hidden="false" customHeight="false" outlineLevel="0" collapsed="false">
      <c r="A1310" s="35" t="s">
        <v>3909</v>
      </c>
      <c r="B1310" s="35" t="s">
        <v>3910</v>
      </c>
      <c r="C1310" s="35" t="s">
        <v>48</v>
      </c>
      <c r="D1310" s="35" t="s">
        <v>107</v>
      </c>
      <c r="E1310" s="35" t="s">
        <v>313</v>
      </c>
      <c r="F1310" s="35" t="s">
        <v>3902</v>
      </c>
      <c r="G1310" s="35" t="s">
        <v>709</v>
      </c>
      <c r="H1310" s="35" t="s">
        <v>61</v>
      </c>
      <c r="I1310" s="4"/>
    </row>
    <row r="1311" customFormat="false" ht="15" hidden="false" customHeight="false" outlineLevel="0" collapsed="false">
      <c r="A1311" s="35" t="s">
        <v>3911</v>
      </c>
      <c r="B1311" s="35" t="s">
        <v>3912</v>
      </c>
      <c r="C1311" s="35" t="s">
        <v>48</v>
      </c>
      <c r="D1311" s="35" t="s">
        <v>107</v>
      </c>
      <c r="E1311" s="35" t="s">
        <v>302</v>
      </c>
      <c r="F1311" s="35" t="s">
        <v>3902</v>
      </c>
      <c r="G1311" s="35" t="s">
        <v>709</v>
      </c>
      <c r="H1311" s="35" t="s">
        <v>61</v>
      </c>
      <c r="I1311" s="4"/>
    </row>
    <row r="1312" customFormat="false" ht="15" hidden="false" customHeight="false" outlineLevel="0" collapsed="false">
      <c r="A1312" s="35" t="s">
        <v>3913</v>
      </c>
      <c r="B1312" s="35" t="s">
        <v>3914</v>
      </c>
      <c r="C1312" s="35" t="s">
        <v>48</v>
      </c>
      <c r="D1312" s="35" t="s">
        <v>107</v>
      </c>
      <c r="E1312" s="35" t="s">
        <v>102</v>
      </c>
      <c r="F1312" s="35" t="s">
        <v>3902</v>
      </c>
      <c r="G1312" s="35" t="s">
        <v>709</v>
      </c>
      <c r="H1312" s="35" t="s">
        <v>61</v>
      </c>
      <c r="I1312" s="4"/>
    </row>
    <row r="1313" customFormat="false" ht="15" hidden="false" customHeight="false" outlineLevel="0" collapsed="false">
      <c r="A1313" s="35" t="s">
        <v>1533</v>
      </c>
      <c r="B1313" s="35" t="s">
        <v>3915</v>
      </c>
      <c r="C1313" s="35" t="s">
        <v>48</v>
      </c>
      <c r="D1313" s="35" t="s">
        <v>107</v>
      </c>
      <c r="E1313" s="35" t="s">
        <v>1532</v>
      </c>
      <c r="F1313" s="35"/>
      <c r="G1313" s="35" t="s">
        <v>681</v>
      </c>
      <c r="H1313" s="35" t="s">
        <v>61</v>
      </c>
      <c r="I1313" s="4"/>
    </row>
    <row r="1314" customFormat="false" ht="15" hidden="false" customHeight="false" outlineLevel="0" collapsed="false">
      <c r="A1314" s="35" t="s">
        <v>3916</v>
      </c>
      <c r="B1314" s="35" t="s">
        <v>3917</v>
      </c>
      <c r="C1314" s="35" t="s">
        <v>48</v>
      </c>
      <c r="D1314" s="35" t="s">
        <v>114</v>
      </c>
      <c r="E1314" s="35"/>
      <c r="F1314" s="35" t="s">
        <v>2383</v>
      </c>
      <c r="G1314" s="35" t="s">
        <v>681</v>
      </c>
      <c r="H1314" s="35" t="s">
        <v>61</v>
      </c>
      <c r="I1314" s="4"/>
    </row>
    <row r="1315" customFormat="false" ht="15" hidden="false" customHeight="false" outlineLevel="0" collapsed="false">
      <c r="A1315" s="35" t="s">
        <v>1535</v>
      </c>
      <c r="B1315" s="35" t="s">
        <v>3918</v>
      </c>
      <c r="C1315" s="35" t="s">
        <v>48</v>
      </c>
      <c r="D1315" s="35" t="s">
        <v>107</v>
      </c>
      <c r="E1315" s="35" t="s">
        <v>1534</v>
      </c>
      <c r="F1315" s="35"/>
      <c r="G1315" s="35" t="s">
        <v>681</v>
      </c>
      <c r="H1315" s="35" t="s">
        <v>61</v>
      </c>
      <c r="I1315" s="4"/>
    </row>
    <row r="1316" customFormat="false" ht="15" hidden="false" customHeight="false" outlineLevel="0" collapsed="false">
      <c r="A1316" s="35" t="s">
        <v>3919</v>
      </c>
      <c r="B1316" s="35" t="s">
        <v>3920</v>
      </c>
      <c r="C1316" s="35" t="s">
        <v>48</v>
      </c>
      <c r="D1316" s="35" t="s">
        <v>107</v>
      </c>
      <c r="E1316" s="35" t="s">
        <v>876</v>
      </c>
      <c r="F1316" s="35"/>
      <c r="G1316" s="35" t="s">
        <v>262</v>
      </c>
      <c r="H1316" s="35" t="s">
        <v>61</v>
      </c>
      <c r="I1316" s="4"/>
    </row>
    <row r="1317" customFormat="false" ht="15" hidden="false" customHeight="false" outlineLevel="0" collapsed="false">
      <c r="A1317" s="35" t="s">
        <v>3921</v>
      </c>
      <c r="B1317" s="35" t="s">
        <v>3922</v>
      </c>
      <c r="C1317" s="35" t="s">
        <v>48</v>
      </c>
      <c r="D1317" s="35" t="s">
        <v>114</v>
      </c>
      <c r="E1317" s="35"/>
      <c r="F1317" s="35"/>
      <c r="G1317" s="35" t="s">
        <v>262</v>
      </c>
      <c r="H1317" s="35" t="s">
        <v>61</v>
      </c>
      <c r="I1317" s="4"/>
    </row>
    <row r="1318" customFormat="false" ht="15" hidden="false" customHeight="false" outlineLevel="0" collapsed="false">
      <c r="A1318" s="35" t="s">
        <v>3923</v>
      </c>
      <c r="B1318" s="35" t="s">
        <v>3924</v>
      </c>
      <c r="C1318" s="35" t="s">
        <v>48</v>
      </c>
      <c r="D1318" s="35" t="s">
        <v>114</v>
      </c>
      <c r="E1318" s="35"/>
      <c r="F1318" s="35"/>
      <c r="G1318" s="35" t="s">
        <v>262</v>
      </c>
      <c r="H1318" s="35" t="s">
        <v>61</v>
      </c>
      <c r="I1318" s="4"/>
    </row>
    <row r="1319" customFormat="false" ht="15" hidden="false" customHeight="false" outlineLevel="0" collapsed="false">
      <c r="A1319" s="35" t="s">
        <v>3925</v>
      </c>
      <c r="B1319" s="35" t="s">
        <v>3926</v>
      </c>
      <c r="C1319" s="35" t="s">
        <v>48</v>
      </c>
      <c r="D1319" s="35" t="s">
        <v>57</v>
      </c>
      <c r="E1319" s="35" t="s">
        <v>603</v>
      </c>
      <c r="F1319" s="35"/>
      <c r="G1319" s="35" t="s">
        <v>545</v>
      </c>
      <c r="H1319" s="35" t="s">
        <v>369</v>
      </c>
      <c r="I1319" s="4"/>
    </row>
    <row r="1320" customFormat="false" ht="15" hidden="false" customHeight="false" outlineLevel="0" collapsed="false">
      <c r="A1320" s="35" t="s">
        <v>3927</v>
      </c>
      <c r="B1320" s="35" t="s">
        <v>3928</v>
      </c>
      <c r="C1320" s="35" t="s">
        <v>48</v>
      </c>
      <c r="D1320" s="35" t="s">
        <v>57</v>
      </c>
      <c r="E1320" s="35" t="s">
        <v>1091</v>
      </c>
      <c r="F1320" s="35"/>
      <c r="G1320" s="35" t="s">
        <v>417</v>
      </c>
      <c r="H1320" s="35" t="s">
        <v>61</v>
      </c>
      <c r="I1320" s="4"/>
    </row>
    <row r="1321" customFormat="false" ht="15" hidden="false" customHeight="false" outlineLevel="0" collapsed="false">
      <c r="A1321" s="35" t="s">
        <v>3929</v>
      </c>
      <c r="B1321" s="35" t="s">
        <v>3930</v>
      </c>
      <c r="C1321" s="35" t="s">
        <v>48</v>
      </c>
      <c r="D1321" s="35" t="s">
        <v>157</v>
      </c>
      <c r="E1321" s="35"/>
      <c r="F1321" s="35"/>
      <c r="G1321" s="35" t="s">
        <v>545</v>
      </c>
      <c r="H1321" s="35" t="s">
        <v>61</v>
      </c>
      <c r="I1321" s="4"/>
    </row>
    <row r="1322" customFormat="false" ht="15" hidden="false" customHeight="false" outlineLevel="0" collapsed="false">
      <c r="A1322" s="35" t="s">
        <v>3931</v>
      </c>
      <c r="B1322" s="35" t="s">
        <v>3932</v>
      </c>
      <c r="C1322" s="35" t="s">
        <v>48</v>
      </c>
      <c r="D1322" s="35" t="s">
        <v>157</v>
      </c>
      <c r="E1322" s="35"/>
      <c r="F1322" s="35"/>
      <c r="G1322" s="35" t="s">
        <v>545</v>
      </c>
      <c r="H1322" s="35" t="s">
        <v>61</v>
      </c>
      <c r="I1322" s="4"/>
    </row>
    <row r="1323" customFormat="false" ht="15" hidden="false" customHeight="false" outlineLevel="0" collapsed="false">
      <c r="A1323" s="35" t="s">
        <v>3933</v>
      </c>
      <c r="B1323" s="35" t="s">
        <v>3934</v>
      </c>
      <c r="C1323" s="35" t="s">
        <v>48</v>
      </c>
      <c r="D1323" s="35" t="s">
        <v>57</v>
      </c>
      <c r="E1323" s="35" t="s">
        <v>603</v>
      </c>
      <c r="F1323" s="35"/>
      <c r="G1323" s="35" t="s">
        <v>545</v>
      </c>
      <c r="H1323" s="35" t="s">
        <v>369</v>
      </c>
      <c r="I1323" s="4"/>
    </row>
    <row r="1324" customFormat="false" ht="15" hidden="false" customHeight="false" outlineLevel="0" collapsed="false">
      <c r="A1324" s="35" t="s">
        <v>3935</v>
      </c>
      <c r="B1324" s="35" t="s">
        <v>3936</v>
      </c>
      <c r="C1324" s="35" t="s">
        <v>48</v>
      </c>
      <c r="D1324" s="35" t="s">
        <v>157</v>
      </c>
      <c r="E1324" s="35"/>
      <c r="F1324" s="35"/>
      <c r="G1324" s="35" t="s">
        <v>104</v>
      </c>
      <c r="H1324" s="35" t="s">
        <v>61</v>
      </c>
      <c r="I1324" s="4"/>
    </row>
    <row r="1325" customFormat="false" ht="15" hidden="false" customHeight="false" outlineLevel="0" collapsed="false">
      <c r="A1325" s="35" t="s">
        <v>156</v>
      </c>
      <c r="B1325" s="35" t="s">
        <v>158</v>
      </c>
      <c r="C1325" s="35" t="s">
        <v>48</v>
      </c>
      <c r="D1325" s="35" t="s">
        <v>157</v>
      </c>
      <c r="E1325" s="35"/>
      <c r="F1325" s="35"/>
      <c r="G1325" s="35" t="s">
        <v>49</v>
      </c>
      <c r="H1325" s="35" t="s">
        <v>50</v>
      </c>
      <c r="I1325" s="4" t="s">
        <v>2025</v>
      </c>
    </row>
    <row r="1326" customFormat="false" ht="15" hidden="false" customHeight="false" outlineLevel="0" collapsed="false">
      <c r="A1326" s="35" t="s">
        <v>3937</v>
      </c>
      <c r="B1326" s="35" t="s">
        <v>3936</v>
      </c>
      <c r="C1326" s="35" t="s">
        <v>48</v>
      </c>
      <c r="D1326" s="35" t="s">
        <v>157</v>
      </c>
      <c r="E1326" s="35"/>
      <c r="F1326" s="35"/>
      <c r="G1326" s="35" t="s">
        <v>104</v>
      </c>
      <c r="H1326" s="35" t="s">
        <v>61</v>
      </c>
      <c r="I1326" s="4"/>
    </row>
    <row r="1327" customFormat="false" ht="15" hidden="false" customHeight="false" outlineLevel="0" collapsed="false">
      <c r="A1327" s="35" t="s">
        <v>1537</v>
      </c>
      <c r="B1327" s="35" t="s">
        <v>3938</v>
      </c>
      <c r="C1327" s="35" t="s">
        <v>48</v>
      </c>
      <c r="D1327" s="35" t="s">
        <v>107</v>
      </c>
      <c r="E1327" s="35" t="s">
        <v>1536</v>
      </c>
      <c r="F1327" s="35"/>
      <c r="G1327" s="35" t="s">
        <v>188</v>
      </c>
      <c r="H1327" s="35" t="s">
        <v>61</v>
      </c>
      <c r="I1327" s="4"/>
    </row>
    <row r="1328" customFormat="false" ht="15" hidden="false" customHeight="false" outlineLevel="0" collapsed="false">
      <c r="A1328" s="35" t="s">
        <v>619</v>
      </c>
      <c r="B1328" s="35" t="s">
        <v>621</v>
      </c>
      <c r="C1328" s="35" t="s">
        <v>48</v>
      </c>
      <c r="D1328" s="35" t="s">
        <v>107</v>
      </c>
      <c r="E1328" s="35" t="s">
        <v>620</v>
      </c>
      <c r="F1328" s="35"/>
      <c r="G1328" s="35" t="s">
        <v>188</v>
      </c>
      <c r="H1328" s="35" t="s">
        <v>61</v>
      </c>
      <c r="I1328" s="4" t="s">
        <v>2025</v>
      </c>
    </row>
    <row r="1329" customFormat="false" ht="15" hidden="false" customHeight="false" outlineLevel="0" collapsed="false">
      <c r="A1329" s="35" t="s">
        <v>3939</v>
      </c>
      <c r="B1329" s="35" t="s">
        <v>3940</v>
      </c>
      <c r="C1329" s="35" t="s">
        <v>48</v>
      </c>
      <c r="D1329" s="35" t="s">
        <v>157</v>
      </c>
      <c r="E1329" s="35"/>
      <c r="F1329" s="35"/>
      <c r="G1329" s="35" t="s">
        <v>104</v>
      </c>
      <c r="H1329" s="35" t="s">
        <v>61</v>
      </c>
      <c r="I1329" s="4"/>
    </row>
    <row r="1330" customFormat="false" ht="15" hidden="false" customHeight="false" outlineLevel="0" collapsed="false">
      <c r="A1330" s="35" t="s">
        <v>3941</v>
      </c>
      <c r="B1330" s="35" t="s">
        <v>3942</v>
      </c>
      <c r="C1330" s="35" t="s">
        <v>48</v>
      </c>
      <c r="D1330" s="35" t="s">
        <v>157</v>
      </c>
      <c r="E1330" s="35"/>
      <c r="F1330" s="35"/>
      <c r="G1330" s="35" t="s">
        <v>104</v>
      </c>
      <c r="H1330" s="35" t="s">
        <v>61</v>
      </c>
      <c r="I1330" s="4"/>
    </row>
    <row r="1331" customFormat="false" ht="15" hidden="false" customHeight="false" outlineLevel="0" collapsed="false">
      <c r="A1331" s="35" t="s">
        <v>3943</v>
      </c>
      <c r="B1331" s="35" t="s">
        <v>3944</v>
      </c>
      <c r="C1331" s="35" t="s">
        <v>48</v>
      </c>
      <c r="D1331" s="35" t="s">
        <v>114</v>
      </c>
      <c r="E1331" s="35"/>
      <c r="F1331" s="35" t="s">
        <v>3945</v>
      </c>
      <c r="G1331" s="35" t="s">
        <v>699</v>
      </c>
      <c r="H1331" s="35" t="s">
        <v>61</v>
      </c>
      <c r="I1331" s="4"/>
    </row>
    <row r="1332" customFormat="false" ht="15" hidden="false" customHeight="false" outlineLevel="0" collapsed="false">
      <c r="A1332" s="35" t="s">
        <v>1673</v>
      </c>
      <c r="B1332" s="35" t="s">
        <v>3946</v>
      </c>
      <c r="C1332" s="35" t="s">
        <v>48</v>
      </c>
      <c r="D1332" s="35" t="s">
        <v>107</v>
      </c>
      <c r="E1332" s="35" t="s">
        <v>1672</v>
      </c>
      <c r="F1332" s="35"/>
      <c r="G1332" s="35" t="s">
        <v>119</v>
      </c>
      <c r="H1332" s="35" t="s">
        <v>61</v>
      </c>
      <c r="I1332" s="4"/>
    </row>
    <row r="1333" customFormat="false" ht="15" hidden="false" customHeight="false" outlineLevel="0" collapsed="false">
      <c r="A1333" s="35" t="s">
        <v>3947</v>
      </c>
      <c r="B1333" s="35" t="s">
        <v>3948</v>
      </c>
      <c r="C1333" s="35" t="s">
        <v>48</v>
      </c>
      <c r="D1333" s="35" t="s">
        <v>57</v>
      </c>
      <c r="E1333" s="35" t="s">
        <v>940</v>
      </c>
      <c r="F1333" s="35"/>
      <c r="G1333" s="35" t="s">
        <v>104</v>
      </c>
      <c r="H1333" s="35" t="s">
        <v>61</v>
      </c>
      <c r="I1333" s="4"/>
    </row>
    <row r="1334" customFormat="false" ht="15" hidden="false" customHeight="false" outlineLevel="0" collapsed="false">
      <c r="A1334" s="35" t="s">
        <v>406</v>
      </c>
      <c r="B1334" s="35" t="s">
        <v>407</v>
      </c>
      <c r="C1334" s="35" t="s">
        <v>48</v>
      </c>
      <c r="D1334" s="35" t="s">
        <v>114</v>
      </c>
      <c r="E1334" s="35"/>
      <c r="F1334" s="35"/>
      <c r="G1334" s="35" t="s">
        <v>87</v>
      </c>
      <c r="H1334" s="35" t="s">
        <v>61</v>
      </c>
      <c r="I1334" s="4" t="s">
        <v>2025</v>
      </c>
    </row>
    <row r="1335" customFormat="false" ht="15" hidden="false" customHeight="false" outlineLevel="0" collapsed="false">
      <c r="A1335" s="35" t="s">
        <v>3949</v>
      </c>
      <c r="B1335" s="35" t="s">
        <v>3950</v>
      </c>
      <c r="C1335" s="35" t="s">
        <v>48</v>
      </c>
      <c r="D1335" s="35" t="s">
        <v>114</v>
      </c>
      <c r="E1335" s="35"/>
      <c r="F1335" s="35"/>
      <c r="G1335" s="35" t="s">
        <v>87</v>
      </c>
      <c r="H1335" s="35" t="s">
        <v>61</v>
      </c>
      <c r="I1335" s="4"/>
    </row>
    <row r="1336" customFormat="false" ht="15" hidden="false" customHeight="false" outlineLevel="0" collapsed="false">
      <c r="A1336" s="35" t="s">
        <v>3951</v>
      </c>
      <c r="B1336" s="35" t="s">
        <v>3952</v>
      </c>
      <c r="C1336" s="35" t="s">
        <v>48</v>
      </c>
      <c r="D1336" s="35" t="s">
        <v>114</v>
      </c>
      <c r="E1336" s="35"/>
      <c r="F1336" s="35"/>
      <c r="G1336" s="35" t="s">
        <v>87</v>
      </c>
      <c r="H1336" s="35" t="s">
        <v>61</v>
      </c>
      <c r="I1336" s="4"/>
    </row>
    <row r="1337" customFormat="false" ht="15" hidden="false" customHeight="false" outlineLevel="0" collapsed="false">
      <c r="A1337" s="35" t="s">
        <v>3953</v>
      </c>
      <c r="B1337" s="35" t="s">
        <v>3954</v>
      </c>
      <c r="C1337" s="35" t="s">
        <v>48</v>
      </c>
      <c r="D1337" s="35" t="s">
        <v>114</v>
      </c>
      <c r="E1337" s="35"/>
      <c r="F1337" s="35"/>
      <c r="G1337" s="35" t="s">
        <v>87</v>
      </c>
      <c r="H1337" s="35" t="s">
        <v>61</v>
      </c>
      <c r="I1337" s="4"/>
    </row>
    <row r="1338" customFormat="false" ht="15" hidden="false" customHeight="false" outlineLevel="0" collapsed="false">
      <c r="A1338" s="35" t="s">
        <v>3955</v>
      </c>
      <c r="B1338" s="35" t="s">
        <v>3956</v>
      </c>
      <c r="C1338" s="35" t="s">
        <v>48</v>
      </c>
      <c r="D1338" s="35" t="s">
        <v>57</v>
      </c>
      <c r="E1338" s="35" t="s">
        <v>1096</v>
      </c>
      <c r="F1338" s="35"/>
      <c r="G1338" s="35" t="s">
        <v>686</v>
      </c>
      <c r="H1338" s="35" t="s">
        <v>61</v>
      </c>
      <c r="I1338" s="4"/>
    </row>
    <row r="1339" customFormat="false" ht="15" hidden="false" customHeight="false" outlineLevel="0" collapsed="false">
      <c r="A1339" s="35" t="s">
        <v>1539</v>
      </c>
      <c r="B1339" s="35" t="s">
        <v>3957</v>
      </c>
      <c r="C1339" s="35" t="s">
        <v>48</v>
      </c>
      <c r="D1339" s="35" t="s">
        <v>107</v>
      </c>
      <c r="E1339" s="35" t="s">
        <v>1538</v>
      </c>
      <c r="F1339" s="35"/>
      <c r="G1339" s="35" t="s">
        <v>706</v>
      </c>
      <c r="H1339" s="35" t="s">
        <v>61</v>
      </c>
      <c r="I1339" s="4"/>
    </row>
    <row r="1340" customFormat="false" ht="15" hidden="false" customHeight="false" outlineLevel="0" collapsed="false">
      <c r="A1340" s="35" t="s">
        <v>3958</v>
      </c>
      <c r="B1340" s="35" t="s">
        <v>3959</v>
      </c>
      <c r="C1340" s="35" t="s">
        <v>48</v>
      </c>
      <c r="D1340" s="35" t="s">
        <v>107</v>
      </c>
      <c r="E1340" s="35" t="s">
        <v>1083</v>
      </c>
      <c r="F1340" s="35" t="s">
        <v>2147</v>
      </c>
      <c r="G1340" s="35" t="s">
        <v>545</v>
      </c>
      <c r="H1340" s="35" t="s">
        <v>61</v>
      </c>
      <c r="I1340" s="4"/>
    </row>
    <row r="1341" customFormat="false" ht="15" hidden="false" customHeight="false" outlineLevel="0" collapsed="false">
      <c r="A1341" s="35" t="s">
        <v>3960</v>
      </c>
      <c r="B1341" s="35" t="s">
        <v>3961</v>
      </c>
      <c r="C1341" s="35" t="s">
        <v>48</v>
      </c>
      <c r="D1341" s="35" t="s">
        <v>107</v>
      </c>
      <c r="E1341" s="35" t="s">
        <v>347</v>
      </c>
      <c r="F1341" s="35"/>
      <c r="G1341" s="35" t="s">
        <v>337</v>
      </c>
      <c r="H1341" s="35" t="s">
        <v>61</v>
      </c>
      <c r="I1341" s="4"/>
    </row>
    <row r="1342" customFormat="false" ht="15" hidden="false" customHeight="false" outlineLevel="0" collapsed="false">
      <c r="A1342" s="35" t="s">
        <v>3962</v>
      </c>
      <c r="B1342" s="35" t="s">
        <v>3963</v>
      </c>
      <c r="C1342" s="35" t="s">
        <v>48</v>
      </c>
      <c r="D1342" s="35" t="s">
        <v>57</v>
      </c>
      <c r="E1342" s="35" t="s">
        <v>247</v>
      </c>
      <c r="F1342" s="35"/>
      <c r="G1342" s="35" t="s">
        <v>49</v>
      </c>
      <c r="H1342" s="35" t="s">
        <v>49</v>
      </c>
      <c r="I1342" s="4"/>
    </row>
    <row r="1343" customFormat="false" ht="15" hidden="false" customHeight="false" outlineLevel="0" collapsed="false">
      <c r="A1343" s="35" t="s">
        <v>3964</v>
      </c>
      <c r="B1343" s="35" t="s">
        <v>3965</v>
      </c>
      <c r="C1343" s="35" t="s">
        <v>48</v>
      </c>
      <c r="D1343" s="35" t="s">
        <v>53</v>
      </c>
      <c r="E1343" s="35"/>
      <c r="F1343" s="35"/>
      <c r="G1343" s="35" t="s">
        <v>444</v>
      </c>
      <c r="H1343" s="35" t="s">
        <v>61</v>
      </c>
      <c r="I1343" s="4"/>
    </row>
    <row r="1344" customFormat="false" ht="15" hidden="false" customHeight="false" outlineLevel="0" collapsed="false">
      <c r="A1344" s="35" t="s">
        <v>3966</v>
      </c>
      <c r="B1344" s="35" t="s">
        <v>3967</v>
      </c>
      <c r="C1344" s="35" t="s">
        <v>48</v>
      </c>
      <c r="D1344" s="35" t="s">
        <v>107</v>
      </c>
      <c r="E1344" s="35" t="s">
        <v>484</v>
      </c>
      <c r="F1344" s="35"/>
      <c r="G1344" s="35" t="s">
        <v>444</v>
      </c>
      <c r="H1344" s="35" t="s">
        <v>61</v>
      </c>
      <c r="I1344" s="4"/>
    </row>
    <row r="1345" customFormat="false" ht="15" hidden="false" customHeight="false" outlineLevel="0" collapsed="false">
      <c r="A1345" s="35" t="s">
        <v>480</v>
      </c>
      <c r="B1345" s="35" t="s">
        <v>481</v>
      </c>
      <c r="C1345" s="35" t="s">
        <v>48</v>
      </c>
      <c r="D1345" s="35" t="s">
        <v>447</v>
      </c>
      <c r="E1345" s="35"/>
      <c r="F1345" s="35"/>
      <c r="G1345" s="35" t="s">
        <v>444</v>
      </c>
      <c r="H1345" s="35" t="s">
        <v>61</v>
      </c>
      <c r="I1345" s="4" t="s">
        <v>2025</v>
      </c>
    </row>
    <row r="1346" customFormat="false" ht="15" hidden="false" customHeight="false" outlineLevel="0" collapsed="false">
      <c r="A1346" s="35" t="s">
        <v>3968</v>
      </c>
      <c r="B1346" s="35" t="s">
        <v>3969</v>
      </c>
      <c r="C1346" s="35" t="s">
        <v>48</v>
      </c>
      <c r="D1346" s="35" t="s">
        <v>57</v>
      </c>
      <c r="E1346" s="35" t="s">
        <v>447</v>
      </c>
      <c r="F1346" s="35"/>
      <c r="G1346" s="35" t="s">
        <v>444</v>
      </c>
      <c r="H1346" s="35" t="s">
        <v>61</v>
      </c>
      <c r="I1346" s="4"/>
    </row>
    <row r="1347" customFormat="false" ht="15" hidden="false" customHeight="false" outlineLevel="0" collapsed="false">
      <c r="A1347" s="35" t="s">
        <v>3970</v>
      </c>
      <c r="B1347" s="35" t="s">
        <v>3971</v>
      </c>
      <c r="C1347" s="35" t="s">
        <v>48</v>
      </c>
      <c r="D1347" s="35" t="s">
        <v>447</v>
      </c>
      <c r="E1347" s="35"/>
      <c r="F1347" s="35" t="s">
        <v>2534</v>
      </c>
      <c r="G1347" s="35" t="s">
        <v>691</v>
      </c>
      <c r="H1347" s="35" t="s">
        <v>61</v>
      </c>
      <c r="I1347" s="4"/>
    </row>
    <row r="1348" customFormat="false" ht="15" hidden="false" customHeight="false" outlineLevel="0" collapsed="false">
      <c r="A1348" s="35" t="s">
        <v>3972</v>
      </c>
      <c r="B1348" s="35" t="s">
        <v>3973</v>
      </c>
      <c r="C1348" s="35" t="s">
        <v>48</v>
      </c>
      <c r="D1348" s="35" t="s">
        <v>107</v>
      </c>
      <c r="E1348" s="35" t="s">
        <v>45</v>
      </c>
      <c r="F1348" s="35"/>
      <c r="G1348" s="35" t="s">
        <v>91</v>
      </c>
      <c r="H1348" s="35" t="s">
        <v>61</v>
      </c>
      <c r="I1348" s="4"/>
    </row>
    <row r="1349" customFormat="false" ht="15" hidden="false" customHeight="false" outlineLevel="0" collapsed="false">
      <c r="A1349" s="35" t="s">
        <v>3974</v>
      </c>
      <c r="B1349" s="35" t="s">
        <v>3975</v>
      </c>
      <c r="C1349" s="35" t="s">
        <v>48</v>
      </c>
      <c r="D1349" s="35" t="s">
        <v>107</v>
      </c>
      <c r="E1349" s="35" t="s">
        <v>45</v>
      </c>
      <c r="F1349" s="35"/>
      <c r="G1349" s="35" t="s">
        <v>91</v>
      </c>
      <c r="H1349" s="35" t="s">
        <v>61</v>
      </c>
      <c r="I1349" s="4"/>
    </row>
    <row r="1350" customFormat="false" ht="15" hidden="false" customHeight="false" outlineLevel="0" collapsed="false">
      <c r="A1350" s="35" t="s">
        <v>3976</v>
      </c>
      <c r="B1350" s="35" t="s">
        <v>3977</v>
      </c>
      <c r="C1350" s="35" t="s">
        <v>48</v>
      </c>
      <c r="D1350" s="35" t="s">
        <v>53</v>
      </c>
      <c r="E1350" s="35"/>
      <c r="F1350" s="35"/>
      <c r="G1350" s="35" t="s">
        <v>694</v>
      </c>
      <c r="H1350" s="35" t="s">
        <v>49</v>
      </c>
      <c r="I1350" s="4"/>
    </row>
    <row r="1351" customFormat="false" ht="15" hidden="false" customHeight="false" outlineLevel="0" collapsed="false">
      <c r="A1351" s="35" t="s">
        <v>3978</v>
      </c>
      <c r="B1351" s="35" t="s">
        <v>3979</v>
      </c>
      <c r="C1351" s="35" t="s">
        <v>48</v>
      </c>
      <c r="D1351" s="35" t="s">
        <v>53</v>
      </c>
      <c r="E1351" s="35"/>
      <c r="F1351" s="35"/>
      <c r="G1351" s="35" t="s">
        <v>694</v>
      </c>
      <c r="H1351" s="35" t="s">
        <v>49</v>
      </c>
      <c r="I1351" s="4"/>
    </row>
    <row r="1352" customFormat="false" ht="15" hidden="false" customHeight="false" outlineLevel="0" collapsed="false">
      <c r="A1352" s="35" t="s">
        <v>3980</v>
      </c>
      <c r="B1352" s="35" t="s">
        <v>3981</v>
      </c>
      <c r="C1352" s="35" t="s">
        <v>48</v>
      </c>
      <c r="D1352" s="35" t="s">
        <v>53</v>
      </c>
      <c r="E1352" s="35"/>
      <c r="F1352" s="35"/>
      <c r="G1352" s="35" t="s">
        <v>694</v>
      </c>
      <c r="H1352" s="35" t="s">
        <v>61</v>
      </c>
      <c r="I1352" s="4"/>
    </row>
    <row r="1353" customFormat="false" ht="15" hidden="false" customHeight="false" outlineLevel="0" collapsed="false">
      <c r="A1353" s="35" t="s">
        <v>3982</v>
      </c>
      <c r="B1353" s="35" t="s">
        <v>3983</v>
      </c>
      <c r="C1353" s="35" t="s">
        <v>48</v>
      </c>
      <c r="D1353" s="35" t="s">
        <v>53</v>
      </c>
      <c r="E1353" s="35"/>
      <c r="F1353" s="35"/>
      <c r="G1353" s="35" t="s">
        <v>694</v>
      </c>
      <c r="H1353" s="35" t="s">
        <v>61</v>
      </c>
      <c r="I1353" s="4"/>
    </row>
    <row r="1354" customFormat="false" ht="15" hidden="false" customHeight="false" outlineLevel="0" collapsed="false">
      <c r="A1354" s="35" t="s">
        <v>3984</v>
      </c>
      <c r="B1354" s="35" t="s">
        <v>3985</v>
      </c>
      <c r="C1354" s="35" t="s">
        <v>48</v>
      </c>
      <c r="D1354" s="35" t="s">
        <v>57</v>
      </c>
      <c r="E1354" s="35" t="s">
        <v>357</v>
      </c>
      <c r="F1354" s="35"/>
      <c r="G1354" s="35" t="s">
        <v>694</v>
      </c>
      <c r="H1354" s="35" t="s">
        <v>61</v>
      </c>
      <c r="I1354" s="4"/>
    </row>
    <row r="1355" customFormat="false" ht="15" hidden="false" customHeight="false" outlineLevel="0" collapsed="false">
      <c r="A1355" s="35" t="s">
        <v>3986</v>
      </c>
      <c r="B1355" s="35" t="s">
        <v>3987</v>
      </c>
      <c r="C1355" s="35" t="s">
        <v>48</v>
      </c>
      <c r="D1355" s="35" t="s">
        <v>57</v>
      </c>
      <c r="E1355" s="35" t="s">
        <v>357</v>
      </c>
      <c r="F1355" s="35"/>
      <c r="G1355" s="35" t="s">
        <v>694</v>
      </c>
      <c r="H1355" s="35" t="s">
        <v>61</v>
      </c>
      <c r="I1355" s="4"/>
    </row>
    <row r="1356" customFormat="false" ht="15" hidden="false" customHeight="false" outlineLevel="0" collapsed="false">
      <c r="A1356" s="35" t="s">
        <v>3988</v>
      </c>
      <c r="B1356" s="35" t="s">
        <v>3989</v>
      </c>
      <c r="C1356" s="35" t="s">
        <v>48</v>
      </c>
      <c r="D1356" s="35" t="s">
        <v>57</v>
      </c>
      <c r="E1356" s="35" t="s">
        <v>357</v>
      </c>
      <c r="F1356" s="35"/>
      <c r="G1356" s="35" t="s">
        <v>545</v>
      </c>
      <c r="H1356" s="35" t="s">
        <v>369</v>
      </c>
      <c r="I1356" s="4"/>
    </row>
    <row r="1357" customFormat="false" ht="15" hidden="false" customHeight="false" outlineLevel="0" collapsed="false">
      <c r="A1357" s="35" t="s">
        <v>3990</v>
      </c>
      <c r="B1357" s="35" t="s">
        <v>3991</v>
      </c>
      <c r="C1357" s="35" t="s">
        <v>48</v>
      </c>
      <c r="D1357" s="35" t="s">
        <v>57</v>
      </c>
      <c r="E1357" s="35" t="s">
        <v>357</v>
      </c>
      <c r="F1357" s="35"/>
      <c r="G1357" s="35" t="s">
        <v>545</v>
      </c>
      <c r="H1357" s="35" t="s">
        <v>369</v>
      </c>
      <c r="I1357" s="4"/>
    </row>
    <row r="1358" customFormat="false" ht="15" hidden="false" customHeight="false" outlineLevel="0" collapsed="false">
      <c r="A1358" s="35" t="s">
        <v>3992</v>
      </c>
      <c r="B1358" s="35" t="s">
        <v>3993</v>
      </c>
      <c r="C1358" s="35" t="s">
        <v>48</v>
      </c>
      <c r="D1358" s="35" t="s">
        <v>57</v>
      </c>
      <c r="E1358" s="35" t="s">
        <v>948</v>
      </c>
      <c r="F1358" s="35"/>
      <c r="G1358" s="35" t="s">
        <v>694</v>
      </c>
      <c r="H1358" s="35" t="s">
        <v>61</v>
      </c>
      <c r="I1358" s="4"/>
    </row>
    <row r="1359" customFormat="false" ht="15" hidden="false" customHeight="false" outlineLevel="0" collapsed="false">
      <c r="A1359" s="35" t="s">
        <v>3994</v>
      </c>
      <c r="B1359" s="35" t="s">
        <v>3995</v>
      </c>
      <c r="C1359" s="35" t="s">
        <v>48</v>
      </c>
      <c r="D1359" s="35" t="s">
        <v>57</v>
      </c>
      <c r="E1359" s="35" t="s">
        <v>948</v>
      </c>
      <c r="F1359" s="35"/>
      <c r="G1359" s="35" t="s">
        <v>694</v>
      </c>
      <c r="H1359" s="35" t="s">
        <v>61</v>
      </c>
      <c r="I1359" s="4"/>
    </row>
    <row r="1360" customFormat="false" ht="15" hidden="false" customHeight="false" outlineLevel="0" collapsed="false">
      <c r="A1360" s="35" t="s">
        <v>3996</v>
      </c>
      <c r="B1360" s="35" t="s">
        <v>3997</v>
      </c>
      <c r="C1360" s="35" t="s">
        <v>48</v>
      </c>
      <c r="D1360" s="35" t="s">
        <v>57</v>
      </c>
      <c r="E1360" s="35" t="s">
        <v>948</v>
      </c>
      <c r="F1360" s="35"/>
      <c r="G1360" s="35" t="s">
        <v>545</v>
      </c>
      <c r="H1360" s="35" t="s">
        <v>369</v>
      </c>
      <c r="I1360" s="4"/>
    </row>
    <row r="1361" customFormat="false" ht="15" hidden="false" customHeight="false" outlineLevel="0" collapsed="false">
      <c r="A1361" s="35" t="s">
        <v>3998</v>
      </c>
      <c r="B1361" s="35" t="s">
        <v>3999</v>
      </c>
      <c r="C1361" s="35" t="s">
        <v>48</v>
      </c>
      <c r="D1361" s="35" t="s">
        <v>57</v>
      </c>
      <c r="E1361" s="35" t="s">
        <v>948</v>
      </c>
      <c r="F1361" s="35"/>
      <c r="G1361" s="35" t="s">
        <v>545</v>
      </c>
      <c r="H1361" s="35" t="s">
        <v>369</v>
      </c>
      <c r="I1361" s="4"/>
    </row>
    <row r="1362" customFormat="false" ht="15" hidden="false" customHeight="false" outlineLevel="0" collapsed="false">
      <c r="A1362" s="35" t="s">
        <v>923</v>
      </c>
      <c r="B1362" s="35" t="s">
        <v>4000</v>
      </c>
      <c r="C1362" s="35" t="s">
        <v>48</v>
      </c>
      <c r="D1362" s="35" t="s">
        <v>57</v>
      </c>
      <c r="E1362" s="35" t="s">
        <v>923</v>
      </c>
      <c r="F1362" s="35"/>
      <c r="G1362" s="35" t="s">
        <v>694</v>
      </c>
      <c r="H1362" s="35" t="s">
        <v>61</v>
      </c>
      <c r="I1362" s="4"/>
    </row>
    <row r="1363" customFormat="false" ht="15" hidden="false" customHeight="false" outlineLevel="0" collapsed="false">
      <c r="A1363" s="35" t="s">
        <v>4001</v>
      </c>
      <c r="B1363" s="35" t="s">
        <v>4002</v>
      </c>
      <c r="C1363" s="35" t="s">
        <v>48</v>
      </c>
      <c r="D1363" s="35" t="s">
        <v>57</v>
      </c>
      <c r="E1363" s="35" t="s">
        <v>923</v>
      </c>
      <c r="F1363" s="35"/>
      <c r="G1363" s="35" t="s">
        <v>694</v>
      </c>
      <c r="H1363" s="35" t="s">
        <v>61</v>
      </c>
      <c r="I1363" s="4"/>
    </row>
    <row r="1364" customFormat="false" ht="15" hidden="false" customHeight="false" outlineLevel="0" collapsed="false">
      <c r="A1364" s="35" t="s">
        <v>4003</v>
      </c>
      <c r="B1364" s="35" t="s">
        <v>4004</v>
      </c>
      <c r="C1364" s="35" t="s">
        <v>48</v>
      </c>
      <c r="D1364" s="35" t="s">
        <v>57</v>
      </c>
      <c r="E1364" s="35" t="s">
        <v>923</v>
      </c>
      <c r="F1364" s="35"/>
      <c r="G1364" s="35" t="s">
        <v>545</v>
      </c>
      <c r="H1364" s="35" t="s">
        <v>369</v>
      </c>
      <c r="I1364" s="4"/>
    </row>
    <row r="1365" customFormat="false" ht="15" hidden="false" customHeight="false" outlineLevel="0" collapsed="false">
      <c r="A1365" s="35" t="s">
        <v>4005</v>
      </c>
      <c r="B1365" s="35" t="s">
        <v>4006</v>
      </c>
      <c r="C1365" s="35" t="s">
        <v>48</v>
      </c>
      <c r="D1365" s="35" t="s">
        <v>57</v>
      </c>
      <c r="E1365" s="35" t="s">
        <v>923</v>
      </c>
      <c r="F1365" s="35"/>
      <c r="G1365" s="35" t="s">
        <v>545</v>
      </c>
      <c r="H1365" s="35" t="s">
        <v>369</v>
      </c>
      <c r="I1365" s="4"/>
    </row>
    <row r="1366" customFormat="false" ht="15" hidden="false" customHeight="false" outlineLevel="0" collapsed="false">
      <c r="A1366" s="35" t="s">
        <v>4007</v>
      </c>
      <c r="B1366" s="35" t="s">
        <v>4008</v>
      </c>
      <c r="C1366" s="35" t="s">
        <v>48</v>
      </c>
      <c r="D1366" s="35" t="s">
        <v>107</v>
      </c>
      <c r="E1366" s="35" t="s">
        <v>987</v>
      </c>
      <c r="F1366" s="35"/>
      <c r="G1366" s="35" t="s">
        <v>433</v>
      </c>
      <c r="H1366" s="35" t="s">
        <v>61</v>
      </c>
      <c r="I1366" s="4"/>
    </row>
    <row r="1367" customFormat="false" ht="15" hidden="false" customHeight="false" outlineLevel="0" collapsed="false">
      <c r="A1367" s="35" t="s">
        <v>94</v>
      </c>
      <c r="B1367" s="35" t="s">
        <v>4009</v>
      </c>
      <c r="C1367" s="35" t="s">
        <v>48</v>
      </c>
      <c r="D1367" s="35" t="s">
        <v>57</v>
      </c>
      <c r="E1367" s="35" t="s">
        <v>94</v>
      </c>
      <c r="F1367" s="35"/>
      <c r="G1367" s="35" t="s">
        <v>696</v>
      </c>
      <c r="H1367" s="35" t="s">
        <v>61</v>
      </c>
      <c r="I1367" s="4"/>
    </row>
    <row r="1368" customFormat="false" ht="15" hidden="false" customHeight="false" outlineLevel="0" collapsed="false">
      <c r="A1368" s="35" t="s">
        <v>1615</v>
      </c>
      <c r="B1368" s="35" t="s">
        <v>4010</v>
      </c>
      <c r="C1368" s="35" t="s">
        <v>48</v>
      </c>
      <c r="D1368" s="35" t="s">
        <v>107</v>
      </c>
      <c r="E1368" s="35" t="s">
        <v>1614</v>
      </c>
      <c r="F1368" s="35"/>
      <c r="G1368" s="35" t="s">
        <v>421</v>
      </c>
      <c r="H1368" s="35" t="s">
        <v>61</v>
      </c>
      <c r="I1368" s="4"/>
    </row>
    <row r="1369" customFormat="false" ht="15" hidden="false" customHeight="false" outlineLevel="0" collapsed="false">
      <c r="A1369" s="35" t="s">
        <v>1857</v>
      </c>
      <c r="B1369" s="35" t="s">
        <v>4011</v>
      </c>
      <c r="C1369" s="35" t="s">
        <v>48</v>
      </c>
      <c r="D1369" s="35" t="s">
        <v>107</v>
      </c>
      <c r="E1369" s="35" t="s">
        <v>1856</v>
      </c>
      <c r="F1369" s="35"/>
      <c r="G1369" s="35" t="s">
        <v>774</v>
      </c>
      <c r="H1369" s="35" t="s">
        <v>61</v>
      </c>
      <c r="I1369" s="4"/>
    </row>
    <row r="1370" customFormat="false" ht="15" hidden="false" customHeight="false" outlineLevel="0" collapsed="false">
      <c r="A1370" s="35" t="s">
        <v>1541</v>
      </c>
      <c r="B1370" s="35" t="s">
        <v>4012</v>
      </c>
      <c r="C1370" s="35" t="s">
        <v>48</v>
      </c>
      <c r="D1370" s="35" t="s">
        <v>57</v>
      </c>
      <c r="E1370" s="35" t="s">
        <v>1540</v>
      </c>
      <c r="F1370" s="35"/>
      <c r="G1370" s="35" t="s">
        <v>757</v>
      </c>
      <c r="H1370" s="35" t="s">
        <v>245</v>
      </c>
      <c r="I1370" s="4"/>
    </row>
    <row r="1371" customFormat="false" ht="15" hidden="false" customHeight="false" outlineLevel="0" collapsed="false">
      <c r="A1371" s="35" t="s">
        <v>1569</v>
      </c>
      <c r="B1371" s="35" t="s">
        <v>4013</v>
      </c>
      <c r="C1371" s="35" t="s">
        <v>48</v>
      </c>
      <c r="D1371" s="35" t="s">
        <v>107</v>
      </c>
      <c r="E1371" s="35" t="s">
        <v>1568</v>
      </c>
      <c r="F1371" s="35"/>
      <c r="G1371" s="35" t="s">
        <v>711</v>
      </c>
      <c r="H1371" s="35" t="s">
        <v>61</v>
      </c>
      <c r="I1371" s="4"/>
    </row>
    <row r="1372" customFormat="false" ht="15" hidden="false" customHeight="false" outlineLevel="0" collapsed="false">
      <c r="A1372" s="35" t="s">
        <v>4014</v>
      </c>
      <c r="B1372" s="35" t="s">
        <v>4015</v>
      </c>
      <c r="C1372" s="35" t="s">
        <v>48</v>
      </c>
      <c r="D1372" s="35" t="s">
        <v>114</v>
      </c>
      <c r="E1372" s="35"/>
      <c r="F1372" s="35" t="s">
        <v>4016</v>
      </c>
      <c r="G1372" s="35" t="s">
        <v>571</v>
      </c>
      <c r="H1372" s="35" t="s">
        <v>258</v>
      </c>
      <c r="I1372" s="4"/>
    </row>
    <row r="1373" customFormat="false" ht="15" hidden="false" customHeight="false" outlineLevel="0" collapsed="false">
      <c r="A1373" s="35" t="s">
        <v>4017</v>
      </c>
      <c r="B1373" s="35" t="s">
        <v>4015</v>
      </c>
      <c r="C1373" s="35" t="s">
        <v>48</v>
      </c>
      <c r="D1373" s="35" t="s">
        <v>114</v>
      </c>
      <c r="E1373" s="35"/>
      <c r="F1373" s="35" t="s">
        <v>4018</v>
      </c>
      <c r="G1373" s="35" t="s">
        <v>571</v>
      </c>
      <c r="H1373" s="35" t="s">
        <v>258</v>
      </c>
      <c r="I1373" s="4"/>
    </row>
    <row r="1374" customFormat="false" ht="15" hidden="false" customHeight="false" outlineLevel="0" collapsed="false">
      <c r="A1374" s="35" t="s">
        <v>1598</v>
      </c>
      <c r="B1374" s="35" t="s">
        <v>4019</v>
      </c>
      <c r="C1374" s="35" t="s">
        <v>48</v>
      </c>
      <c r="D1374" s="35" t="s">
        <v>107</v>
      </c>
      <c r="E1374" s="35" t="s">
        <v>1597</v>
      </c>
      <c r="F1374" s="35"/>
      <c r="G1374" s="35" t="s">
        <v>571</v>
      </c>
      <c r="H1374" s="35" t="s">
        <v>61</v>
      </c>
      <c r="I1374" s="4"/>
    </row>
    <row r="1375" customFormat="false" ht="15" hidden="false" customHeight="false" outlineLevel="0" collapsed="false">
      <c r="A1375" s="35" t="s">
        <v>1727</v>
      </c>
      <c r="B1375" s="35" t="s">
        <v>4020</v>
      </c>
      <c r="C1375" s="35" t="s">
        <v>48</v>
      </c>
      <c r="D1375" s="35" t="s">
        <v>107</v>
      </c>
      <c r="E1375" s="35" t="s">
        <v>1726</v>
      </c>
      <c r="F1375" s="35"/>
      <c r="G1375" s="35" t="s">
        <v>726</v>
      </c>
      <c r="H1375" s="35" t="s">
        <v>258</v>
      </c>
      <c r="I1375" s="4"/>
    </row>
    <row r="1376" customFormat="false" ht="15" hidden="false" customHeight="false" outlineLevel="0" collapsed="false">
      <c r="A1376" s="35" t="s">
        <v>4021</v>
      </c>
      <c r="B1376" s="35" t="s">
        <v>4022</v>
      </c>
      <c r="C1376" s="35" t="s">
        <v>48</v>
      </c>
      <c r="D1376" s="35" t="s">
        <v>114</v>
      </c>
      <c r="E1376" s="35"/>
      <c r="F1376" s="35"/>
      <c r="G1376" s="35" t="s">
        <v>725</v>
      </c>
      <c r="H1376" s="35" t="s">
        <v>61</v>
      </c>
      <c r="I1376" s="4"/>
    </row>
    <row r="1377" customFormat="false" ht="15" hidden="false" customHeight="false" outlineLevel="0" collapsed="false">
      <c r="A1377" s="35" t="s">
        <v>4023</v>
      </c>
      <c r="B1377" s="35" t="s">
        <v>4024</v>
      </c>
      <c r="C1377" s="35" t="s">
        <v>48</v>
      </c>
      <c r="D1377" s="35" t="s">
        <v>114</v>
      </c>
      <c r="E1377" s="35"/>
      <c r="F1377" s="35"/>
      <c r="G1377" s="35" t="s">
        <v>718</v>
      </c>
      <c r="H1377" s="35" t="s">
        <v>61</v>
      </c>
      <c r="I1377" s="4"/>
    </row>
    <row r="1378" customFormat="false" ht="15" hidden="false" customHeight="false" outlineLevel="0" collapsed="false">
      <c r="A1378" s="35" t="s">
        <v>4025</v>
      </c>
      <c r="B1378" s="35" t="s">
        <v>4026</v>
      </c>
      <c r="C1378" s="35" t="s">
        <v>48</v>
      </c>
      <c r="D1378" s="35" t="s">
        <v>53</v>
      </c>
      <c r="E1378" s="35"/>
      <c r="F1378" s="35" t="s">
        <v>174</v>
      </c>
      <c r="G1378" s="35" t="s">
        <v>328</v>
      </c>
      <c r="H1378" s="35" t="s">
        <v>61</v>
      </c>
      <c r="I1378" s="4"/>
    </row>
    <row r="1379" customFormat="false" ht="15" hidden="false" customHeight="false" outlineLevel="0" collapsed="false">
      <c r="A1379" s="35" t="s">
        <v>4027</v>
      </c>
      <c r="B1379" s="35" t="s">
        <v>4028</v>
      </c>
      <c r="C1379" s="35" t="s">
        <v>48</v>
      </c>
      <c r="D1379" s="35" t="s">
        <v>53</v>
      </c>
      <c r="E1379" s="35"/>
      <c r="F1379" s="35" t="s">
        <v>174</v>
      </c>
      <c r="G1379" s="35" t="s">
        <v>328</v>
      </c>
      <c r="H1379" s="35" t="s">
        <v>61</v>
      </c>
      <c r="I1379" s="4"/>
    </row>
    <row r="1380" customFormat="false" ht="15" hidden="false" customHeight="false" outlineLevel="0" collapsed="false">
      <c r="A1380" s="35" t="s">
        <v>4029</v>
      </c>
      <c r="B1380" s="35" t="s">
        <v>4030</v>
      </c>
      <c r="C1380" s="35" t="s">
        <v>48</v>
      </c>
      <c r="D1380" s="35" t="s">
        <v>107</v>
      </c>
      <c r="E1380" s="35" t="s">
        <v>993</v>
      </c>
      <c r="F1380" s="35"/>
      <c r="G1380" s="35" t="s">
        <v>417</v>
      </c>
      <c r="H1380" s="35" t="s">
        <v>61</v>
      </c>
      <c r="I1380" s="4"/>
    </row>
    <row r="1381" customFormat="false" ht="15" hidden="false" customHeight="false" outlineLevel="0" collapsed="false">
      <c r="A1381" s="35" t="s">
        <v>4031</v>
      </c>
      <c r="B1381" s="35" t="s">
        <v>4032</v>
      </c>
      <c r="C1381" s="35" t="s">
        <v>48</v>
      </c>
      <c r="D1381" s="35" t="s">
        <v>157</v>
      </c>
      <c r="E1381" s="35"/>
      <c r="F1381" s="35"/>
      <c r="G1381" s="35" t="s">
        <v>688</v>
      </c>
      <c r="H1381" s="35" t="s">
        <v>61</v>
      </c>
      <c r="I1381" s="4"/>
    </row>
    <row r="1382" customFormat="false" ht="15" hidden="false" customHeight="false" outlineLevel="0" collapsed="false">
      <c r="A1382" s="35" t="s">
        <v>4033</v>
      </c>
      <c r="B1382" s="35" t="s">
        <v>4034</v>
      </c>
      <c r="C1382" s="35" t="s">
        <v>48</v>
      </c>
      <c r="D1382" s="35" t="s">
        <v>53</v>
      </c>
      <c r="E1382" s="35"/>
      <c r="F1382" s="35"/>
      <c r="G1382" s="35" t="s">
        <v>421</v>
      </c>
      <c r="H1382" s="35" t="s">
        <v>61</v>
      </c>
      <c r="I1382" s="4"/>
    </row>
    <row r="1383" customFormat="false" ht="15" hidden="false" customHeight="false" outlineLevel="0" collapsed="false">
      <c r="A1383" s="35" t="s">
        <v>989</v>
      </c>
      <c r="B1383" s="35" t="s">
        <v>4035</v>
      </c>
      <c r="C1383" s="35" t="s">
        <v>48</v>
      </c>
      <c r="D1383" s="35" t="s">
        <v>107</v>
      </c>
      <c r="E1383" s="35" t="s">
        <v>989</v>
      </c>
      <c r="F1383" s="35"/>
      <c r="G1383" s="35" t="s">
        <v>337</v>
      </c>
      <c r="H1383" s="35" t="s">
        <v>61</v>
      </c>
      <c r="I1383" s="4"/>
    </row>
    <row r="1384" customFormat="false" ht="15" hidden="false" customHeight="false" outlineLevel="0" collapsed="false">
      <c r="A1384" s="35" t="s">
        <v>4036</v>
      </c>
      <c r="B1384" s="35" t="s">
        <v>4037</v>
      </c>
      <c r="C1384" s="35" t="s">
        <v>48</v>
      </c>
      <c r="D1384" s="35" t="s">
        <v>107</v>
      </c>
      <c r="E1384" s="35" t="s">
        <v>907</v>
      </c>
      <c r="F1384" s="35"/>
      <c r="G1384" s="35" t="s">
        <v>681</v>
      </c>
      <c r="H1384" s="35" t="s">
        <v>61</v>
      </c>
      <c r="I1384" s="4"/>
    </row>
    <row r="1385" customFormat="false" ht="15" hidden="false" customHeight="false" outlineLevel="0" collapsed="false">
      <c r="A1385" s="35" t="s">
        <v>1543</v>
      </c>
      <c r="B1385" s="35" t="s">
        <v>4038</v>
      </c>
      <c r="C1385" s="35" t="s">
        <v>48</v>
      </c>
      <c r="D1385" s="35" t="s">
        <v>107</v>
      </c>
      <c r="E1385" s="35" t="s">
        <v>1542</v>
      </c>
      <c r="F1385" s="35"/>
      <c r="G1385" s="35" t="s">
        <v>681</v>
      </c>
      <c r="H1385" s="35" t="s">
        <v>61</v>
      </c>
      <c r="I1385" s="4"/>
    </row>
    <row r="1386" customFormat="false" ht="15" hidden="false" customHeight="false" outlineLevel="0" collapsed="false">
      <c r="A1386" s="35" t="s">
        <v>4039</v>
      </c>
      <c r="B1386" s="35"/>
      <c r="C1386" s="35" t="s">
        <v>632</v>
      </c>
      <c r="D1386" s="35" t="s">
        <v>57</v>
      </c>
      <c r="E1386" s="35" t="s">
        <v>326</v>
      </c>
      <c r="F1386" s="35" t="s">
        <v>2022</v>
      </c>
      <c r="G1386" s="35" t="s">
        <v>421</v>
      </c>
      <c r="H1386" s="35" t="s">
        <v>61</v>
      </c>
      <c r="I1386" s="4"/>
    </row>
    <row r="1387" customFormat="false" ht="15" hidden="false" customHeight="false" outlineLevel="0" collapsed="false">
      <c r="A1387" s="35" t="s">
        <v>4040</v>
      </c>
      <c r="B1387" s="35"/>
      <c r="C1387" s="35" t="s">
        <v>632</v>
      </c>
      <c r="D1387" s="35" t="s">
        <v>57</v>
      </c>
      <c r="E1387" s="35" t="s">
        <v>326</v>
      </c>
      <c r="F1387" s="35" t="s">
        <v>2022</v>
      </c>
      <c r="G1387" s="35" t="s">
        <v>695</v>
      </c>
      <c r="H1387" s="35" t="s">
        <v>61</v>
      </c>
      <c r="I1387" s="4"/>
    </row>
    <row r="1388" customFormat="false" ht="15" hidden="false" customHeight="false" outlineLevel="0" collapsed="false">
      <c r="A1388" s="35" t="s">
        <v>4041</v>
      </c>
      <c r="B1388" s="35"/>
      <c r="C1388" s="35" t="s">
        <v>632</v>
      </c>
      <c r="D1388" s="35" t="s">
        <v>57</v>
      </c>
      <c r="E1388" s="35" t="s">
        <v>247</v>
      </c>
      <c r="F1388" s="35" t="s">
        <v>2022</v>
      </c>
      <c r="G1388" s="35" t="s">
        <v>421</v>
      </c>
      <c r="H1388" s="35" t="s">
        <v>61</v>
      </c>
      <c r="I1388" s="4"/>
    </row>
    <row r="1389" customFormat="false" ht="15" hidden="false" customHeight="false" outlineLevel="0" collapsed="false">
      <c r="A1389" s="35" t="s">
        <v>4042</v>
      </c>
      <c r="B1389" s="35"/>
      <c r="C1389" s="35" t="s">
        <v>632</v>
      </c>
      <c r="D1389" s="35" t="s">
        <v>57</v>
      </c>
      <c r="E1389" s="35" t="s">
        <v>247</v>
      </c>
      <c r="F1389" s="35" t="s">
        <v>2022</v>
      </c>
      <c r="G1389" s="35" t="s">
        <v>695</v>
      </c>
      <c r="H1389" s="35" t="s">
        <v>61</v>
      </c>
      <c r="I1389" s="4"/>
    </row>
    <row r="1390" customFormat="false" ht="15" hidden="false" customHeight="false" outlineLevel="0" collapsed="false">
      <c r="A1390" s="35" t="s">
        <v>4043</v>
      </c>
      <c r="B1390" s="35"/>
      <c r="C1390" s="35" t="s">
        <v>632</v>
      </c>
      <c r="D1390" s="35" t="s">
        <v>53</v>
      </c>
      <c r="E1390" s="35"/>
      <c r="F1390" s="35"/>
      <c r="G1390" s="35" t="s">
        <v>695</v>
      </c>
      <c r="H1390" s="35" t="s">
        <v>61</v>
      </c>
      <c r="I1390" s="4"/>
    </row>
    <row r="1391" customFormat="false" ht="15" hidden="false" customHeight="false" outlineLevel="0" collapsed="false">
      <c r="A1391" s="35" t="s">
        <v>4044</v>
      </c>
      <c r="B1391" s="35"/>
      <c r="C1391" s="35" t="s">
        <v>632</v>
      </c>
      <c r="D1391" s="35" t="s">
        <v>57</v>
      </c>
      <c r="E1391" s="35" t="s">
        <v>326</v>
      </c>
      <c r="F1391" s="35" t="s">
        <v>2022</v>
      </c>
      <c r="G1391" s="35" t="s">
        <v>695</v>
      </c>
      <c r="H1391" s="35" t="s">
        <v>61</v>
      </c>
      <c r="I1391" s="4"/>
    </row>
    <row r="1392" customFormat="false" ht="15" hidden="false" customHeight="false" outlineLevel="0" collapsed="false">
      <c r="A1392" s="35" t="s">
        <v>4045</v>
      </c>
      <c r="B1392" s="35"/>
      <c r="C1392" s="35" t="s">
        <v>632</v>
      </c>
      <c r="D1392" s="35" t="s">
        <v>53</v>
      </c>
      <c r="E1392" s="35"/>
      <c r="F1392" s="35"/>
      <c r="G1392" s="35" t="s">
        <v>695</v>
      </c>
      <c r="H1392" s="35" t="s">
        <v>61</v>
      </c>
      <c r="I1392" s="4"/>
    </row>
    <row r="1393" customFormat="false" ht="15" hidden="false" customHeight="false" outlineLevel="0" collapsed="false">
      <c r="A1393" s="35" t="s">
        <v>4046</v>
      </c>
      <c r="B1393" s="35"/>
      <c r="C1393" s="35" t="s">
        <v>632</v>
      </c>
      <c r="D1393" s="35" t="s">
        <v>53</v>
      </c>
      <c r="E1393" s="35"/>
      <c r="F1393" s="35"/>
      <c r="G1393" s="35" t="s">
        <v>695</v>
      </c>
      <c r="H1393" s="35" t="s">
        <v>61</v>
      </c>
      <c r="I1393" s="4"/>
    </row>
    <row r="1394" customFormat="false" ht="15" hidden="false" customHeight="false" outlineLevel="0" collapsed="false">
      <c r="A1394" s="35" t="s">
        <v>4047</v>
      </c>
      <c r="B1394" s="35"/>
      <c r="C1394" s="35" t="s">
        <v>632</v>
      </c>
      <c r="D1394" s="35" t="s">
        <v>57</v>
      </c>
      <c r="E1394" s="35" t="s">
        <v>326</v>
      </c>
      <c r="F1394" s="35"/>
      <c r="G1394" s="35" t="s">
        <v>421</v>
      </c>
      <c r="H1394" s="35" t="s">
        <v>61</v>
      </c>
      <c r="I1394" s="4"/>
    </row>
    <row r="1395" customFormat="false" ht="15" hidden="false" customHeight="false" outlineLevel="0" collapsed="false">
      <c r="A1395" s="35" t="s">
        <v>4048</v>
      </c>
      <c r="B1395" s="35"/>
      <c r="C1395" s="35" t="s">
        <v>632</v>
      </c>
      <c r="D1395" s="35" t="s">
        <v>57</v>
      </c>
      <c r="E1395" s="35" t="s">
        <v>326</v>
      </c>
      <c r="F1395" s="35"/>
      <c r="G1395" s="35" t="s">
        <v>695</v>
      </c>
      <c r="H1395" s="35" t="s">
        <v>61</v>
      </c>
      <c r="I1395" s="4"/>
    </row>
    <row r="1396" customFormat="false" ht="15" hidden="false" customHeight="false" outlineLevel="0" collapsed="false">
      <c r="A1396" s="35" t="s">
        <v>4049</v>
      </c>
      <c r="B1396" s="35"/>
      <c r="C1396" s="35" t="s">
        <v>632</v>
      </c>
      <c r="D1396" s="35" t="s">
        <v>57</v>
      </c>
      <c r="E1396" s="35" t="s">
        <v>247</v>
      </c>
      <c r="F1396" s="35"/>
      <c r="G1396" s="35" t="s">
        <v>421</v>
      </c>
      <c r="H1396" s="35" t="s">
        <v>61</v>
      </c>
      <c r="I1396" s="4"/>
    </row>
    <row r="1397" customFormat="false" ht="15" hidden="false" customHeight="false" outlineLevel="0" collapsed="false">
      <c r="A1397" s="35" t="s">
        <v>4050</v>
      </c>
      <c r="B1397" s="35"/>
      <c r="C1397" s="35" t="s">
        <v>632</v>
      </c>
      <c r="D1397" s="35" t="s">
        <v>57</v>
      </c>
      <c r="E1397" s="35" t="s">
        <v>247</v>
      </c>
      <c r="F1397" s="35"/>
      <c r="G1397" s="35" t="s">
        <v>695</v>
      </c>
      <c r="H1397" s="35" t="s">
        <v>61</v>
      </c>
      <c r="I1397" s="4"/>
    </row>
    <row r="1398" customFormat="false" ht="15" hidden="false" customHeight="false" outlineLevel="0" collapsed="false">
      <c r="A1398" s="35" t="s">
        <v>4051</v>
      </c>
      <c r="B1398" s="35"/>
      <c r="C1398" s="35" t="s">
        <v>632</v>
      </c>
      <c r="D1398" s="35" t="s">
        <v>57</v>
      </c>
      <c r="E1398" s="35" t="s">
        <v>326</v>
      </c>
      <c r="F1398" s="35"/>
      <c r="G1398" s="35" t="s">
        <v>695</v>
      </c>
      <c r="H1398" s="35" t="s">
        <v>61</v>
      </c>
      <c r="I1398" s="4"/>
    </row>
    <row r="1399" customFormat="false" ht="15" hidden="false" customHeight="false" outlineLevel="0" collapsed="false">
      <c r="A1399" s="35" t="s">
        <v>4052</v>
      </c>
      <c r="B1399" s="35"/>
      <c r="C1399" s="35" t="s">
        <v>632</v>
      </c>
      <c r="D1399" s="35" t="s">
        <v>53</v>
      </c>
      <c r="E1399" s="35"/>
      <c r="F1399" s="35"/>
      <c r="G1399" s="35" t="s">
        <v>695</v>
      </c>
      <c r="H1399" s="35" t="s">
        <v>61</v>
      </c>
      <c r="I1399" s="4"/>
    </row>
    <row r="1400" customFormat="false" ht="15" hidden="false" customHeight="false" outlineLevel="0" collapsed="false">
      <c r="A1400" s="35" t="s">
        <v>4053</v>
      </c>
      <c r="B1400" s="35"/>
      <c r="C1400" s="35" t="s">
        <v>632</v>
      </c>
      <c r="D1400" s="35" t="s">
        <v>53</v>
      </c>
      <c r="E1400" s="35"/>
      <c r="F1400" s="35"/>
      <c r="G1400" s="35" t="s">
        <v>695</v>
      </c>
      <c r="H1400" s="35" t="s">
        <v>61</v>
      </c>
      <c r="I1400" s="4"/>
    </row>
    <row r="1401" customFormat="false" ht="15" hidden="false" customHeight="false" outlineLevel="0" collapsed="false">
      <c r="A1401" s="35" t="s">
        <v>1151</v>
      </c>
      <c r="B1401" s="35" t="s">
        <v>4054</v>
      </c>
      <c r="C1401" s="35" t="s">
        <v>48</v>
      </c>
      <c r="D1401" s="35" t="s">
        <v>107</v>
      </c>
      <c r="E1401" s="35" t="s">
        <v>1151</v>
      </c>
      <c r="F1401" s="35"/>
      <c r="G1401" s="35" t="s">
        <v>433</v>
      </c>
      <c r="H1401" s="35" t="s">
        <v>61</v>
      </c>
      <c r="I1401" s="4"/>
    </row>
    <row r="1402" customFormat="false" ht="15" hidden="false" customHeight="false" outlineLevel="0" collapsed="false">
      <c r="A1402" s="35" t="s">
        <v>4055</v>
      </c>
      <c r="B1402" s="35" t="s">
        <v>4056</v>
      </c>
      <c r="C1402" s="35" t="s">
        <v>48</v>
      </c>
      <c r="D1402" s="35" t="s">
        <v>107</v>
      </c>
      <c r="E1402" s="35" t="s">
        <v>920</v>
      </c>
      <c r="F1402" s="35"/>
      <c r="G1402" s="35" t="s">
        <v>705</v>
      </c>
      <c r="H1402" s="35" t="s">
        <v>61</v>
      </c>
      <c r="I1402" s="4"/>
    </row>
    <row r="1403" customFormat="false" ht="15" hidden="false" customHeight="false" outlineLevel="0" collapsed="false">
      <c r="A1403" s="35" t="s">
        <v>4057</v>
      </c>
      <c r="B1403" s="35" t="s">
        <v>4058</v>
      </c>
      <c r="C1403" s="35" t="s">
        <v>48</v>
      </c>
      <c r="D1403" s="35" t="s">
        <v>157</v>
      </c>
      <c r="E1403" s="35"/>
      <c r="F1403" s="35"/>
      <c r="G1403" s="35" t="s">
        <v>687</v>
      </c>
      <c r="H1403" s="35" t="s">
        <v>61</v>
      </c>
      <c r="I1403" s="4"/>
    </row>
    <row r="1404" customFormat="false" ht="15" hidden="false" customHeight="false" outlineLevel="0" collapsed="false">
      <c r="A1404" s="35" t="s">
        <v>1153</v>
      </c>
      <c r="B1404" s="35" t="s">
        <v>4059</v>
      </c>
      <c r="C1404" s="35" t="s">
        <v>48</v>
      </c>
      <c r="D1404" s="35" t="s">
        <v>57</v>
      </c>
      <c r="E1404" s="35" t="s">
        <v>1153</v>
      </c>
      <c r="F1404" s="35" t="s">
        <v>1101</v>
      </c>
      <c r="G1404" s="35" t="s">
        <v>722</v>
      </c>
      <c r="H1404" s="35" t="s">
        <v>61</v>
      </c>
      <c r="I1404" s="4"/>
    </row>
    <row r="1405" customFormat="false" ht="15" hidden="false" customHeight="false" outlineLevel="0" collapsed="false">
      <c r="A1405" s="35" t="s">
        <v>4060</v>
      </c>
      <c r="B1405" s="35" t="s">
        <v>4061</v>
      </c>
      <c r="C1405" s="35" t="s">
        <v>48</v>
      </c>
      <c r="D1405" s="35" t="s">
        <v>114</v>
      </c>
      <c r="E1405" s="35"/>
      <c r="F1405" s="35"/>
      <c r="G1405" s="35" t="s">
        <v>571</v>
      </c>
      <c r="H1405" s="35" t="s">
        <v>61</v>
      </c>
      <c r="I1405" s="4"/>
    </row>
    <row r="1406" customFormat="false" ht="15" hidden="false" customHeight="false" outlineLevel="0" collapsed="false">
      <c r="A1406" s="35" t="s">
        <v>4062</v>
      </c>
      <c r="B1406" s="35" t="s">
        <v>4063</v>
      </c>
      <c r="C1406" s="35" t="s">
        <v>48</v>
      </c>
      <c r="D1406" s="35" t="s">
        <v>57</v>
      </c>
      <c r="E1406" s="35" t="s">
        <v>1153</v>
      </c>
      <c r="F1406" s="35" t="s">
        <v>447</v>
      </c>
      <c r="G1406" s="35" t="s">
        <v>722</v>
      </c>
      <c r="H1406" s="35" t="s">
        <v>61</v>
      </c>
      <c r="I1406" s="4"/>
    </row>
    <row r="1407" customFormat="false" ht="15" hidden="false" customHeight="false" outlineLevel="0" collapsed="false">
      <c r="A1407" s="35" t="s">
        <v>4064</v>
      </c>
      <c r="B1407" s="35" t="s">
        <v>4065</v>
      </c>
      <c r="C1407" s="35" t="s">
        <v>48</v>
      </c>
      <c r="D1407" s="35" t="s">
        <v>114</v>
      </c>
      <c r="E1407" s="35"/>
      <c r="F1407" s="35"/>
      <c r="G1407" s="35" t="s">
        <v>571</v>
      </c>
      <c r="H1407" s="35" t="s">
        <v>61</v>
      </c>
      <c r="I1407" s="4"/>
    </row>
    <row r="1408" customFormat="false" ht="15" hidden="false" customHeight="false" outlineLevel="0" collapsed="false">
      <c r="A1408" s="35" t="s">
        <v>1549</v>
      </c>
      <c r="B1408" s="35" t="s">
        <v>4066</v>
      </c>
      <c r="C1408" s="35" t="s">
        <v>48</v>
      </c>
      <c r="D1408" s="35" t="s">
        <v>107</v>
      </c>
      <c r="E1408" s="35" t="s">
        <v>1548</v>
      </c>
      <c r="F1408" s="35"/>
      <c r="G1408" s="35" t="s">
        <v>417</v>
      </c>
      <c r="H1408" s="35" t="s">
        <v>61</v>
      </c>
      <c r="I1408" s="4"/>
    </row>
    <row r="1409" customFormat="false" ht="15" hidden="false" customHeight="false" outlineLevel="0" collapsed="false">
      <c r="A1409" s="35" t="s">
        <v>4067</v>
      </c>
      <c r="B1409" s="35" t="s">
        <v>4066</v>
      </c>
      <c r="C1409" s="35" t="s">
        <v>48</v>
      </c>
      <c r="D1409" s="35" t="s">
        <v>53</v>
      </c>
      <c r="E1409" s="35"/>
      <c r="F1409" s="35"/>
      <c r="G1409" s="35" t="s">
        <v>417</v>
      </c>
      <c r="H1409" s="35" t="s">
        <v>61</v>
      </c>
      <c r="I1409" s="4"/>
    </row>
    <row r="1410" customFormat="false" ht="15" hidden="false" customHeight="false" outlineLevel="0" collapsed="false">
      <c r="A1410" s="35" t="s">
        <v>4068</v>
      </c>
      <c r="B1410" s="35" t="s">
        <v>4069</v>
      </c>
      <c r="C1410" s="35" t="s">
        <v>48</v>
      </c>
      <c r="D1410" s="35" t="s">
        <v>107</v>
      </c>
      <c r="E1410" s="35" t="s">
        <v>591</v>
      </c>
      <c r="F1410" s="35"/>
      <c r="G1410" s="35" t="s">
        <v>417</v>
      </c>
      <c r="H1410" s="35" t="s">
        <v>61</v>
      </c>
      <c r="I1410" s="4"/>
    </row>
    <row r="1411" customFormat="false" ht="15" hidden="false" customHeight="false" outlineLevel="0" collapsed="false">
      <c r="A1411" s="35" t="s">
        <v>4070</v>
      </c>
      <c r="B1411" s="35" t="s">
        <v>4071</v>
      </c>
      <c r="C1411" s="35" t="s">
        <v>48</v>
      </c>
      <c r="D1411" s="35" t="s">
        <v>107</v>
      </c>
      <c r="E1411" s="35" t="s">
        <v>320</v>
      </c>
      <c r="F1411" s="35"/>
      <c r="G1411" s="35" t="s">
        <v>733</v>
      </c>
      <c r="H1411" s="35" t="s">
        <v>49</v>
      </c>
      <c r="I1411" s="4"/>
    </row>
    <row r="1412" customFormat="false" ht="15" hidden="false" customHeight="false" outlineLevel="0" collapsed="false">
      <c r="A1412" s="35" t="s">
        <v>4072</v>
      </c>
      <c r="B1412" s="35" t="s">
        <v>4073</v>
      </c>
      <c r="C1412" s="35" t="s">
        <v>48</v>
      </c>
      <c r="D1412" s="35" t="s">
        <v>107</v>
      </c>
      <c r="E1412" s="35" t="s">
        <v>351</v>
      </c>
      <c r="F1412" s="35"/>
      <c r="G1412" s="35" t="s">
        <v>337</v>
      </c>
      <c r="H1412" s="35" t="s">
        <v>61</v>
      </c>
      <c r="I1412" s="4"/>
    </row>
    <row r="1413" customFormat="false" ht="15" hidden="false" customHeight="false" outlineLevel="0" collapsed="false">
      <c r="A1413" s="35" t="s">
        <v>4074</v>
      </c>
      <c r="B1413" s="35" t="s">
        <v>4075</v>
      </c>
      <c r="C1413" s="35" t="s">
        <v>48</v>
      </c>
      <c r="D1413" s="35" t="s">
        <v>107</v>
      </c>
      <c r="E1413" s="35" t="s">
        <v>905</v>
      </c>
      <c r="F1413" s="35"/>
      <c r="G1413" s="35" t="s">
        <v>733</v>
      </c>
      <c r="H1413" s="35" t="s">
        <v>49</v>
      </c>
      <c r="I1413" s="4"/>
    </row>
    <row r="1414" customFormat="false" ht="15" hidden="false" customHeight="false" outlineLevel="0" collapsed="false">
      <c r="A1414" s="35" t="s">
        <v>4076</v>
      </c>
      <c r="B1414" s="35" t="s">
        <v>4077</v>
      </c>
      <c r="C1414" s="35" t="s">
        <v>48</v>
      </c>
      <c r="D1414" s="35" t="s">
        <v>107</v>
      </c>
      <c r="E1414" s="35" t="s">
        <v>905</v>
      </c>
      <c r="F1414" s="35"/>
      <c r="G1414" s="35" t="s">
        <v>733</v>
      </c>
      <c r="H1414" s="35" t="s">
        <v>2071</v>
      </c>
      <c r="I1414" s="4"/>
    </row>
    <row r="1415" customFormat="false" ht="15" hidden="false" customHeight="false" outlineLevel="0" collapsed="false">
      <c r="A1415" s="35" t="s">
        <v>4078</v>
      </c>
      <c r="B1415" s="35" t="s">
        <v>4079</v>
      </c>
      <c r="C1415" s="35" t="s">
        <v>48</v>
      </c>
      <c r="D1415" s="35" t="s">
        <v>107</v>
      </c>
      <c r="E1415" s="35" t="s">
        <v>905</v>
      </c>
      <c r="F1415" s="35"/>
      <c r="G1415" s="35" t="s">
        <v>545</v>
      </c>
      <c r="H1415" s="35" t="s">
        <v>369</v>
      </c>
      <c r="I1415" s="4"/>
    </row>
    <row r="1416" customFormat="false" ht="15" hidden="false" customHeight="false" outlineLevel="0" collapsed="false">
      <c r="A1416" s="35" t="s">
        <v>4080</v>
      </c>
      <c r="B1416" s="35" t="s">
        <v>4081</v>
      </c>
      <c r="C1416" s="35" t="s">
        <v>48</v>
      </c>
      <c r="D1416" s="35" t="s">
        <v>107</v>
      </c>
      <c r="E1416" s="35" t="s">
        <v>905</v>
      </c>
      <c r="F1416" s="35"/>
      <c r="G1416" s="35" t="s">
        <v>545</v>
      </c>
      <c r="H1416" s="35" t="s">
        <v>369</v>
      </c>
      <c r="I1416" s="4"/>
    </row>
    <row r="1417" customFormat="false" ht="15" hidden="false" customHeight="false" outlineLevel="0" collapsed="false">
      <c r="A1417" s="35" t="s">
        <v>4082</v>
      </c>
      <c r="B1417" s="35" t="s">
        <v>4083</v>
      </c>
      <c r="C1417" s="35" t="s">
        <v>48</v>
      </c>
      <c r="D1417" s="35" t="s">
        <v>57</v>
      </c>
      <c r="E1417" s="35" t="s">
        <v>351</v>
      </c>
      <c r="F1417" s="35"/>
      <c r="G1417" s="35" t="s">
        <v>337</v>
      </c>
      <c r="H1417" s="35" t="s">
        <v>61</v>
      </c>
      <c r="I1417" s="4"/>
    </row>
    <row r="1418" customFormat="false" ht="15" hidden="false" customHeight="false" outlineLevel="0" collapsed="false">
      <c r="A1418" s="35" t="s">
        <v>4084</v>
      </c>
      <c r="B1418" s="35" t="s">
        <v>4085</v>
      </c>
      <c r="C1418" s="35" t="s">
        <v>48</v>
      </c>
      <c r="D1418" s="35" t="s">
        <v>107</v>
      </c>
      <c r="E1418" s="35" t="s">
        <v>351</v>
      </c>
      <c r="F1418" s="35"/>
      <c r="G1418" s="35" t="s">
        <v>337</v>
      </c>
      <c r="H1418" s="35" t="s">
        <v>61</v>
      </c>
      <c r="I1418" s="4"/>
    </row>
    <row r="1419" customFormat="false" ht="15" hidden="false" customHeight="false" outlineLevel="0" collapsed="false">
      <c r="A1419" s="35" t="s">
        <v>4086</v>
      </c>
      <c r="B1419" s="35" t="s">
        <v>4087</v>
      </c>
      <c r="C1419" s="35" t="s">
        <v>48</v>
      </c>
      <c r="D1419" s="35" t="s">
        <v>107</v>
      </c>
      <c r="E1419" s="35" t="s">
        <v>351</v>
      </c>
      <c r="F1419" s="35"/>
      <c r="G1419" s="35" t="s">
        <v>337</v>
      </c>
      <c r="H1419" s="35" t="s">
        <v>61</v>
      </c>
      <c r="I1419" s="4"/>
    </row>
    <row r="1420" customFormat="false" ht="15" hidden="false" customHeight="false" outlineLevel="0" collapsed="false">
      <c r="A1420" s="35" t="s">
        <v>733</v>
      </c>
      <c r="B1420" s="35" t="s">
        <v>4088</v>
      </c>
      <c r="C1420" s="35" t="s">
        <v>48</v>
      </c>
      <c r="D1420" s="35" t="s">
        <v>107</v>
      </c>
      <c r="E1420" s="35" t="s">
        <v>247</v>
      </c>
      <c r="F1420" s="35"/>
      <c r="G1420" s="35" t="s">
        <v>119</v>
      </c>
      <c r="H1420" s="35" t="s">
        <v>2071</v>
      </c>
      <c r="I1420" s="4"/>
    </row>
    <row r="1421" customFormat="false" ht="15" hidden="false" customHeight="false" outlineLevel="0" collapsed="false">
      <c r="A1421" s="35" t="s">
        <v>4089</v>
      </c>
      <c r="B1421" s="35" t="s">
        <v>4090</v>
      </c>
      <c r="C1421" s="35" t="s">
        <v>48</v>
      </c>
      <c r="D1421" s="35" t="s">
        <v>107</v>
      </c>
      <c r="E1421" s="35" t="s">
        <v>247</v>
      </c>
      <c r="F1421" s="35"/>
      <c r="G1421" s="35" t="s">
        <v>119</v>
      </c>
      <c r="H1421" s="35" t="s">
        <v>61</v>
      </c>
      <c r="I1421" s="4"/>
    </row>
    <row r="1422" customFormat="false" ht="15" hidden="false" customHeight="false" outlineLevel="0" collapsed="false">
      <c r="A1422" s="35" t="s">
        <v>4091</v>
      </c>
      <c r="B1422" s="35" t="s">
        <v>4092</v>
      </c>
      <c r="C1422" s="35" t="s">
        <v>48</v>
      </c>
      <c r="D1422" s="35" t="s">
        <v>107</v>
      </c>
      <c r="E1422" s="35" t="s">
        <v>247</v>
      </c>
      <c r="F1422" s="35"/>
      <c r="G1422" s="35" t="s">
        <v>49</v>
      </c>
      <c r="H1422" s="35" t="s">
        <v>49</v>
      </c>
      <c r="I1422" s="4"/>
    </row>
    <row r="1423" customFormat="false" ht="15" hidden="false" customHeight="false" outlineLevel="0" collapsed="false">
      <c r="A1423" s="35" t="s">
        <v>4093</v>
      </c>
      <c r="B1423" s="35" t="s">
        <v>4094</v>
      </c>
      <c r="C1423" s="35" t="s">
        <v>48</v>
      </c>
      <c r="D1423" s="35" t="s">
        <v>114</v>
      </c>
      <c r="E1423" s="35"/>
      <c r="F1423" s="35" t="s">
        <v>2293</v>
      </c>
      <c r="G1423" s="35" t="s">
        <v>732</v>
      </c>
      <c r="H1423" s="35" t="s">
        <v>61</v>
      </c>
      <c r="I1423" s="4"/>
    </row>
    <row r="1424" customFormat="false" ht="15" hidden="false" customHeight="false" outlineLevel="0" collapsed="false">
      <c r="A1424" s="35" t="s">
        <v>4095</v>
      </c>
      <c r="B1424" s="35" t="s">
        <v>4096</v>
      </c>
      <c r="C1424" s="35" t="s">
        <v>48</v>
      </c>
      <c r="D1424" s="35" t="s">
        <v>57</v>
      </c>
      <c r="E1424" s="35" t="s">
        <v>991</v>
      </c>
      <c r="F1424" s="35"/>
      <c r="G1424" s="35" t="s">
        <v>119</v>
      </c>
      <c r="H1424" s="35" t="s">
        <v>61</v>
      </c>
      <c r="I1424" s="4"/>
    </row>
    <row r="1425" customFormat="false" ht="15" hidden="false" customHeight="false" outlineLevel="0" collapsed="false">
      <c r="A1425" s="35" t="s">
        <v>1553</v>
      </c>
      <c r="B1425" s="35" t="s">
        <v>4097</v>
      </c>
      <c r="C1425" s="35" t="s">
        <v>48</v>
      </c>
      <c r="D1425" s="35" t="s">
        <v>107</v>
      </c>
      <c r="E1425" s="35" t="s">
        <v>1552</v>
      </c>
      <c r="F1425" s="35"/>
      <c r="G1425" s="35" t="s">
        <v>421</v>
      </c>
      <c r="H1425" s="35" t="s">
        <v>61</v>
      </c>
      <c r="I1425" s="4"/>
    </row>
    <row r="1426" customFormat="false" ht="15" hidden="false" customHeight="false" outlineLevel="0" collapsed="false">
      <c r="A1426" s="35" t="s">
        <v>4098</v>
      </c>
      <c r="B1426" s="35" t="s">
        <v>4099</v>
      </c>
      <c r="C1426" s="35" t="s">
        <v>48</v>
      </c>
      <c r="D1426" s="35" t="s">
        <v>114</v>
      </c>
      <c r="E1426" s="35"/>
      <c r="F1426" s="35"/>
      <c r="G1426" s="35" t="s">
        <v>686</v>
      </c>
      <c r="H1426" s="35" t="s">
        <v>61</v>
      </c>
      <c r="I1426" s="4"/>
    </row>
    <row r="1427" customFormat="false" ht="15" hidden="false" customHeight="false" outlineLevel="0" collapsed="false">
      <c r="A1427" s="35" t="s">
        <v>4100</v>
      </c>
      <c r="B1427" s="35" t="s">
        <v>4101</v>
      </c>
      <c r="C1427" s="35" t="s">
        <v>48</v>
      </c>
      <c r="D1427" s="35" t="s">
        <v>114</v>
      </c>
      <c r="E1427" s="35"/>
      <c r="F1427" s="35"/>
      <c r="G1427" s="35" t="s">
        <v>735</v>
      </c>
      <c r="H1427" s="35" t="s">
        <v>61</v>
      </c>
      <c r="I1427" s="4"/>
    </row>
    <row r="1428" customFormat="false" ht="15" hidden="false" customHeight="false" outlineLevel="0" collapsed="false">
      <c r="A1428" s="35" t="s">
        <v>4102</v>
      </c>
      <c r="B1428" s="35" t="s">
        <v>4103</v>
      </c>
      <c r="C1428" s="35" t="s">
        <v>48</v>
      </c>
      <c r="D1428" s="35" t="s">
        <v>114</v>
      </c>
      <c r="E1428" s="35"/>
      <c r="F1428" s="35"/>
      <c r="G1428" s="35" t="s">
        <v>686</v>
      </c>
      <c r="H1428" s="35" t="s">
        <v>61</v>
      </c>
      <c r="I1428" s="4"/>
    </row>
    <row r="1429" customFormat="false" ht="15" hidden="false" customHeight="false" outlineLevel="0" collapsed="false">
      <c r="A1429" s="35" t="s">
        <v>4104</v>
      </c>
      <c r="B1429" s="35" t="s">
        <v>4105</v>
      </c>
      <c r="C1429" s="35" t="s">
        <v>48</v>
      </c>
      <c r="D1429" s="35" t="s">
        <v>114</v>
      </c>
      <c r="E1429" s="35"/>
      <c r="F1429" s="35"/>
      <c r="G1429" s="35" t="s">
        <v>421</v>
      </c>
      <c r="H1429" s="35" t="s">
        <v>61</v>
      </c>
      <c r="I1429" s="4"/>
    </row>
    <row r="1430" customFormat="false" ht="15" hidden="false" customHeight="false" outlineLevel="0" collapsed="false">
      <c r="A1430" s="35" t="s">
        <v>1335</v>
      </c>
      <c r="B1430" s="35" t="s">
        <v>4106</v>
      </c>
      <c r="C1430" s="35" t="s">
        <v>48</v>
      </c>
      <c r="D1430" s="35" t="s">
        <v>57</v>
      </c>
      <c r="E1430" s="35" t="s">
        <v>1334</v>
      </c>
      <c r="F1430" s="35"/>
      <c r="G1430" s="35" t="s">
        <v>571</v>
      </c>
      <c r="H1430" s="35" t="s">
        <v>61</v>
      </c>
      <c r="I1430" s="4"/>
    </row>
    <row r="1431" customFormat="false" ht="15" hidden="false" customHeight="false" outlineLevel="0" collapsed="false">
      <c r="A1431" s="35" t="s">
        <v>4107</v>
      </c>
      <c r="B1431" s="35" t="s">
        <v>4108</v>
      </c>
      <c r="C1431" s="35" t="s">
        <v>48</v>
      </c>
      <c r="D1431" s="35" t="s">
        <v>114</v>
      </c>
      <c r="E1431" s="35"/>
      <c r="F1431" s="35"/>
      <c r="G1431" s="35" t="s">
        <v>99</v>
      </c>
      <c r="H1431" s="35" t="s">
        <v>2109</v>
      </c>
      <c r="I1431" s="4"/>
    </row>
    <row r="1432" customFormat="false" ht="15" hidden="false" customHeight="false" outlineLevel="0" collapsed="false">
      <c r="A1432" s="35" t="s">
        <v>4109</v>
      </c>
      <c r="B1432" s="35" t="s">
        <v>4110</v>
      </c>
      <c r="C1432" s="35" t="s">
        <v>48</v>
      </c>
      <c r="D1432" s="35" t="s">
        <v>114</v>
      </c>
      <c r="E1432" s="35"/>
      <c r="F1432" s="35"/>
      <c r="G1432" s="35" t="s">
        <v>104</v>
      </c>
      <c r="H1432" s="35" t="s">
        <v>61</v>
      </c>
      <c r="I1432" s="4"/>
    </row>
    <row r="1433" customFormat="false" ht="15" hidden="false" customHeight="false" outlineLevel="0" collapsed="false">
      <c r="A1433" s="35" t="s">
        <v>4111</v>
      </c>
      <c r="B1433" s="35" t="s">
        <v>4112</v>
      </c>
      <c r="C1433" s="35" t="s">
        <v>48</v>
      </c>
      <c r="D1433" s="35" t="s">
        <v>114</v>
      </c>
      <c r="E1433" s="35"/>
      <c r="F1433" s="35"/>
      <c r="G1433" s="35" t="s">
        <v>421</v>
      </c>
      <c r="H1433" s="35" t="s">
        <v>61</v>
      </c>
      <c r="I1433" s="4"/>
    </row>
    <row r="1434" customFormat="false" ht="15" hidden="false" customHeight="false" outlineLevel="0" collapsed="false">
      <c r="A1434" s="35" t="s">
        <v>4113</v>
      </c>
      <c r="B1434" s="35" t="s">
        <v>4114</v>
      </c>
      <c r="C1434" s="35" t="s">
        <v>48</v>
      </c>
      <c r="D1434" s="35" t="s">
        <v>114</v>
      </c>
      <c r="E1434" s="35"/>
      <c r="F1434" s="35"/>
      <c r="G1434" s="35" t="s">
        <v>421</v>
      </c>
      <c r="H1434" s="35" t="s">
        <v>61</v>
      </c>
      <c r="I1434" s="4"/>
    </row>
    <row r="1435" customFormat="false" ht="15" hidden="false" customHeight="false" outlineLevel="0" collapsed="false">
      <c r="A1435" s="35" t="s">
        <v>4115</v>
      </c>
      <c r="B1435" s="35" t="s">
        <v>4116</v>
      </c>
      <c r="C1435" s="35" t="s">
        <v>48</v>
      </c>
      <c r="D1435" s="35" t="s">
        <v>114</v>
      </c>
      <c r="E1435" s="35"/>
      <c r="F1435" s="35"/>
      <c r="G1435" s="35" t="s">
        <v>119</v>
      </c>
      <c r="H1435" s="35" t="s">
        <v>61</v>
      </c>
      <c r="I1435" s="4"/>
    </row>
    <row r="1436" customFormat="false" ht="15" hidden="false" customHeight="false" outlineLevel="0" collapsed="false">
      <c r="A1436" s="35" t="s">
        <v>4117</v>
      </c>
      <c r="B1436" s="35" t="s">
        <v>4118</v>
      </c>
      <c r="C1436" s="35" t="s">
        <v>48</v>
      </c>
      <c r="D1436" s="35" t="s">
        <v>114</v>
      </c>
      <c r="E1436" s="35"/>
      <c r="F1436" s="35"/>
      <c r="G1436" s="35" t="s">
        <v>119</v>
      </c>
      <c r="H1436" s="35" t="s">
        <v>61</v>
      </c>
      <c r="I1436" s="4"/>
    </row>
    <row r="1437" customFormat="false" ht="15" hidden="false" customHeight="false" outlineLevel="0" collapsed="false">
      <c r="A1437" s="35" t="s">
        <v>4119</v>
      </c>
      <c r="B1437" s="35" t="s">
        <v>4120</v>
      </c>
      <c r="C1437" s="35" t="s">
        <v>48</v>
      </c>
      <c r="D1437" s="35" t="s">
        <v>114</v>
      </c>
      <c r="E1437" s="35"/>
      <c r="F1437" s="35"/>
      <c r="G1437" s="35" t="s">
        <v>119</v>
      </c>
      <c r="H1437" s="35" t="s">
        <v>61</v>
      </c>
      <c r="I1437" s="4"/>
    </row>
    <row r="1438" customFormat="false" ht="15" hidden="false" customHeight="false" outlineLevel="0" collapsed="false">
      <c r="A1438" s="35" t="s">
        <v>4121</v>
      </c>
      <c r="B1438" s="35" t="s">
        <v>4122</v>
      </c>
      <c r="C1438" s="35" t="s">
        <v>48</v>
      </c>
      <c r="D1438" s="35" t="s">
        <v>114</v>
      </c>
      <c r="E1438" s="35"/>
      <c r="F1438" s="35"/>
      <c r="G1438" s="35" t="s">
        <v>686</v>
      </c>
      <c r="H1438" s="35" t="s">
        <v>61</v>
      </c>
      <c r="I1438" s="4"/>
    </row>
    <row r="1439" customFormat="false" ht="15" hidden="false" customHeight="false" outlineLevel="0" collapsed="false">
      <c r="A1439" s="35" t="s">
        <v>4123</v>
      </c>
      <c r="B1439" s="35" t="s">
        <v>4124</v>
      </c>
      <c r="C1439" s="35" t="s">
        <v>48</v>
      </c>
      <c r="D1439" s="35" t="s">
        <v>114</v>
      </c>
      <c r="E1439" s="35"/>
      <c r="F1439" s="35"/>
      <c r="G1439" s="35" t="s">
        <v>262</v>
      </c>
      <c r="H1439" s="35" t="s">
        <v>61</v>
      </c>
      <c r="I1439" s="4"/>
    </row>
    <row r="1440" customFormat="false" ht="15" hidden="false" customHeight="false" outlineLevel="0" collapsed="false">
      <c r="A1440" s="35" t="s">
        <v>4125</v>
      </c>
      <c r="B1440" s="35" t="s">
        <v>4126</v>
      </c>
      <c r="C1440" s="35" t="s">
        <v>48</v>
      </c>
      <c r="D1440" s="35" t="s">
        <v>114</v>
      </c>
      <c r="E1440" s="35"/>
      <c r="F1440" s="35"/>
      <c r="G1440" s="35" t="s">
        <v>571</v>
      </c>
      <c r="H1440" s="35" t="s">
        <v>61</v>
      </c>
      <c r="I1440" s="4"/>
    </row>
    <row r="1441" customFormat="false" ht="15" hidden="false" customHeight="false" outlineLevel="0" collapsed="false">
      <c r="A1441" s="35" t="s">
        <v>573</v>
      </c>
      <c r="B1441" s="35" t="s">
        <v>574</v>
      </c>
      <c r="C1441" s="35" t="s">
        <v>48</v>
      </c>
      <c r="D1441" s="35" t="s">
        <v>114</v>
      </c>
      <c r="E1441" s="35"/>
      <c r="F1441" s="35"/>
      <c r="G1441" s="35" t="s">
        <v>571</v>
      </c>
      <c r="H1441" s="35" t="s">
        <v>61</v>
      </c>
      <c r="I1441" s="4" t="s">
        <v>2025</v>
      </c>
    </row>
    <row r="1442" customFormat="false" ht="15" hidden="false" customHeight="false" outlineLevel="0" collapsed="false">
      <c r="A1442" s="35" t="s">
        <v>578</v>
      </c>
      <c r="B1442" s="35" t="s">
        <v>579</v>
      </c>
      <c r="C1442" s="35" t="s">
        <v>48</v>
      </c>
      <c r="D1442" s="35" t="s">
        <v>114</v>
      </c>
      <c r="E1442" s="35"/>
      <c r="F1442" s="35"/>
      <c r="G1442" s="35" t="s">
        <v>571</v>
      </c>
      <c r="H1442" s="35" t="s">
        <v>61</v>
      </c>
      <c r="I1442" s="4" t="s">
        <v>2025</v>
      </c>
    </row>
    <row r="1443" customFormat="false" ht="15" hidden="false" customHeight="false" outlineLevel="0" collapsed="false">
      <c r="A1443" s="35" t="s">
        <v>4127</v>
      </c>
      <c r="B1443" s="35" t="s">
        <v>4128</v>
      </c>
      <c r="C1443" s="35" t="s">
        <v>48</v>
      </c>
      <c r="D1443" s="35" t="s">
        <v>114</v>
      </c>
      <c r="E1443" s="35"/>
      <c r="F1443" s="35"/>
      <c r="G1443" s="35" t="s">
        <v>104</v>
      </c>
      <c r="H1443" s="35" t="s">
        <v>50</v>
      </c>
      <c r="I1443" s="4"/>
    </row>
    <row r="1444" customFormat="false" ht="15" hidden="false" customHeight="false" outlineLevel="0" collapsed="false">
      <c r="A1444" s="35" t="s">
        <v>4129</v>
      </c>
      <c r="B1444" s="35" t="s">
        <v>4130</v>
      </c>
      <c r="C1444" s="35" t="s">
        <v>48</v>
      </c>
      <c r="D1444" s="35" t="s">
        <v>114</v>
      </c>
      <c r="E1444" s="35"/>
      <c r="F1444" s="35"/>
      <c r="G1444" s="35" t="s">
        <v>99</v>
      </c>
      <c r="H1444" s="35" t="s">
        <v>61</v>
      </c>
      <c r="I1444" s="4"/>
    </row>
    <row r="1445" customFormat="false" ht="15" hidden="false" customHeight="false" outlineLevel="0" collapsed="false">
      <c r="A1445" s="35" t="s">
        <v>127</v>
      </c>
      <c r="B1445" s="35" t="s">
        <v>128</v>
      </c>
      <c r="C1445" s="35" t="s">
        <v>48</v>
      </c>
      <c r="D1445" s="35" t="s">
        <v>114</v>
      </c>
      <c r="E1445" s="35"/>
      <c r="F1445" s="35"/>
      <c r="G1445" s="35" t="s">
        <v>104</v>
      </c>
      <c r="H1445" s="35" t="s">
        <v>50</v>
      </c>
      <c r="I1445" s="4" t="s">
        <v>2025</v>
      </c>
    </row>
    <row r="1446" customFormat="false" ht="15" hidden="false" customHeight="false" outlineLevel="0" collapsed="false">
      <c r="A1446" s="35" t="s">
        <v>4131</v>
      </c>
      <c r="B1446" s="35" t="s">
        <v>4132</v>
      </c>
      <c r="C1446" s="35" t="s">
        <v>48</v>
      </c>
      <c r="D1446" s="35" t="s">
        <v>114</v>
      </c>
      <c r="E1446" s="35"/>
      <c r="F1446" s="35"/>
      <c r="G1446" s="35" t="s">
        <v>104</v>
      </c>
      <c r="H1446" s="35" t="s">
        <v>50</v>
      </c>
      <c r="I1446" s="4"/>
    </row>
    <row r="1447" customFormat="false" ht="15" hidden="false" customHeight="false" outlineLevel="0" collapsed="false">
      <c r="A1447" s="35" t="s">
        <v>4133</v>
      </c>
      <c r="B1447" s="35" t="s">
        <v>4134</v>
      </c>
      <c r="C1447" s="35" t="s">
        <v>48</v>
      </c>
      <c r="D1447" s="35" t="s">
        <v>114</v>
      </c>
      <c r="E1447" s="35"/>
      <c r="F1447" s="35"/>
      <c r="G1447" s="35" t="s">
        <v>119</v>
      </c>
      <c r="H1447" s="35" t="s">
        <v>61</v>
      </c>
      <c r="I1447" s="4"/>
    </row>
    <row r="1448" customFormat="false" ht="15" hidden="false" customHeight="false" outlineLevel="0" collapsed="false">
      <c r="A1448" s="35" t="s">
        <v>4135</v>
      </c>
      <c r="B1448" s="35" t="s">
        <v>4136</v>
      </c>
      <c r="C1448" s="35" t="s">
        <v>48</v>
      </c>
      <c r="D1448" s="35" t="s">
        <v>114</v>
      </c>
      <c r="E1448" s="35"/>
      <c r="F1448" s="35"/>
      <c r="G1448" s="35" t="s">
        <v>49</v>
      </c>
      <c r="H1448" s="35" t="s">
        <v>61</v>
      </c>
      <c r="I1448" s="4"/>
    </row>
    <row r="1449" customFormat="false" ht="15" hidden="false" customHeight="false" outlineLevel="0" collapsed="false">
      <c r="A1449" s="35" t="s">
        <v>4137</v>
      </c>
      <c r="B1449" s="35" t="s">
        <v>4138</v>
      </c>
      <c r="C1449" s="35" t="s">
        <v>48</v>
      </c>
      <c r="D1449" s="35" t="s">
        <v>114</v>
      </c>
      <c r="E1449" s="35"/>
      <c r="F1449" s="35"/>
      <c r="G1449" s="35" t="s">
        <v>49</v>
      </c>
      <c r="H1449" s="35" t="s">
        <v>61</v>
      </c>
      <c r="I1449" s="4"/>
    </row>
    <row r="1450" customFormat="false" ht="15" hidden="false" customHeight="false" outlineLevel="0" collapsed="false">
      <c r="A1450" s="35" t="s">
        <v>4139</v>
      </c>
      <c r="B1450" s="35" t="s">
        <v>4140</v>
      </c>
      <c r="C1450" s="35" t="s">
        <v>48</v>
      </c>
      <c r="D1450" s="35" t="s">
        <v>114</v>
      </c>
      <c r="E1450" s="35"/>
      <c r="F1450" s="35" t="s">
        <v>4141</v>
      </c>
      <c r="G1450" s="35" t="s">
        <v>119</v>
      </c>
      <c r="H1450" s="35" t="s">
        <v>61</v>
      </c>
      <c r="I1450" s="4"/>
    </row>
    <row r="1451" customFormat="false" ht="15" hidden="false" customHeight="false" outlineLevel="0" collapsed="false">
      <c r="A1451" s="35" t="s">
        <v>130</v>
      </c>
      <c r="B1451" s="35" t="s">
        <v>131</v>
      </c>
      <c r="C1451" s="35" t="s">
        <v>48</v>
      </c>
      <c r="D1451" s="35" t="s">
        <v>114</v>
      </c>
      <c r="E1451" s="35"/>
      <c r="F1451" s="35"/>
      <c r="G1451" s="35" t="s">
        <v>119</v>
      </c>
      <c r="H1451" s="35" t="s">
        <v>61</v>
      </c>
      <c r="I1451" s="4" t="s">
        <v>2025</v>
      </c>
    </row>
    <row r="1452" customFormat="false" ht="15" hidden="false" customHeight="false" outlineLevel="0" collapsed="false">
      <c r="A1452" s="35" t="s">
        <v>133</v>
      </c>
      <c r="B1452" s="35" t="s">
        <v>134</v>
      </c>
      <c r="C1452" s="35" t="s">
        <v>48</v>
      </c>
      <c r="D1452" s="35" t="s">
        <v>114</v>
      </c>
      <c r="E1452" s="35"/>
      <c r="F1452" s="35"/>
      <c r="G1452" s="35" t="s">
        <v>49</v>
      </c>
      <c r="H1452" s="35" t="s">
        <v>49</v>
      </c>
      <c r="I1452" s="4" t="s">
        <v>2025</v>
      </c>
    </row>
    <row r="1453" customFormat="false" ht="15" hidden="false" customHeight="false" outlineLevel="0" collapsed="false">
      <c r="A1453" s="35" t="s">
        <v>4142</v>
      </c>
      <c r="B1453" s="35" t="s">
        <v>4143</v>
      </c>
      <c r="C1453" s="35" t="s">
        <v>48</v>
      </c>
      <c r="D1453" s="35" t="s">
        <v>114</v>
      </c>
      <c r="E1453" s="35"/>
      <c r="F1453" s="35"/>
      <c r="G1453" s="35" t="s">
        <v>686</v>
      </c>
      <c r="H1453" s="35" t="s">
        <v>61</v>
      </c>
      <c r="I1453" s="4"/>
    </row>
    <row r="1454" customFormat="false" ht="15" hidden="false" customHeight="false" outlineLevel="0" collapsed="false">
      <c r="A1454" s="35" t="s">
        <v>4144</v>
      </c>
      <c r="B1454" s="35" t="s">
        <v>4145</v>
      </c>
      <c r="C1454" s="35" t="s">
        <v>48</v>
      </c>
      <c r="D1454" s="35" t="s">
        <v>114</v>
      </c>
      <c r="E1454" s="35"/>
      <c r="F1454" s="35" t="s">
        <v>4146</v>
      </c>
      <c r="G1454" s="35" t="s">
        <v>421</v>
      </c>
      <c r="H1454" s="35" t="s">
        <v>61</v>
      </c>
      <c r="I1454" s="4"/>
    </row>
    <row r="1455" customFormat="false" ht="15" hidden="false" customHeight="false" outlineLevel="0" collapsed="false">
      <c r="A1455" s="35" t="s">
        <v>4147</v>
      </c>
      <c r="B1455" s="35" t="s">
        <v>4148</v>
      </c>
      <c r="C1455" s="35" t="s">
        <v>48</v>
      </c>
      <c r="D1455" s="35" t="s">
        <v>114</v>
      </c>
      <c r="E1455" s="35"/>
      <c r="F1455" s="35"/>
      <c r="G1455" s="35" t="s">
        <v>49</v>
      </c>
      <c r="H1455" s="35" t="s">
        <v>49</v>
      </c>
      <c r="I1455" s="4"/>
    </row>
    <row r="1456" customFormat="false" ht="15" hidden="false" customHeight="false" outlineLevel="0" collapsed="false">
      <c r="A1456" s="35" t="s">
        <v>4149</v>
      </c>
      <c r="B1456" s="35" t="s">
        <v>4150</v>
      </c>
      <c r="C1456" s="35" t="s">
        <v>48</v>
      </c>
      <c r="D1456" s="35" t="s">
        <v>114</v>
      </c>
      <c r="E1456" s="35"/>
      <c r="F1456" s="35"/>
      <c r="G1456" s="35" t="s">
        <v>99</v>
      </c>
      <c r="H1456" s="35" t="s">
        <v>2109</v>
      </c>
      <c r="I1456" s="4"/>
    </row>
    <row r="1457" customFormat="false" ht="15" hidden="false" customHeight="false" outlineLevel="0" collapsed="false">
      <c r="A1457" s="35" t="s">
        <v>4149</v>
      </c>
      <c r="B1457" s="35" t="s">
        <v>4151</v>
      </c>
      <c r="C1457" s="35" t="s">
        <v>48</v>
      </c>
      <c r="D1457" s="35" t="s">
        <v>114</v>
      </c>
      <c r="E1457" s="35"/>
      <c r="F1457" s="35"/>
      <c r="G1457" s="35" t="s">
        <v>686</v>
      </c>
      <c r="H1457" s="35" t="s">
        <v>61</v>
      </c>
      <c r="I1457" s="4"/>
    </row>
    <row r="1458" customFormat="false" ht="15" hidden="false" customHeight="false" outlineLevel="0" collapsed="false">
      <c r="A1458" s="35" t="s">
        <v>4152</v>
      </c>
      <c r="B1458" s="35" t="s">
        <v>4153</v>
      </c>
      <c r="C1458" s="35" t="s">
        <v>48</v>
      </c>
      <c r="D1458" s="35" t="s">
        <v>114</v>
      </c>
      <c r="E1458" s="35"/>
      <c r="F1458" s="35" t="s">
        <v>4016</v>
      </c>
      <c r="G1458" s="35" t="s">
        <v>571</v>
      </c>
      <c r="H1458" s="35" t="s">
        <v>258</v>
      </c>
      <c r="I1458" s="4"/>
    </row>
    <row r="1459" customFormat="false" ht="15" hidden="false" customHeight="false" outlineLevel="0" collapsed="false">
      <c r="A1459" s="35" t="s">
        <v>4154</v>
      </c>
      <c r="B1459" s="35" t="s">
        <v>4155</v>
      </c>
      <c r="C1459" s="35" t="s">
        <v>48</v>
      </c>
      <c r="D1459" s="35" t="s">
        <v>107</v>
      </c>
      <c r="E1459" s="35" t="s">
        <v>739</v>
      </c>
      <c r="F1459" s="35"/>
      <c r="G1459" s="35" t="s">
        <v>739</v>
      </c>
      <c r="H1459" s="35" t="s">
        <v>61</v>
      </c>
      <c r="I1459" s="4"/>
    </row>
    <row r="1460" customFormat="false" ht="15" hidden="false" customHeight="false" outlineLevel="0" collapsed="false">
      <c r="A1460" s="35" t="s">
        <v>4156</v>
      </c>
      <c r="B1460" s="35" t="s">
        <v>4157</v>
      </c>
      <c r="C1460" s="35" t="s">
        <v>48</v>
      </c>
      <c r="D1460" s="35" t="s">
        <v>57</v>
      </c>
      <c r="E1460" s="35" t="s">
        <v>829</v>
      </c>
      <c r="F1460" s="35"/>
      <c r="G1460" s="35" t="s">
        <v>99</v>
      </c>
      <c r="H1460" s="35" t="s">
        <v>61</v>
      </c>
      <c r="I1460" s="4"/>
    </row>
    <row r="1461" customFormat="false" ht="15" hidden="false" customHeight="false" outlineLevel="0" collapsed="false">
      <c r="A1461" s="35" t="s">
        <v>1620</v>
      </c>
      <c r="B1461" s="35" t="s">
        <v>4158</v>
      </c>
      <c r="C1461" s="35" t="s">
        <v>48</v>
      </c>
      <c r="D1461" s="35" t="s">
        <v>57</v>
      </c>
      <c r="E1461" s="35" t="s">
        <v>1619</v>
      </c>
      <c r="F1461" s="35"/>
      <c r="G1461" s="35" t="s">
        <v>734</v>
      </c>
      <c r="H1461" s="35" t="s">
        <v>61</v>
      </c>
      <c r="I1461" s="4"/>
    </row>
    <row r="1462" customFormat="false" ht="15" hidden="false" customHeight="false" outlineLevel="0" collapsed="false">
      <c r="A1462" s="35" t="s">
        <v>4159</v>
      </c>
      <c r="B1462" s="35" t="s">
        <v>4160</v>
      </c>
      <c r="C1462" s="35" t="s">
        <v>48</v>
      </c>
      <c r="D1462" s="35" t="s">
        <v>107</v>
      </c>
      <c r="E1462" s="35" t="s">
        <v>829</v>
      </c>
      <c r="F1462" s="35"/>
      <c r="G1462" s="35" t="s">
        <v>99</v>
      </c>
      <c r="H1462" s="35" t="s">
        <v>61</v>
      </c>
      <c r="I1462" s="4"/>
    </row>
    <row r="1463" customFormat="false" ht="15" hidden="false" customHeight="false" outlineLevel="0" collapsed="false">
      <c r="A1463" s="35" t="s">
        <v>4161</v>
      </c>
      <c r="B1463" s="35" t="s">
        <v>4162</v>
      </c>
      <c r="C1463" s="35" t="s">
        <v>48</v>
      </c>
      <c r="D1463" s="35" t="s">
        <v>107</v>
      </c>
      <c r="E1463" s="35" t="s">
        <v>829</v>
      </c>
      <c r="F1463" s="35"/>
      <c r="G1463" s="35" t="s">
        <v>99</v>
      </c>
      <c r="H1463" s="35" t="s">
        <v>61</v>
      </c>
      <c r="I1463" s="4"/>
    </row>
    <row r="1464" customFormat="false" ht="15" hidden="false" customHeight="false" outlineLevel="0" collapsed="false">
      <c r="A1464" s="35" t="s">
        <v>232</v>
      </c>
      <c r="B1464" s="35" t="s">
        <v>233</v>
      </c>
      <c r="C1464" s="35" t="s">
        <v>48</v>
      </c>
      <c r="D1464" s="35" t="s">
        <v>57</v>
      </c>
      <c r="E1464" s="35" t="s">
        <v>232</v>
      </c>
      <c r="F1464" s="35"/>
      <c r="G1464" s="35" t="s">
        <v>119</v>
      </c>
      <c r="H1464" s="35" t="s">
        <v>50</v>
      </c>
      <c r="I1464" s="4" t="s">
        <v>2025</v>
      </c>
    </row>
    <row r="1465" customFormat="false" ht="15" hidden="false" customHeight="false" outlineLevel="0" collapsed="false">
      <c r="A1465" s="35" t="s">
        <v>4163</v>
      </c>
      <c r="B1465" s="35" t="s">
        <v>4164</v>
      </c>
      <c r="C1465" s="35" t="s">
        <v>48</v>
      </c>
      <c r="D1465" s="35" t="s">
        <v>107</v>
      </c>
      <c r="E1465" s="35" t="s">
        <v>243</v>
      </c>
      <c r="F1465" s="35"/>
      <c r="G1465" s="35" t="s">
        <v>119</v>
      </c>
      <c r="H1465" s="35" t="s">
        <v>61</v>
      </c>
      <c r="I1465" s="4"/>
    </row>
    <row r="1466" customFormat="false" ht="15" hidden="false" customHeight="false" outlineLevel="0" collapsed="false">
      <c r="A1466" s="35" t="s">
        <v>1555</v>
      </c>
      <c r="B1466" s="35" t="s">
        <v>4165</v>
      </c>
      <c r="C1466" s="35" t="s">
        <v>48</v>
      </c>
      <c r="D1466" s="35" t="s">
        <v>107</v>
      </c>
      <c r="E1466" s="35" t="s">
        <v>1554</v>
      </c>
      <c r="F1466" s="35"/>
      <c r="G1466" s="35" t="s">
        <v>119</v>
      </c>
      <c r="H1466" s="35" t="s">
        <v>61</v>
      </c>
      <c r="I1466" s="4"/>
    </row>
    <row r="1467" customFormat="false" ht="15" hidden="false" customHeight="false" outlineLevel="0" collapsed="false">
      <c r="A1467" s="35" t="s">
        <v>991</v>
      </c>
      <c r="B1467" s="35" t="s">
        <v>4166</v>
      </c>
      <c r="C1467" s="35" t="s">
        <v>48</v>
      </c>
      <c r="D1467" s="35" t="s">
        <v>57</v>
      </c>
      <c r="E1467" s="35" t="s">
        <v>991</v>
      </c>
      <c r="F1467" s="35"/>
      <c r="G1467" s="35" t="s">
        <v>119</v>
      </c>
      <c r="H1467" s="35" t="s">
        <v>61</v>
      </c>
      <c r="I1467" s="4"/>
    </row>
    <row r="1468" customFormat="false" ht="15" hidden="false" customHeight="false" outlineLevel="0" collapsed="false">
      <c r="A1468" s="35" t="s">
        <v>4167</v>
      </c>
      <c r="B1468" s="35" t="s">
        <v>4168</v>
      </c>
      <c r="C1468" s="35" t="s">
        <v>48</v>
      </c>
      <c r="D1468" s="35" t="s">
        <v>57</v>
      </c>
      <c r="E1468" s="35" t="s">
        <v>991</v>
      </c>
      <c r="F1468" s="35"/>
      <c r="G1468" s="35" t="s">
        <v>119</v>
      </c>
      <c r="H1468" s="35" t="s">
        <v>61</v>
      </c>
      <c r="I1468" s="4"/>
    </row>
    <row r="1469" customFormat="false" ht="15" hidden="false" customHeight="false" outlineLevel="0" collapsed="false">
      <c r="A1469" s="35" t="s">
        <v>4169</v>
      </c>
      <c r="B1469" s="35" t="s">
        <v>4170</v>
      </c>
      <c r="C1469" s="35" t="s">
        <v>48</v>
      </c>
      <c r="D1469" s="35" t="s">
        <v>107</v>
      </c>
      <c r="E1469" s="35" t="s">
        <v>243</v>
      </c>
      <c r="F1469" s="35"/>
      <c r="G1469" s="35" t="s">
        <v>119</v>
      </c>
      <c r="H1469" s="35" t="s">
        <v>61</v>
      </c>
      <c r="I1469" s="4"/>
    </row>
    <row r="1470" customFormat="false" ht="15" hidden="false" customHeight="false" outlineLevel="0" collapsed="false">
      <c r="A1470" s="35" t="s">
        <v>4171</v>
      </c>
      <c r="B1470" s="35" t="s">
        <v>4172</v>
      </c>
      <c r="C1470" s="35" t="s">
        <v>48</v>
      </c>
      <c r="D1470" s="35" t="s">
        <v>107</v>
      </c>
      <c r="E1470" s="35" t="s">
        <v>243</v>
      </c>
      <c r="F1470" s="35"/>
      <c r="G1470" s="35" t="s">
        <v>49</v>
      </c>
      <c r="H1470" s="35" t="s">
        <v>49</v>
      </c>
      <c r="I1470" s="4"/>
    </row>
    <row r="1471" customFormat="false" ht="15" hidden="false" customHeight="false" outlineLevel="0" collapsed="false">
      <c r="A1471" s="35" t="s">
        <v>4173</v>
      </c>
      <c r="B1471" s="35" t="s">
        <v>4174</v>
      </c>
      <c r="C1471" s="35" t="s">
        <v>48</v>
      </c>
      <c r="D1471" s="35" t="s">
        <v>107</v>
      </c>
      <c r="E1471" s="35" t="s">
        <v>243</v>
      </c>
      <c r="F1471" s="35"/>
      <c r="G1471" s="35" t="s">
        <v>49</v>
      </c>
      <c r="H1471" s="35" t="s">
        <v>49</v>
      </c>
      <c r="I1471" s="4"/>
    </row>
    <row r="1472" customFormat="false" ht="15" hidden="false" customHeight="false" outlineLevel="0" collapsed="false">
      <c r="A1472" s="35" t="s">
        <v>4175</v>
      </c>
      <c r="B1472" s="35" t="s">
        <v>4176</v>
      </c>
      <c r="C1472" s="35" t="s">
        <v>48</v>
      </c>
      <c r="D1472" s="35" t="s">
        <v>107</v>
      </c>
      <c r="E1472" s="35" t="s">
        <v>243</v>
      </c>
      <c r="F1472" s="35"/>
      <c r="G1472" s="35" t="s">
        <v>49</v>
      </c>
      <c r="H1472" s="35" t="s">
        <v>49</v>
      </c>
      <c r="I1472" s="4"/>
    </row>
    <row r="1473" customFormat="false" ht="15" hidden="false" customHeight="false" outlineLevel="0" collapsed="false">
      <c r="A1473" s="35" t="s">
        <v>4177</v>
      </c>
      <c r="B1473" s="35" t="s">
        <v>4178</v>
      </c>
      <c r="C1473" s="35" t="s">
        <v>48</v>
      </c>
      <c r="D1473" s="35" t="s">
        <v>107</v>
      </c>
      <c r="E1473" s="35" t="s">
        <v>243</v>
      </c>
      <c r="F1473" s="35"/>
      <c r="G1473" s="35" t="s">
        <v>49</v>
      </c>
      <c r="H1473" s="35" t="s">
        <v>49</v>
      </c>
      <c r="I1473" s="4"/>
    </row>
    <row r="1474" customFormat="false" ht="15" hidden="false" customHeight="false" outlineLevel="0" collapsed="false">
      <c r="A1474" s="35" t="s">
        <v>4179</v>
      </c>
      <c r="B1474" s="35" t="s">
        <v>4180</v>
      </c>
      <c r="C1474" s="35" t="s">
        <v>48</v>
      </c>
      <c r="D1474" s="35" t="s">
        <v>107</v>
      </c>
      <c r="E1474" s="35" t="s">
        <v>243</v>
      </c>
      <c r="F1474" s="35"/>
      <c r="G1474" s="35" t="s">
        <v>49</v>
      </c>
      <c r="H1474" s="35" t="s">
        <v>49</v>
      </c>
      <c r="I1474" s="4"/>
    </row>
    <row r="1475" customFormat="false" ht="15" hidden="false" customHeight="false" outlineLevel="0" collapsed="false">
      <c r="A1475" s="35" t="s">
        <v>4181</v>
      </c>
      <c r="B1475" s="35" t="s">
        <v>4182</v>
      </c>
      <c r="C1475" s="35" t="s">
        <v>48</v>
      </c>
      <c r="D1475" s="35" t="s">
        <v>107</v>
      </c>
      <c r="E1475" s="35" t="s">
        <v>243</v>
      </c>
      <c r="F1475" s="35"/>
      <c r="G1475" s="35" t="s">
        <v>49</v>
      </c>
      <c r="H1475" s="35" t="s">
        <v>49</v>
      </c>
      <c r="I1475" s="4"/>
    </row>
    <row r="1476" customFormat="false" ht="15" hidden="false" customHeight="false" outlineLevel="0" collapsed="false">
      <c r="A1476" s="35" t="s">
        <v>242</v>
      </c>
      <c r="B1476" s="35" t="s">
        <v>244</v>
      </c>
      <c r="C1476" s="35" t="s">
        <v>48</v>
      </c>
      <c r="D1476" s="35" t="s">
        <v>107</v>
      </c>
      <c r="E1476" s="35" t="s">
        <v>243</v>
      </c>
      <c r="F1476" s="35"/>
      <c r="G1476" s="35" t="s">
        <v>119</v>
      </c>
      <c r="H1476" s="35" t="s">
        <v>245</v>
      </c>
      <c r="I1476" s="4" t="s">
        <v>2025</v>
      </c>
    </row>
    <row r="1477" customFormat="false" ht="15" hidden="false" customHeight="false" outlineLevel="0" collapsed="false">
      <c r="A1477" s="35" t="s">
        <v>223</v>
      </c>
      <c r="B1477" s="35" t="s">
        <v>224</v>
      </c>
      <c r="C1477" s="35" t="s">
        <v>48</v>
      </c>
      <c r="D1477" s="35" t="s">
        <v>53</v>
      </c>
      <c r="E1477" s="35"/>
      <c r="F1477" s="35"/>
      <c r="G1477" s="35" t="s">
        <v>119</v>
      </c>
      <c r="H1477" s="35" t="s">
        <v>61</v>
      </c>
      <c r="I1477" s="4" t="s">
        <v>2025</v>
      </c>
    </row>
    <row r="1478" customFormat="false" ht="15" hidden="false" customHeight="false" outlineLevel="0" collapsed="false">
      <c r="A1478" s="35" t="s">
        <v>4183</v>
      </c>
      <c r="B1478" s="35" t="s">
        <v>4184</v>
      </c>
      <c r="C1478" s="35" t="s">
        <v>48</v>
      </c>
      <c r="D1478" s="35" t="s">
        <v>114</v>
      </c>
      <c r="E1478" s="35"/>
      <c r="F1478" s="35"/>
      <c r="G1478" s="35" t="s">
        <v>571</v>
      </c>
      <c r="H1478" s="35" t="s">
        <v>61</v>
      </c>
      <c r="I1478" s="4"/>
    </row>
    <row r="1479" customFormat="false" ht="15" hidden="false" customHeight="false" outlineLevel="0" collapsed="false">
      <c r="A1479" s="35" t="s">
        <v>4185</v>
      </c>
      <c r="B1479" s="35" t="s">
        <v>4186</v>
      </c>
      <c r="C1479" s="35" t="s">
        <v>48</v>
      </c>
      <c r="D1479" s="35" t="s">
        <v>114</v>
      </c>
      <c r="E1479" s="35"/>
      <c r="F1479" s="35"/>
      <c r="G1479" s="35" t="s">
        <v>119</v>
      </c>
      <c r="H1479" s="35" t="s">
        <v>61</v>
      </c>
      <c r="I1479" s="4"/>
    </row>
    <row r="1480" customFormat="false" ht="15" hidden="false" customHeight="false" outlineLevel="0" collapsed="false">
      <c r="A1480" s="35" t="s">
        <v>4187</v>
      </c>
      <c r="B1480" s="35" t="s">
        <v>4188</v>
      </c>
      <c r="C1480" s="35" t="s">
        <v>48</v>
      </c>
      <c r="D1480" s="35" t="s">
        <v>107</v>
      </c>
      <c r="E1480" s="35" t="s">
        <v>226</v>
      </c>
      <c r="F1480" s="35"/>
      <c r="G1480" s="35" t="s">
        <v>49</v>
      </c>
      <c r="H1480" s="35" t="s">
        <v>49</v>
      </c>
      <c r="I1480" s="4"/>
    </row>
    <row r="1481" customFormat="false" ht="15" hidden="false" customHeight="false" outlineLevel="0" collapsed="false">
      <c r="A1481" s="35" t="s">
        <v>226</v>
      </c>
      <c r="B1481" s="35" t="s">
        <v>227</v>
      </c>
      <c r="C1481" s="35" t="s">
        <v>48</v>
      </c>
      <c r="D1481" s="35" t="s">
        <v>107</v>
      </c>
      <c r="E1481" s="35" t="s">
        <v>226</v>
      </c>
      <c r="F1481" s="35"/>
      <c r="G1481" s="35" t="s">
        <v>119</v>
      </c>
      <c r="H1481" s="35" t="s">
        <v>50</v>
      </c>
      <c r="I1481" s="4" t="s">
        <v>2025</v>
      </c>
    </row>
    <row r="1482" customFormat="false" ht="15" hidden="false" customHeight="false" outlineLevel="0" collapsed="false">
      <c r="A1482" s="35" t="s">
        <v>4189</v>
      </c>
      <c r="B1482" s="35" t="s">
        <v>4190</v>
      </c>
      <c r="C1482" s="35" t="s">
        <v>48</v>
      </c>
      <c r="D1482" s="35" t="s">
        <v>107</v>
      </c>
      <c r="E1482" s="35" t="s">
        <v>226</v>
      </c>
      <c r="F1482" s="35"/>
      <c r="G1482" s="35" t="s">
        <v>49</v>
      </c>
      <c r="H1482" s="35" t="s">
        <v>49</v>
      </c>
      <c r="I1482" s="4"/>
    </row>
    <row r="1483" customFormat="false" ht="15" hidden="false" customHeight="false" outlineLevel="0" collapsed="false">
      <c r="A1483" s="35" t="s">
        <v>229</v>
      </c>
      <c r="B1483" s="35" t="s">
        <v>230</v>
      </c>
      <c r="C1483" s="35" t="s">
        <v>48</v>
      </c>
      <c r="D1483" s="35" t="s">
        <v>107</v>
      </c>
      <c r="E1483" s="35" t="s">
        <v>226</v>
      </c>
      <c r="F1483" s="35"/>
      <c r="G1483" s="35" t="s">
        <v>119</v>
      </c>
      <c r="H1483" s="35" t="s">
        <v>50</v>
      </c>
      <c r="I1483" s="4" t="s">
        <v>2025</v>
      </c>
    </row>
    <row r="1484" customFormat="false" ht="15" hidden="false" customHeight="false" outlineLevel="0" collapsed="false">
      <c r="A1484" s="35" t="s">
        <v>4191</v>
      </c>
      <c r="B1484" s="35" t="s">
        <v>4192</v>
      </c>
      <c r="C1484" s="35" t="s">
        <v>48</v>
      </c>
      <c r="D1484" s="35" t="s">
        <v>107</v>
      </c>
      <c r="E1484" s="35" t="s">
        <v>226</v>
      </c>
      <c r="F1484" s="35"/>
      <c r="G1484" s="35" t="s">
        <v>49</v>
      </c>
      <c r="H1484" s="35" t="s">
        <v>49</v>
      </c>
      <c r="I1484" s="4"/>
    </row>
    <row r="1485" customFormat="false" ht="15" hidden="false" customHeight="false" outlineLevel="0" collapsed="false">
      <c r="A1485" s="35" t="s">
        <v>4193</v>
      </c>
      <c r="B1485" s="35" t="s">
        <v>4194</v>
      </c>
      <c r="C1485" s="35" t="s">
        <v>48</v>
      </c>
      <c r="D1485" s="35" t="s">
        <v>107</v>
      </c>
      <c r="E1485" s="35" t="s">
        <v>226</v>
      </c>
      <c r="F1485" s="35"/>
      <c r="G1485" s="35" t="s">
        <v>49</v>
      </c>
      <c r="H1485" s="35" t="s">
        <v>49</v>
      </c>
      <c r="I1485" s="4"/>
    </row>
    <row r="1486" customFormat="false" ht="15" hidden="false" customHeight="false" outlineLevel="0" collapsed="false">
      <c r="A1486" s="35" t="s">
        <v>611</v>
      </c>
      <c r="B1486" s="35" t="s">
        <v>613</v>
      </c>
      <c r="C1486" s="35" t="s">
        <v>48</v>
      </c>
      <c r="D1486" s="35" t="s">
        <v>107</v>
      </c>
      <c r="E1486" s="35" t="s">
        <v>612</v>
      </c>
      <c r="F1486" s="35"/>
      <c r="G1486" s="35" t="s">
        <v>188</v>
      </c>
      <c r="H1486" s="35" t="s">
        <v>61</v>
      </c>
      <c r="I1486" s="4" t="s">
        <v>2025</v>
      </c>
    </row>
    <row r="1487" customFormat="false" ht="15" hidden="false" customHeight="false" outlineLevel="0" collapsed="false">
      <c r="A1487" s="35" t="s">
        <v>4195</v>
      </c>
      <c r="B1487" s="35" t="s">
        <v>4196</v>
      </c>
      <c r="C1487" s="35" t="s">
        <v>48</v>
      </c>
      <c r="D1487" s="35" t="s">
        <v>107</v>
      </c>
      <c r="E1487" s="35" t="s">
        <v>611</v>
      </c>
      <c r="F1487" s="35"/>
      <c r="G1487" s="35" t="s">
        <v>417</v>
      </c>
      <c r="H1487" s="35" t="s">
        <v>61</v>
      </c>
      <c r="I1487" s="4"/>
    </row>
    <row r="1488" customFormat="false" ht="15" hidden="false" customHeight="false" outlineLevel="0" collapsed="false">
      <c r="A1488" s="35" t="s">
        <v>4197</v>
      </c>
      <c r="B1488" s="35" t="s">
        <v>4198</v>
      </c>
      <c r="C1488" s="35" t="s">
        <v>48</v>
      </c>
      <c r="D1488" s="35" t="s">
        <v>107</v>
      </c>
      <c r="E1488" s="35" t="s">
        <v>880</v>
      </c>
      <c r="F1488" s="35"/>
      <c r="G1488" s="35" t="s">
        <v>417</v>
      </c>
      <c r="H1488" s="35" t="s">
        <v>61</v>
      </c>
      <c r="I1488" s="4"/>
    </row>
    <row r="1489" customFormat="false" ht="15" hidden="false" customHeight="false" outlineLevel="0" collapsed="false">
      <c r="A1489" s="35" t="s">
        <v>4199</v>
      </c>
      <c r="B1489" s="35" t="s">
        <v>4198</v>
      </c>
      <c r="C1489" s="35" t="s">
        <v>48</v>
      </c>
      <c r="D1489" s="35" t="s">
        <v>53</v>
      </c>
      <c r="E1489" s="35"/>
      <c r="F1489" s="35"/>
      <c r="G1489" s="35" t="s">
        <v>417</v>
      </c>
      <c r="H1489" s="35" t="s">
        <v>61</v>
      </c>
      <c r="I1489" s="4"/>
    </row>
    <row r="1490" customFormat="false" ht="15" hidden="false" customHeight="false" outlineLevel="0" collapsed="false">
      <c r="A1490" s="35" t="s">
        <v>4200</v>
      </c>
      <c r="B1490" s="35" t="s">
        <v>4201</v>
      </c>
      <c r="C1490" s="35" t="s">
        <v>48</v>
      </c>
      <c r="D1490" s="35" t="s">
        <v>107</v>
      </c>
      <c r="E1490" s="35" t="s">
        <v>880</v>
      </c>
      <c r="F1490" s="35"/>
      <c r="G1490" s="35" t="s">
        <v>417</v>
      </c>
      <c r="H1490" s="35" t="s">
        <v>61</v>
      </c>
      <c r="I1490" s="4"/>
    </row>
    <row r="1491" customFormat="false" ht="15" hidden="false" customHeight="false" outlineLevel="0" collapsed="false">
      <c r="A1491" s="35" t="s">
        <v>4202</v>
      </c>
      <c r="B1491" s="35" t="s">
        <v>4203</v>
      </c>
      <c r="C1491" s="35" t="s">
        <v>48</v>
      </c>
      <c r="D1491" s="35" t="s">
        <v>107</v>
      </c>
      <c r="E1491" s="35" t="s">
        <v>611</v>
      </c>
      <c r="F1491" s="35"/>
      <c r="G1491" s="35" t="s">
        <v>417</v>
      </c>
      <c r="H1491" s="35" t="s">
        <v>245</v>
      </c>
      <c r="I1491" s="4"/>
    </row>
    <row r="1492" customFormat="false" ht="15" hidden="false" customHeight="false" outlineLevel="0" collapsed="false">
      <c r="A1492" s="35" t="s">
        <v>1559</v>
      </c>
      <c r="B1492" s="35" t="s">
        <v>4204</v>
      </c>
      <c r="C1492" s="35" t="s">
        <v>48</v>
      </c>
      <c r="D1492" s="35" t="s">
        <v>107</v>
      </c>
      <c r="E1492" s="35" t="s">
        <v>1558</v>
      </c>
      <c r="F1492" s="35"/>
      <c r="G1492" s="35" t="s">
        <v>188</v>
      </c>
      <c r="H1492" s="35" t="s">
        <v>61</v>
      </c>
      <c r="I1492" s="4"/>
    </row>
    <row r="1493" customFormat="false" ht="15" hidden="false" customHeight="false" outlineLevel="0" collapsed="false">
      <c r="A1493" s="35" t="s">
        <v>4205</v>
      </c>
      <c r="B1493" s="35" t="s">
        <v>4206</v>
      </c>
      <c r="C1493" s="35" t="s">
        <v>48</v>
      </c>
      <c r="D1493" s="35" t="s">
        <v>53</v>
      </c>
      <c r="E1493" s="35"/>
      <c r="F1493" s="35"/>
      <c r="G1493" s="35" t="s">
        <v>417</v>
      </c>
      <c r="H1493" s="35" t="s">
        <v>61</v>
      </c>
      <c r="I1493" s="4"/>
    </row>
    <row r="1494" customFormat="false" ht="15" hidden="false" customHeight="false" outlineLevel="0" collapsed="false">
      <c r="A1494" s="35" t="s">
        <v>4207</v>
      </c>
      <c r="B1494" s="35" t="s">
        <v>4208</v>
      </c>
      <c r="C1494" s="35" t="s">
        <v>48</v>
      </c>
      <c r="D1494" s="35" t="s">
        <v>114</v>
      </c>
      <c r="E1494" s="35"/>
      <c r="F1494" s="35"/>
      <c r="G1494" s="35" t="s">
        <v>571</v>
      </c>
      <c r="H1494" s="35" t="s">
        <v>61</v>
      </c>
      <c r="I1494" s="4"/>
    </row>
    <row r="1495" customFormat="false" ht="15" hidden="false" customHeight="false" outlineLevel="0" collapsed="false">
      <c r="A1495" s="35" t="s">
        <v>4209</v>
      </c>
      <c r="B1495" s="35" t="s">
        <v>4210</v>
      </c>
      <c r="C1495" s="35" t="s">
        <v>48</v>
      </c>
      <c r="D1495" s="35" t="s">
        <v>107</v>
      </c>
      <c r="E1495" s="35" t="s">
        <v>220</v>
      </c>
      <c r="F1495" s="35"/>
      <c r="G1495" s="35" t="s">
        <v>687</v>
      </c>
      <c r="H1495" s="35" t="s">
        <v>61</v>
      </c>
      <c r="I1495" s="4"/>
    </row>
    <row r="1496" customFormat="false" ht="15" hidden="false" customHeight="false" outlineLevel="0" collapsed="false">
      <c r="A1496" s="35" t="s">
        <v>4211</v>
      </c>
      <c r="B1496" s="35" t="s">
        <v>4212</v>
      </c>
      <c r="C1496" s="35" t="s">
        <v>48</v>
      </c>
      <c r="D1496" s="35" t="s">
        <v>157</v>
      </c>
      <c r="E1496" s="35"/>
      <c r="F1496" s="35"/>
      <c r="G1496" s="35" t="s">
        <v>687</v>
      </c>
      <c r="H1496" s="35" t="s">
        <v>61</v>
      </c>
      <c r="I1496" s="4"/>
    </row>
    <row r="1497" customFormat="false" ht="15" hidden="false" customHeight="false" outlineLevel="0" collapsed="false">
      <c r="A1497" s="35" t="s">
        <v>4213</v>
      </c>
      <c r="B1497" s="35" t="s">
        <v>4214</v>
      </c>
      <c r="C1497" s="35" t="s">
        <v>48</v>
      </c>
      <c r="D1497" s="35" t="s">
        <v>114</v>
      </c>
      <c r="E1497" s="35"/>
      <c r="F1497" s="35"/>
      <c r="G1497" s="35" t="s">
        <v>571</v>
      </c>
      <c r="H1497" s="35" t="s">
        <v>61</v>
      </c>
      <c r="I1497" s="4"/>
    </row>
    <row r="1498" customFormat="false" ht="15" hidden="false" customHeight="false" outlineLevel="0" collapsed="false">
      <c r="A1498" s="35" t="s">
        <v>235</v>
      </c>
      <c r="B1498" s="35" t="s">
        <v>237</v>
      </c>
      <c r="C1498" s="35" t="s">
        <v>48</v>
      </c>
      <c r="D1498" s="35" t="s">
        <v>57</v>
      </c>
      <c r="E1498" s="35" t="s">
        <v>236</v>
      </c>
      <c r="F1498" s="35"/>
      <c r="G1498" s="35" t="s">
        <v>104</v>
      </c>
      <c r="H1498" s="35" t="s">
        <v>50</v>
      </c>
      <c r="I1498" s="4" t="s">
        <v>2025</v>
      </c>
    </row>
    <row r="1499" customFormat="false" ht="15" hidden="false" customHeight="false" outlineLevel="0" collapsed="false">
      <c r="A1499" s="35" t="s">
        <v>220</v>
      </c>
      <c r="B1499" s="35" t="s">
        <v>221</v>
      </c>
      <c r="C1499" s="35" t="s">
        <v>48</v>
      </c>
      <c r="D1499" s="35" t="s">
        <v>57</v>
      </c>
      <c r="E1499" s="35" t="s">
        <v>220</v>
      </c>
      <c r="F1499" s="35"/>
      <c r="G1499" s="35" t="s">
        <v>119</v>
      </c>
      <c r="H1499" s="35" t="s">
        <v>61</v>
      </c>
      <c r="I1499" s="4" t="s">
        <v>2025</v>
      </c>
    </row>
    <row r="1500" customFormat="false" ht="15" hidden="false" customHeight="false" outlineLevel="0" collapsed="false">
      <c r="A1500" s="35" t="s">
        <v>4215</v>
      </c>
      <c r="B1500" s="35" t="s">
        <v>4216</v>
      </c>
      <c r="C1500" s="35" t="s">
        <v>48</v>
      </c>
      <c r="D1500" s="35" t="s">
        <v>57</v>
      </c>
      <c r="E1500" s="35" t="s">
        <v>220</v>
      </c>
      <c r="F1500" s="35"/>
      <c r="G1500" s="35" t="s">
        <v>49</v>
      </c>
      <c r="H1500" s="35" t="s">
        <v>49</v>
      </c>
      <c r="I1500" s="4"/>
    </row>
    <row r="1501" customFormat="false" ht="15" hidden="false" customHeight="false" outlineLevel="0" collapsed="false">
      <c r="A1501" s="35" t="s">
        <v>4217</v>
      </c>
      <c r="B1501" s="35" t="s">
        <v>4218</v>
      </c>
      <c r="C1501" s="35" t="s">
        <v>48</v>
      </c>
      <c r="D1501" s="35" t="s">
        <v>57</v>
      </c>
      <c r="E1501" s="35" t="s">
        <v>220</v>
      </c>
      <c r="F1501" s="35"/>
      <c r="G1501" s="35" t="s">
        <v>119</v>
      </c>
      <c r="H1501" s="35" t="s">
        <v>61</v>
      </c>
      <c r="I1501" s="4"/>
    </row>
    <row r="1502" customFormat="false" ht="15" hidden="false" customHeight="false" outlineLevel="0" collapsed="false">
      <c r="A1502" s="35" t="s">
        <v>4219</v>
      </c>
      <c r="B1502" s="35" t="s">
        <v>4220</v>
      </c>
      <c r="C1502" s="35" t="s">
        <v>48</v>
      </c>
      <c r="D1502" s="35" t="s">
        <v>57</v>
      </c>
      <c r="E1502" s="35" t="s">
        <v>220</v>
      </c>
      <c r="F1502" s="35"/>
      <c r="G1502" s="35" t="s">
        <v>119</v>
      </c>
      <c r="H1502" s="35" t="s">
        <v>50</v>
      </c>
      <c r="I1502" s="4"/>
    </row>
    <row r="1503" customFormat="false" ht="15" hidden="false" customHeight="false" outlineLevel="0" collapsed="false">
      <c r="A1503" s="35" t="s">
        <v>4221</v>
      </c>
      <c r="B1503" s="35" t="s">
        <v>4222</v>
      </c>
      <c r="C1503" s="35" t="s">
        <v>48</v>
      </c>
      <c r="D1503" s="35" t="s">
        <v>107</v>
      </c>
      <c r="E1503" s="35" t="s">
        <v>220</v>
      </c>
      <c r="F1503" s="35"/>
      <c r="G1503" s="35" t="s">
        <v>119</v>
      </c>
      <c r="H1503" s="35" t="s">
        <v>61</v>
      </c>
      <c r="I1503" s="4"/>
    </row>
    <row r="1504" customFormat="false" ht="15" hidden="false" customHeight="false" outlineLevel="0" collapsed="false">
      <c r="A1504" s="35" t="s">
        <v>4223</v>
      </c>
      <c r="B1504" s="35" t="s">
        <v>4224</v>
      </c>
      <c r="C1504" s="35" t="s">
        <v>48</v>
      </c>
      <c r="D1504" s="35" t="s">
        <v>57</v>
      </c>
      <c r="E1504" s="35" t="s">
        <v>220</v>
      </c>
      <c r="F1504" s="35"/>
      <c r="G1504" s="35" t="s">
        <v>119</v>
      </c>
      <c r="H1504" s="35" t="s">
        <v>245</v>
      </c>
      <c r="I1504" s="4"/>
    </row>
    <row r="1505" customFormat="false" ht="15" hidden="false" customHeight="false" outlineLevel="0" collapsed="false">
      <c r="A1505" s="35" t="s">
        <v>4225</v>
      </c>
      <c r="B1505" s="35" t="s">
        <v>4226</v>
      </c>
      <c r="C1505" s="35" t="s">
        <v>48</v>
      </c>
      <c r="D1505" s="35" t="s">
        <v>107</v>
      </c>
      <c r="E1505" s="35" t="s">
        <v>623</v>
      </c>
      <c r="F1505" s="35"/>
      <c r="G1505" s="35" t="s">
        <v>188</v>
      </c>
      <c r="H1505" s="35" t="s">
        <v>61</v>
      </c>
      <c r="I1505" s="4"/>
    </row>
    <row r="1506" customFormat="false" ht="15" hidden="false" customHeight="false" outlineLevel="0" collapsed="false">
      <c r="A1506" s="35" t="s">
        <v>4227</v>
      </c>
      <c r="B1506" s="35" t="s">
        <v>4228</v>
      </c>
      <c r="C1506" s="35" t="s">
        <v>48</v>
      </c>
      <c r="D1506" s="35" t="s">
        <v>107</v>
      </c>
      <c r="E1506" s="35" t="s">
        <v>623</v>
      </c>
      <c r="F1506" s="35"/>
      <c r="G1506" s="35" t="s">
        <v>188</v>
      </c>
      <c r="H1506" s="35" t="s">
        <v>61</v>
      </c>
      <c r="I1506" s="4"/>
    </row>
    <row r="1507" customFormat="false" ht="15" hidden="false" customHeight="false" outlineLevel="0" collapsed="false">
      <c r="A1507" s="35" t="s">
        <v>4229</v>
      </c>
      <c r="B1507" s="35" t="s">
        <v>4230</v>
      </c>
      <c r="C1507" s="35" t="s">
        <v>48</v>
      </c>
      <c r="D1507" s="35" t="s">
        <v>57</v>
      </c>
      <c r="E1507" s="35" t="s">
        <v>220</v>
      </c>
      <c r="F1507" s="35"/>
      <c r="G1507" s="35" t="s">
        <v>686</v>
      </c>
      <c r="H1507" s="35" t="s">
        <v>61</v>
      </c>
      <c r="I1507" s="4"/>
    </row>
    <row r="1508" customFormat="false" ht="15" hidden="false" customHeight="false" outlineLevel="0" collapsed="false">
      <c r="A1508" s="35" t="s">
        <v>622</v>
      </c>
      <c r="B1508" s="35" t="s">
        <v>624</v>
      </c>
      <c r="C1508" s="35" t="s">
        <v>48</v>
      </c>
      <c r="D1508" s="35" t="s">
        <v>107</v>
      </c>
      <c r="E1508" s="35" t="s">
        <v>623</v>
      </c>
      <c r="F1508" s="35"/>
      <c r="G1508" s="35" t="s">
        <v>188</v>
      </c>
      <c r="H1508" s="35" t="s">
        <v>61</v>
      </c>
      <c r="I1508" s="4" t="s">
        <v>2025</v>
      </c>
    </row>
    <row r="1509" customFormat="false" ht="15" hidden="false" customHeight="false" outlineLevel="0" collapsed="false">
      <c r="A1509" s="35" t="s">
        <v>4231</v>
      </c>
      <c r="B1509" s="35" t="s">
        <v>4232</v>
      </c>
      <c r="C1509" s="35" t="s">
        <v>48</v>
      </c>
      <c r="D1509" s="35" t="s">
        <v>53</v>
      </c>
      <c r="E1509" s="35"/>
      <c r="F1509" s="35"/>
      <c r="G1509" s="35" t="s">
        <v>119</v>
      </c>
      <c r="H1509" s="35" t="s">
        <v>61</v>
      </c>
      <c r="I1509" s="4"/>
    </row>
    <row r="1510" customFormat="false" ht="15" hidden="false" customHeight="false" outlineLevel="0" collapsed="false">
      <c r="A1510" s="35" t="s">
        <v>4233</v>
      </c>
      <c r="B1510" s="35" t="s">
        <v>4234</v>
      </c>
      <c r="C1510" s="35" t="s">
        <v>48</v>
      </c>
      <c r="D1510" s="35" t="s">
        <v>107</v>
      </c>
      <c r="E1510" s="35" t="s">
        <v>220</v>
      </c>
      <c r="F1510" s="35"/>
      <c r="G1510" s="35" t="s">
        <v>119</v>
      </c>
      <c r="H1510" s="35" t="s">
        <v>61</v>
      </c>
      <c r="I1510" s="4"/>
    </row>
    <row r="1511" customFormat="false" ht="15" hidden="false" customHeight="false" outlineLevel="0" collapsed="false">
      <c r="A1511" s="35" t="s">
        <v>4235</v>
      </c>
      <c r="B1511" s="35" t="s">
        <v>4236</v>
      </c>
      <c r="C1511" s="35" t="s">
        <v>48</v>
      </c>
      <c r="D1511" s="35" t="s">
        <v>107</v>
      </c>
      <c r="E1511" s="35" t="s">
        <v>220</v>
      </c>
      <c r="F1511" s="35"/>
      <c r="G1511" s="35" t="s">
        <v>49</v>
      </c>
      <c r="H1511" s="35" t="s">
        <v>49</v>
      </c>
      <c r="I1511" s="4"/>
    </row>
    <row r="1512" customFormat="false" ht="15" hidden="false" customHeight="false" outlineLevel="0" collapsed="false">
      <c r="A1512" s="35" t="s">
        <v>758</v>
      </c>
      <c r="B1512" s="35" t="s">
        <v>4237</v>
      </c>
      <c r="C1512" s="35" t="s">
        <v>48</v>
      </c>
      <c r="D1512" s="35" t="s">
        <v>57</v>
      </c>
      <c r="E1512" s="35" t="s">
        <v>758</v>
      </c>
      <c r="F1512" s="35"/>
      <c r="G1512" s="35" t="s">
        <v>119</v>
      </c>
      <c r="H1512" s="35" t="s">
        <v>61</v>
      </c>
      <c r="I1512" s="4"/>
    </row>
    <row r="1513" customFormat="false" ht="15" hidden="false" customHeight="false" outlineLevel="0" collapsed="false">
      <c r="A1513" s="35" t="s">
        <v>217</v>
      </c>
      <c r="B1513" s="35" t="s">
        <v>218</v>
      </c>
      <c r="C1513" s="35" t="s">
        <v>48</v>
      </c>
      <c r="D1513" s="35" t="s">
        <v>53</v>
      </c>
      <c r="E1513" s="35"/>
      <c r="F1513" s="35"/>
      <c r="G1513" s="35" t="s">
        <v>119</v>
      </c>
      <c r="H1513" s="35" t="s">
        <v>61</v>
      </c>
      <c r="I1513" s="4" t="s">
        <v>2025</v>
      </c>
    </row>
    <row r="1514" customFormat="false" ht="15" hidden="false" customHeight="false" outlineLevel="0" collapsed="false">
      <c r="A1514" s="35" t="s">
        <v>4238</v>
      </c>
      <c r="B1514" s="35" t="s">
        <v>4239</v>
      </c>
      <c r="C1514" s="35" t="s">
        <v>48</v>
      </c>
      <c r="D1514" s="35" t="s">
        <v>53</v>
      </c>
      <c r="E1514" s="35"/>
      <c r="F1514" s="35"/>
      <c r="G1514" s="35" t="s">
        <v>204</v>
      </c>
      <c r="H1514" s="35" t="s">
        <v>61</v>
      </c>
      <c r="I1514" s="4"/>
    </row>
    <row r="1515" customFormat="false" ht="15" hidden="false" customHeight="false" outlineLevel="0" collapsed="false">
      <c r="A1515" s="35" t="s">
        <v>1363</v>
      </c>
      <c r="B1515" s="35" t="s">
        <v>4240</v>
      </c>
      <c r="C1515" s="35" t="s">
        <v>48</v>
      </c>
      <c r="D1515" s="35" t="s">
        <v>107</v>
      </c>
      <c r="E1515" s="35" t="s">
        <v>1362</v>
      </c>
      <c r="F1515" s="35"/>
      <c r="G1515" s="35" t="s">
        <v>204</v>
      </c>
      <c r="H1515" s="35" t="s">
        <v>61</v>
      </c>
      <c r="I1515" s="4"/>
    </row>
    <row r="1516" customFormat="false" ht="15" hidden="false" customHeight="false" outlineLevel="0" collapsed="false">
      <c r="A1516" s="35" t="s">
        <v>4241</v>
      </c>
      <c r="B1516" s="35" t="s">
        <v>4242</v>
      </c>
      <c r="C1516" s="35" t="s">
        <v>48</v>
      </c>
      <c r="D1516" s="35" t="s">
        <v>53</v>
      </c>
      <c r="E1516" s="35"/>
      <c r="F1516" s="35"/>
      <c r="G1516" s="35" t="s">
        <v>204</v>
      </c>
      <c r="H1516" s="35" t="s">
        <v>2109</v>
      </c>
      <c r="I1516" s="4"/>
    </row>
    <row r="1517" customFormat="false" ht="15" hidden="false" customHeight="false" outlineLevel="0" collapsed="false">
      <c r="A1517" s="35" t="s">
        <v>1561</v>
      </c>
      <c r="B1517" s="35" t="s">
        <v>4243</v>
      </c>
      <c r="C1517" s="35" t="s">
        <v>48</v>
      </c>
      <c r="D1517" s="35" t="s">
        <v>107</v>
      </c>
      <c r="E1517" s="35" t="s">
        <v>1560</v>
      </c>
      <c r="F1517" s="35" t="s">
        <v>45</v>
      </c>
      <c r="G1517" s="35" t="s">
        <v>710</v>
      </c>
      <c r="H1517" s="35" t="s">
        <v>61</v>
      </c>
      <c r="I1517" s="4"/>
    </row>
    <row r="1518" customFormat="false" ht="15" hidden="false" customHeight="false" outlineLevel="0" collapsed="false">
      <c r="A1518" s="35" t="s">
        <v>4244</v>
      </c>
      <c r="B1518" s="35" t="s">
        <v>4245</v>
      </c>
      <c r="C1518" s="35" t="s">
        <v>48</v>
      </c>
      <c r="D1518" s="35" t="s">
        <v>107</v>
      </c>
      <c r="E1518" s="35" t="s">
        <v>829</v>
      </c>
      <c r="F1518" s="35"/>
      <c r="G1518" s="35" t="s">
        <v>99</v>
      </c>
      <c r="H1518" s="35" t="s">
        <v>61</v>
      </c>
      <c r="I1518" s="4"/>
    </row>
    <row r="1519" customFormat="false" ht="15" hidden="false" customHeight="false" outlineLevel="0" collapsed="false">
      <c r="A1519" s="35" t="s">
        <v>4246</v>
      </c>
      <c r="B1519" s="35" t="s">
        <v>4247</v>
      </c>
      <c r="C1519" s="35" t="s">
        <v>48</v>
      </c>
      <c r="D1519" s="35" t="s">
        <v>107</v>
      </c>
      <c r="E1519" s="35" t="s">
        <v>247</v>
      </c>
      <c r="F1519" s="35"/>
      <c r="G1519" s="35" t="s">
        <v>49</v>
      </c>
      <c r="H1519" s="35" t="s">
        <v>49</v>
      </c>
      <c r="I1519" s="4"/>
    </row>
    <row r="1520" customFormat="false" ht="15" hidden="false" customHeight="false" outlineLevel="0" collapsed="false">
      <c r="A1520" s="35" t="s">
        <v>1563</v>
      </c>
      <c r="B1520" s="35" t="s">
        <v>4248</v>
      </c>
      <c r="C1520" s="35" t="s">
        <v>48</v>
      </c>
      <c r="D1520" s="35" t="s">
        <v>107</v>
      </c>
      <c r="E1520" s="35" t="s">
        <v>606</v>
      </c>
      <c r="F1520" s="35"/>
      <c r="G1520" s="35" t="s">
        <v>99</v>
      </c>
      <c r="H1520" s="35" t="s">
        <v>61</v>
      </c>
      <c r="I1520" s="4"/>
    </row>
    <row r="1521" customFormat="false" ht="15" hidden="false" customHeight="false" outlineLevel="0" collapsed="false">
      <c r="A1521" s="35" t="s">
        <v>605</v>
      </c>
      <c r="B1521" s="35" t="s">
        <v>607</v>
      </c>
      <c r="C1521" s="35" t="s">
        <v>48</v>
      </c>
      <c r="D1521" s="35" t="s">
        <v>107</v>
      </c>
      <c r="E1521" s="35" t="s">
        <v>606</v>
      </c>
      <c r="F1521" s="35"/>
      <c r="G1521" s="35" t="s">
        <v>417</v>
      </c>
      <c r="H1521" s="35" t="s">
        <v>245</v>
      </c>
      <c r="I1521" s="4" t="s">
        <v>2025</v>
      </c>
    </row>
    <row r="1522" customFormat="false" ht="15" hidden="false" customHeight="false" outlineLevel="0" collapsed="false">
      <c r="A1522" s="35" t="s">
        <v>1564</v>
      </c>
      <c r="B1522" s="35" t="s">
        <v>4249</v>
      </c>
      <c r="C1522" s="35" t="s">
        <v>48</v>
      </c>
      <c r="D1522" s="35" t="s">
        <v>107</v>
      </c>
      <c r="E1522" s="35" t="s">
        <v>1563</v>
      </c>
      <c r="F1522" s="35"/>
      <c r="G1522" s="35" t="s">
        <v>417</v>
      </c>
      <c r="H1522" s="35" t="s">
        <v>61</v>
      </c>
      <c r="I1522" s="4"/>
    </row>
    <row r="1523" customFormat="false" ht="15" hidden="false" customHeight="false" outlineLevel="0" collapsed="false">
      <c r="A1523" s="35" t="s">
        <v>4250</v>
      </c>
      <c r="B1523" s="35" t="s">
        <v>4251</v>
      </c>
      <c r="C1523" s="35" t="s">
        <v>48</v>
      </c>
      <c r="D1523" s="35" t="s">
        <v>107</v>
      </c>
      <c r="E1523" s="35" t="s">
        <v>606</v>
      </c>
      <c r="F1523" s="35"/>
      <c r="G1523" s="35" t="s">
        <v>686</v>
      </c>
      <c r="H1523" s="35" t="s">
        <v>61</v>
      </c>
      <c r="I1523" s="4"/>
    </row>
    <row r="1524" customFormat="false" ht="15" hidden="false" customHeight="false" outlineLevel="0" collapsed="false">
      <c r="A1524" s="35" t="s">
        <v>4252</v>
      </c>
      <c r="B1524" s="35" t="s">
        <v>4253</v>
      </c>
      <c r="C1524" s="35" t="s">
        <v>48</v>
      </c>
      <c r="D1524" s="35" t="s">
        <v>114</v>
      </c>
      <c r="E1524" s="35"/>
      <c r="F1524" s="35"/>
      <c r="G1524" s="35" t="s">
        <v>571</v>
      </c>
      <c r="H1524" s="35" t="s">
        <v>61</v>
      </c>
      <c r="I1524" s="4"/>
    </row>
    <row r="1525" customFormat="false" ht="15" hidden="false" customHeight="false" outlineLevel="0" collapsed="false">
      <c r="A1525" s="35" t="s">
        <v>4254</v>
      </c>
      <c r="B1525" s="35" t="s">
        <v>4255</v>
      </c>
      <c r="C1525" s="35" t="s">
        <v>48</v>
      </c>
      <c r="D1525" s="35" t="s">
        <v>57</v>
      </c>
      <c r="E1525" s="35" t="s">
        <v>501</v>
      </c>
      <c r="F1525" s="35"/>
      <c r="G1525" s="35" t="s">
        <v>444</v>
      </c>
      <c r="H1525" s="35" t="s">
        <v>61</v>
      </c>
      <c r="I1525" s="4"/>
    </row>
    <row r="1526" customFormat="false" ht="15" hidden="false" customHeight="false" outlineLevel="0" collapsed="false">
      <c r="A1526" s="35" t="s">
        <v>493</v>
      </c>
      <c r="B1526" s="35" t="s">
        <v>494</v>
      </c>
      <c r="C1526" s="35" t="s">
        <v>48</v>
      </c>
      <c r="D1526" s="35" t="s">
        <v>447</v>
      </c>
      <c r="E1526" s="35"/>
      <c r="F1526" s="35"/>
      <c r="G1526" s="35" t="s">
        <v>444</v>
      </c>
      <c r="H1526" s="35" t="s">
        <v>61</v>
      </c>
      <c r="I1526" s="4" t="s">
        <v>2025</v>
      </c>
    </row>
    <row r="1527" customFormat="false" ht="15" hidden="false" customHeight="false" outlineLevel="0" collapsed="false">
      <c r="A1527" s="35" t="s">
        <v>4256</v>
      </c>
      <c r="B1527" s="35" t="s">
        <v>4257</v>
      </c>
      <c r="C1527" s="35" t="s">
        <v>48</v>
      </c>
      <c r="D1527" s="35" t="s">
        <v>57</v>
      </c>
      <c r="E1527" s="35" t="s">
        <v>447</v>
      </c>
      <c r="F1527" s="35"/>
      <c r="G1527" s="35" t="s">
        <v>444</v>
      </c>
      <c r="H1527" s="35" t="s">
        <v>61</v>
      </c>
      <c r="I1527" s="4"/>
    </row>
    <row r="1528" customFormat="false" ht="15" hidden="false" customHeight="false" outlineLevel="0" collapsed="false">
      <c r="A1528" s="35" t="s">
        <v>498</v>
      </c>
      <c r="B1528" s="35" t="s">
        <v>499</v>
      </c>
      <c r="C1528" s="35" t="s">
        <v>48</v>
      </c>
      <c r="D1528" s="35" t="s">
        <v>157</v>
      </c>
      <c r="E1528" s="35"/>
      <c r="F1528" s="35"/>
      <c r="G1528" s="35" t="s">
        <v>444</v>
      </c>
      <c r="H1528" s="35" t="s">
        <v>61</v>
      </c>
      <c r="I1528" s="4" t="s">
        <v>2025</v>
      </c>
    </row>
    <row r="1529" customFormat="false" ht="15" hidden="false" customHeight="false" outlineLevel="0" collapsed="false">
      <c r="A1529" s="35" t="s">
        <v>496</v>
      </c>
      <c r="B1529" s="35" t="s">
        <v>497</v>
      </c>
      <c r="C1529" s="35" t="s">
        <v>48</v>
      </c>
      <c r="D1529" s="35" t="s">
        <v>146</v>
      </c>
      <c r="E1529" s="35"/>
      <c r="F1529" s="35"/>
      <c r="G1529" s="35" t="s">
        <v>444</v>
      </c>
      <c r="H1529" s="35" t="s">
        <v>61</v>
      </c>
      <c r="I1529" s="4" t="s">
        <v>2025</v>
      </c>
    </row>
    <row r="1530" customFormat="false" ht="15" hidden="false" customHeight="false" outlineLevel="0" collapsed="false">
      <c r="A1530" s="35" t="s">
        <v>4258</v>
      </c>
      <c r="B1530" s="35" t="s">
        <v>4259</v>
      </c>
      <c r="C1530" s="35" t="s">
        <v>48</v>
      </c>
      <c r="D1530" s="35" t="s">
        <v>447</v>
      </c>
      <c r="E1530" s="35"/>
      <c r="F1530" s="35"/>
      <c r="G1530" s="35" t="s">
        <v>444</v>
      </c>
      <c r="H1530" s="35" t="s">
        <v>61</v>
      </c>
      <c r="I1530" s="4"/>
    </row>
    <row r="1531" customFormat="false" ht="15" hidden="false" customHeight="false" outlineLevel="0" collapsed="false">
      <c r="A1531" s="35" t="s">
        <v>4260</v>
      </c>
      <c r="B1531" s="35" t="s">
        <v>4261</v>
      </c>
      <c r="C1531" s="35" t="s">
        <v>48</v>
      </c>
      <c r="D1531" s="35" t="s">
        <v>57</v>
      </c>
      <c r="E1531" s="35" t="s">
        <v>447</v>
      </c>
      <c r="F1531" s="35"/>
      <c r="G1531" s="35" t="s">
        <v>444</v>
      </c>
      <c r="H1531" s="35" t="s">
        <v>61</v>
      </c>
      <c r="I1531" s="4"/>
    </row>
    <row r="1532" customFormat="false" ht="15" hidden="false" customHeight="false" outlineLevel="0" collapsed="false">
      <c r="A1532" s="35" t="s">
        <v>4262</v>
      </c>
      <c r="B1532" s="35" t="s">
        <v>4263</v>
      </c>
      <c r="C1532" s="35" t="s">
        <v>48</v>
      </c>
      <c r="D1532" s="35" t="s">
        <v>447</v>
      </c>
      <c r="E1532" s="35"/>
      <c r="F1532" s="35"/>
      <c r="G1532" s="35" t="s">
        <v>444</v>
      </c>
      <c r="H1532" s="35" t="s">
        <v>61</v>
      </c>
      <c r="I1532" s="4"/>
    </row>
    <row r="1533" customFormat="false" ht="15" hidden="false" customHeight="false" outlineLevel="0" collapsed="false">
      <c r="A1533" s="35" t="s">
        <v>4264</v>
      </c>
      <c r="B1533" s="35" t="s">
        <v>4265</v>
      </c>
      <c r="C1533" s="35" t="s">
        <v>48</v>
      </c>
      <c r="D1533" s="35" t="s">
        <v>157</v>
      </c>
      <c r="E1533" s="35"/>
      <c r="F1533" s="35"/>
      <c r="G1533" s="35" t="s">
        <v>444</v>
      </c>
      <c r="H1533" s="35" t="s">
        <v>61</v>
      </c>
      <c r="I1533" s="4"/>
    </row>
    <row r="1534" customFormat="false" ht="15" hidden="false" customHeight="false" outlineLevel="0" collapsed="false">
      <c r="A1534" s="35" t="s">
        <v>4266</v>
      </c>
      <c r="B1534" s="35" t="s">
        <v>4267</v>
      </c>
      <c r="C1534" s="35" t="s">
        <v>48</v>
      </c>
      <c r="D1534" s="35" t="s">
        <v>146</v>
      </c>
      <c r="E1534" s="35"/>
      <c r="F1534" s="35"/>
      <c r="G1534" s="35" t="s">
        <v>444</v>
      </c>
      <c r="H1534" s="35" t="s">
        <v>61</v>
      </c>
      <c r="I1534" s="4"/>
    </row>
    <row r="1535" customFormat="false" ht="15" hidden="false" customHeight="false" outlineLevel="0" collapsed="false">
      <c r="A1535" s="35" t="s">
        <v>4268</v>
      </c>
      <c r="B1535" s="35" t="s">
        <v>4269</v>
      </c>
      <c r="C1535" s="35" t="s">
        <v>48</v>
      </c>
      <c r="D1535" s="35" t="s">
        <v>57</v>
      </c>
      <c r="E1535" s="35" t="s">
        <v>853</v>
      </c>
      <c r="F1535" s="35"/>
      <c r="G1535" s="35" t="s">
        <v>444</v>
      </c>
      <c r="H1535" s="35" t="s">
        <v>61</v>
      </c>
      <c r="I1535" s="4"/>
    </row>
    <row r="1536" customFormat="false" ht="15" hidden="false" customHeight="false" outlineLevel="0" collapsed="false">
      <c r="A1536" s="35" t="s">
        <v>4270</v>
      </c>
      <c r="B1536" s="35" t="s">
        <v>4271</v>
      </c>
      <c r="C1536" s="35" t="s">
        <v>48</v>
      </c>
      <c r="D1536" s="35" t="s">
        <v>57</v>
      </c>
      <c r="E1536" s="35" t="s">
        <v>447</v>
      </c>
      <c r="F1536" s="35"/>
      <c r="G1536" s="35" t="s">
        <v>444</v>
      </c>
      <c r="H1536" s="35" t="s">
        <v>61</v>
      </c>
      <c r="I1536" s="4"/>
    </row>
    <row r="1537" customFormat="false" ht="15" hidden="false" customHeight="false" outlineLevel="0" collapsed="false">
      <c r="A1537" s="35" t="s">
        <v>4272</v>
      </c>
      <c r="B1537" s="35" t="s">
        <v>4273</v>
      </c>
      <c r="C1537" s="35" t="s">
        <v>48</v>
      </c>
      <c r="D1537" s="35" t="s">
        <v>447</v>
      </c>
      <c r="E1537" s="35"/>
      <c r="F1537" s="35"/>
      <c r="G1537" s="35" t="s">
        <v>444</v>
      </c>
      <c r="H1537" s="35" t="s">
        <v>61</v>
      </c>
      <c r="I1537" s="4"/>
    </row>
    <row r="1538" customFormat="false" ht="15" hidden="false" customHeight="false" outlineLevel="0" collapsed="false">
      <c r="A1538" s="35" t="s">
        <v>4274</v>
      </c>
      <c r="B1538" s="35" t="s">
        <v>4261</v>
      </c>
      <c r="C1538" s="35" t="s">
        <v>48</v>
      </c>
      <c r="D1538" s="35" t="s">
        <v>57</v>
      </c>
      <c r="E1538" s="35" t="s">
        <v>447</v>
      </c>
      <c r="F1538" s="35"/>
      <c r="G1538" s="35" t="s">
        <v>444</v>
      </c>
      <c r="H1538" s="35" t="s">
        <v>61</v>
      </c>
      <c r="I1538" s="4"/>
    </row>
    <row r="1539" customFormat="false" ht="15" hidden="false" customHeight="false" outlineLevel="0" collapsed="false">
      <c r="A1539" s="35" t="s">
        <v>4275</v>
      </c>
      <c r="B1539" s="35" t="s">
        <v>4276</v>
      </c>
      <c r="C1539" s="35" t="s">
        <v>48</v>
      </c>
      <c r="D1539" s="35" t="s">
        <v>157</v>
      </c>
      <c r="E1539" s="35"/>
      <c r="F1539" s="35"/>
      <c r="G1539" s="35" t="s">
        <v>99</v>
      </c>
      <c r="H1539" s="35" t="s">
        <v>61</v>
      </c>
      <c r="I1539" s="4"/>
    </row>
    <row r="1540" customFormat="false" ht="15" hidden="false" customHeight="false" outlineLevel="0" collapsed="false">
      <c r="A1540" s="35" t="s">
        <v>4277</v>
      </c>
      <c r="B1540" s="35" t="s">
        <v>4278</v>
      </c>
      <c r="C1540" s="35" t="s">
        <v>48</v>
      </c>
      <c r="D1540" s="35" t="s">
        <v>57</v>
      </c>
      <c r="E1540" s="35" t="s">
        <v>501</v>
      </c>
      <c r="F1540" s="35"/>
      <c r="G1540" s="35" t="s">
        <v>444</v>
      </c>
      <c r="H1540" s="35" t="s">
        <v>61</v>
      </c>
      <c r="I1540" s="4"/>
    </row>
    <row r="1541" customFormat="false" ht="15" hidden="false" customHeight="false" outlineLevel="0" collapsed="false">
      <c r="A1541" s="35" t="s">
        <v>4279</v>
      </c>
      <c r="B1541" s="35" t="s">
        <v>4280</v>
      </c>
      <c r="C1541" s="35" t="s">
        <v>48</v>
      </c>
      <c r="D1541" s="35" t="s">
        <v>157</v>
      </c>
      <c r="E1541" s="35"/>
      <c r="F1541" s="35"/>
      <c r="G1541" s="35" t="s">
        <v>524</v>
      </c>
      <c r="H1541" s="35" t="s">
        <v>61</v>
      </c>
      <c r="I1541" s="4"/>
    </row>
    <row r="1542" customFormat="false" ht="15" hidden="false" customHeight="false" outlineLevel="0" collapsed="false">
      <c r="A1542" s="35" t="s">
        <v>4281</v>
      </c>
      <c r="B1542" s="35" t="s">
        <v>4282</v>
      </c>
      <c r="C1542" s="35" t="s">
        <v>48</v>
      </c>
      <c r="D1542" s="35" t="s">
        <v>157</v>
      </c>
      <c r="E1542" s="35"/>
      <c r="F1542" s="35" t="s">
        <v>2041</v>
      </c>
      <c r="G1542" s="35" t="s">
        <v>45</v>
      </c>
      <c r="H1542" s="35" t="s">
        <v>61</v>
      </c>
      <c r="I1542" s="4"/>
    </row>
    <row r="1543" customFormat="false" ht="15" hidden="false" customHeight="false" outlineLevel="0" collapsed="false">
      <c r="A1543" s="35" t="s">
        <v>4283</v>
      </c>
      <c r="B1543" s="35" t="s">
        <v>4284</v>
      </c>
      <c r="C1543" s="35" t="s">
        <v>48</v>
      </c>
      <c r="D1543" s="35" t="s">
        <v>157</v>
      </c>
      <c r="E1543" s="35"/>
      <c r="F1543" s="35"/>
      <c r="G1543" s="35" t="s">
        <v>535</v>
      </c>
      <c r="H1543" s="35" t="s">
        <v>61</v>
      </c>
      <c r="I1543" s="4"/>
    </row>
    <row r="1544" customFormat="false" ht="15" hidden="false" customHeight="false" outlineLevel="0" collapsed="false">
      <c r="A1544" s="35" t="s">
        <v>186</v>
      </c>
      <c r="B1544" s="35" t="s">
        <v>187</v>
      </c>
      <c r="C1544" s="35" t="s">
        <v>48</v>
      </c>
      <c r="D1544" s="35" t="s">
        <v>157</v>
      </c>
      <c r="E1544" s="35"/>
      <c r="F1544" s="35"/>
      <c r="G1544" s="35" t="s">
        <v>188</v>
      </c>
      <c r="H1544" s="35" t="s">
        <v>61</v>
      </c>
      <c r="I1544" s="4" t="s">
        <v>2025</v>
      </c>
    </row>
    <row r="1545" customFormat="false" ht="15" hidden="false" customHeight="false" outlineLevel="0" collapsed="false">
      <c r="A1545" s="35" t="s">
        <v>4285</v>
      </c>
      <c r="B1545" s="35" t="s">
        <v>4286</v>
      </c>
      <c r="C1545" s="35" t="s">
        <v>48</v>
      </c>
      <c r="D1545" s="35" t="s">
        <v>157</v>
      </c>
      <c r="E1545" s="35"/>
      <c r="F1545" s="35"/>
      <c r="G1545" s="35" t="s">
        <v>535</v>
      </c>
      <c r="H1545" s="35" t="s">
        <v>61</v>
      </c>
      <c r="I1545" s="4"/>
    </row>
    <row r="1546" customFormat="false" ht="15" hidden="false" customHeight="false" outlineLevel="0" collapsed="false">
      <c r="A1546" s="35" t="s">
        <v>4287</v>
      </c>
      <c r="B1546" s="35" t="s">
        <v>4288</v>
      </c>
      <c r="C1546" s="35" t="s">
        <v>48</v>
      </c>
      <c r="D1546" s="35" t="s">
        <v>57</v>
      </c>
      <c r="E1546" s="35" t="s">
        <v>603</v>
      </c>
      <c r="F1546" s="35"/>
      <c r="G1546" s="35" t="s">
        <v>204</v>
      </c>
      <c r="H1546" s="35" t="s">
        <v>61</v>
      </c>
      <c r="I1546" s="4"/>
    </row>
    <row r="1547" customFormat="false" ht="15" hidden="false" customHeight="false" outlineLevel="0" collapsed="false">
      <c r="A1547" s="35" t="s">
        <v>4289</v>
      </c>
      <c r="B1547" s="35" t="s">
        <v>4290</v>
      </c>
      <c r="C1547" s="35" t="s">
        <v>48</v>
      </c>
      <c r="D1547" s="35" t="s">
        <v>57</v>
      </c>
      <c r="E1547" s="35" t="s">
        <v>719</v>
      </c>
      <c r="F1547" s="35"/>
      <c r="G1547" s="35" t="s">
        <v>719</v>
      </c>
      <c r="H1547" s="35" t="s">
        <v>61</v>
      </c>
      <c r="I1547" s="4"/>
    </row>
    <row r="1548" customFormat="false" ht="15" hidden="false" customHeight="false" outlineLevel="0" collapsed="false">
      <c r="A1548" s="35" t="s">
        <v>4291</v>
      </c>
      <c r="B1548" s="35" t="s">
        <v>4292</v>
      </c>
      <c r="C1548" s="35" t="s">
        <v>48</v>
      </c>
      <c r="D1548" s="35" t="s">
        <v>157</v>
      </c>
      <c r="E1548" s="35"/>
      <c r="F1548" s="35"/>
      <c r="G1548" s="35" t="s">
        <v>719</v>
      </c>
      <c r="H1548" s="35" t="s">
        <v>61</v>
      </c>
      <c r="I1548" s="4"/>
    </row>
    <row r="1549" customFormat="false" ht="15" hidden="false" customHeight="false" outlineLevel="0" collapsed="false">
      <c r="A1549" s="35" t="s">
        <v>4293</v>
      </c>
      <c r="B1549" s="35" t="s">
        <v>4294</v>
      </c>
      <c r="C1549" s="35" t="s">
        <v>48</v>
      </c>
      <c r="D1549" s="35" t="s">
        <v>53</v>
      </c>
      <c r="E1549" s="35"/>
      <c r="F1549" s="35"/>
      <c r="G1549" s="35" t="s">
        <v>87</v>
      </c>
      <c r="H1549" s="35" t="s">
        <v>61</v>
      </c>
      <c r="I1549" s="4"/>
    </row>
    <row r="1550" customFormat="false" ht="15" hidden="false" customHeight="false" outlineLevel="0" collapsed="false">
      <c r="A1550" s="35" t="s">
        <v>4295</v>
      </c>
      <c r="B1550" s="35" t="s">
        <v>4296</v>
      </c>
      <c r="C1550" s="35" t="s">
        <v>48</v>
      </c>
      <c r="D1550" s="35" t="s">
        <v>157</v>
      </c>
      <c r="E1550" s="35"/>
      <c r="F1550" s="35"/>
      <c r="G1550" s="35" t="s">
        <v>87</v>
      </c>
      <c r="H1550" s="35" t="s">
        <v>61</v>
      </c>
      <c r="I1550" s="4"/>
    </row>
    <row r="1551" customFormat="false" ht="15" hidden="false" customHeight="false" outlineLevel="0" collapsed="false">
      <c r="A1551" s="35" t="s">
        <v>4297</v>
      </c>
      <c r="B1551" s="35" t="s">
        <v>4298</v>
      </c>
      <c r="C1551" s="35" t="s">
        <v>48</v>
      </c>
      <c r="D1551" s="35" t="s">
        <v>157</v>
      </c>
      <c r="E1551" s="35"/>
      <c r="F1551" s="35"/>
      <c r="G1551" s="35" t="s">
        <v>87</v>
      </c>
      <c r="H1551" s="35" t="s">
        <v>61</v>
      </c>
      <c r="I1551" s="4"/>
    </row>
    <row r="1552" customFormat="false" ht="15" hidden="false" customHeight="false" outlineLevel="0" collapsed="false">
      <c r="A1552" s="35" t="s">
        <v>4299</v>
      </c>
      <c r="B1552" s="35" t="s">
        <v>4300</v>
      </c>
      <c r="C1552" s="35" t="s">
        <v>48</v>
      </c>
      <c r="D1552" s="35" t="s">
        <v>53</v>
      </c>
      <c r="E1552" s="35"/>
      <c r="F1552" s="35"/>
      <c r="G1552" s="35" t="s">
        <v>99</v>
      </c>
      <c r="H1552" s="35" t="s">
        <v>61</v>
      </c>
      <c r="I1552" s="4"/>
    </row>
    <row r="1553" customFormat="false" ht="15" hidden="false" customHeight="false" outlineLevel="0" collapsed="false">
      <c r="A1553" s="35" t="s">
        <v>4301</v>
      </c>
      <c r="B1553" s="35" t="s">
        <v>4302</v>
      </c>
      <c r="C1553" s="35" t="s">
        <v>48</v>
      </c>
      <c r="D1553" s="35" t="s">
        <v>157</v>
      </c>
      <c r="E1553" s="35"/>
      <c r="F1553" s="35"/>
      <c r="G1553" s="35" t="s">
        <v>328</v>
      </c>
      <c r="H1553" s="35" t="s">
        <v>61</v>
      </c>
      <c r="I1553" s="4"/>
    </row>
    <row r="1554" customFormat="false" ht="15" hidden="false" customHeight="false" outlineLevel="0" collapsed="false">
      <c r="A1554" s="35" t="s">
        <v>4303</v>
      </c>
      <c r="B1554" s="35" t="s">
        <v>4304</v>
      </c>
      <c r="C1554" s="35" t="s">
        <v>48</v>
      </c>
      <c r="D1554" s="35" t="s">
        <v>157</v>
      </c>
      <c r="E1554" s="35"/>
      <c r="F1554" s="35"/>
      <c r="G1554" s="35" t="s">
        <v>328</v>
      </c>
      <c r="H1554" s="35" t="s">
        <v>61</v>
      </c>
      <c r="I1554" s="4"/>
    </row>
    <row r="1555" customFormat="false" ht="15" hidden="false" customHeight="false" outlineLevel="0" collapsed="false">
      <c r="A1555" s="35" t="s">
        <v>4305</v>
      </c>
      <c r="B1555" s="35" t="s">
        <v>4306</v>
      </c>
      <c r="C1555" s="35" t="s">
        <v>48</v>
      </c>
      <c r="D1555" s="35" t="s">
        <v>107</v>
      </c>
      <c r="E1555" s="35" t="s">
        <v>885</v>
      </c>
      <c r="F1555" s="35"/>
      <c r="G1555" s="35" t="s">
        <v>328</v>
      </c>
      <c r="H1555" s="35" t="s">
        <v>61</v>
      </c>
      <c r="I1555" s="4"/>
    </row>
    <row r="1556" customFormat="false" ht="15" hidden="false" customHeight="false" outlineLevel="0" collapsed="false">
      <c r="A1556" s="35" t="s">
        <v>177</v>
      </c>
      <c r="B1556" s="35" t="s">
        <v>178</v>
      </c>
      <c r="C1556" s="35" t="s">
        <v>48</v>
      </c>
      <c r="D1556" s="35" t="s">
        <v>157</v>
      </c>
      <c r="E1556" s="35"/>
      <c r="F1556" s="35"/>
      <c r="G1556" s="35" t="s">
        <v>119</v>
      </c>
      <c r="H1556" s="35" t="s">
        <v>61</v>
      </c>
      <c r="I1556" s="4" t="s">
        <v>2025</v>
      </c>
    </row>
    <row r="1557" customFormat="false" ht="15" hidden="false" customHeight="false" outlineLevel="0" collapsed="false">
      <c r="A1557" s="35" t="s">
        <v>4307</v>
      </c>
      <c r="B1557" s="35" t="s">
        <v>4308</v>
      </c>
      <c r="C1557" s="35" t="s">
        <v>48</v>
      </c>
      <c r="D1557" s="35" t="s">
        <v>157</v>
      </c>
      <c r="E1557" s="35"/>
      <c r="F1557" s="35"/>
      <c r="G1557" s="35" t="s">
        <v>119</v>
      </c>
      <c r="H1557" s="35" t="s">
        <v>61</v>
      </c>
      <c r="I1557" s="4"/>
    </row>
    <row r="1558" customFormat="false" ht="15" hidden="false" customHeight="false" outlineLevel="0" collapsed="false">
      <c r="A1558" s="35" t="s">
        <v>4309</v>
      </c>
      <c r="B1558" s="35" t="s">
        <v>4310</v>
      </c>
      <c r="C1558" s="35" t="s">
        <v>48</v>
      </c>
      <c r="D1558" s="35" t="s">
        <v>157</v>
      </c>
      <c r="E1558" s="35"/>
      <c r="F1558" s="35"/>
      <c r="G1558" s="35" t="s">
        <v>328</v>
      </c>
      <c r="H1558" s="35" t="s">
        <v>61</v>
      </c>
      <c r="I1558" s="4"/>
    </row>
    <row r="1559" customFormat="false" ht="15" hidden="false" customHeight="false" outlineLevel="0" collapsed="false">
      <c r="A1559" s="35" t="s">
        <v>4311</v>
      </c>
      <c r="B1559" s="35" t="s">
        <v>4312</v>
      </c>
      <c r="C1559" s="35" t="s">
        <v>48</v>
      </c>
      <c r="D1559" s="35" t="s">
        <v>57</v>
      </c>
      <c r="E1559" s="35" t="s">
        <v>45</v>
      </c>
      <c r="F1559" s="35"/>
      <c r="G1559" s="35" t="s">
        <v>555</v>
      </c>
      <c r="H1559" s="35" t="s">
        <v>61</v>
      </c>
      <c r="I1559" s="4"/>
    </row>
    <row r="1560" customFormat="false" ht="15" hidden="false" customHeight="false" outlineLevel="0" collapsed="false">
      <c r="A1560" s="35" t="s">
        <v>4313</v>
      </c>
      <c r="B1560" s="35" t="s">
        <v>4314</v>
      </c>
      <c r="C1560" s="35" t="s">
        <v>48</v>
      </c>
      <c r="D1560" s="35" t="s">
        <v>57</v>
      </c>
      <c r="E1560" s="35" t="s">
        <v>262</v>
      </c>
      <c r="F1560" s="35"/>
      <c r="G1560" s="35" t="s">
        <v>555</v>
      </c>
      <c r="H1560" s="35" t="s">
        <v>61</v>
      </c>
      <c r="I1560" s="4"/>
    </row>
    <row r="1561" customFormat="false" ht="15" hidden="false" customHeight="false" outlineLevel="0" collapsed="false">
      <c r="A1561" s="35" t="s">
        <v>4315</v>
      </c>
      <c r="B1561" s="35" t="s">
        <v>4316</v>
      </c>
      <c r="C1561" s="35" t="s">
        <v>48</v>
      </c>
      <c r="D1561" s="35" t="s">
        <v>146</v>
      </c>
      <c r="E1561" s="35"/>
      <c r="F1561" s="35"/>
      <c r="G1561" s="35" t="s">
        <v>555</v>
      </c>
      <c r="H1561" s="35" t="s">
        <v>61</v>
      </c>
      <c r="I1561" s="4"/>
    </row>
    <row r="1562" customFormat="false" ht="15" hidden="false" customHeight="false" outlineLevel="0" collapsed="false">
      <c r="A1562" s="35" t="s">
        <v>552</v>
      </c>
      <c r="B1562" s="35" t="s">
        <v>554</v>
      </c>
      <c r="C1562" s="35" t="s">
        <v>48</v>
      </c>
      <c r="D1562" s="35" t="s">
        <v>57</v>
      </c>
      <c r="E1562" s="35" t="s">
        <v>553</v>
      </c>
      <c r="F1562" s="35"/>
      <c r="G1562" s="35" t="s">
        <v>555</v>
      </c>
      <c r="H1562" s="35" t="s">
        <v>61</v>
      </c>
      <c r="I1562" s="4" t="s">
        <v>2025</v>
      </c>
    </row>
    <row r="1563" customFormat="false" ht="15" hidden="false" customHeight="false" outlineLevel="0" collapsed="false">
      <c r="A1563" s="35" t="s">
        <v>4317</v>
      </c>
      <c r="B1563" s="35" t="s">
        <v>4318</v>
      </c>
      <c r="C1563" s="35" t="s">
        <v>48</v>
      </c>
      <c r="D1563" s="35" t="s">
        <v>157</v>
      </c>
      <c r="E1563" s="35"/>
      <c r="F1563" s="35"/>
      <c r="G1563" s="35" t="s">
        <v>555</v>
      </c>
      <c r="H1563" s="35" t="s">
        <v>61</v>
      </c>
      <c r="I1563" s="4"/>
    </row>
    <row r="1564" customFormat="false" ht="15" hidden="false" customHeight="false" outlineLevel="0" collapsed="false">
      <c r="A1564" s="35" t="s">
        <v>557</v>
      </c>
      <c r="B1564" s="35" t="s">
        <v>558</v>
      </c>
      <c r="C1564" s="35" t="s">
        <v>48</v>
      </c>
      <c r="D1564" s="35" t="s">
        <v>157</v>
      </c>
      <c r="E1564" s="35"/>
      <c r="F1564" s="35"/>
      <c r="G1564" s="35" t="s">
        <v>555</v>
      </c>
      <c r="H1564" s="35" t="s">
        <v>61</v>
      </c>
      <c r="I1564" s="4" t="s">
        <v>2025</v>
      </c>
    </row>
    <row r="1565" customFormat="false" ht="15" hidden="false" customHeight="false" outlineLevel="0" collapsed="false">
      <c r="A1565" s="35" t="s">
        <v>4319</v>
      </c>
      <c r="B1565" s="35" t="s">
        <v>4320</v>
      </c>
      <c r="C1565" s="35" t="s">
        <v>48</v>
      </c>
      <c r="D1565" s="35" t="s">
        <v>57</v>
      </c>
      <c r="E1565" s="35" t="s">
        <v>892</v>
      </c>
      <c r="F1565" s="35"/>
      <c r="G1565" s="35" t="s">
        <v>204</v>
      </c>
      <c r="H1565" s="35" t="s">
        <v>61</v>
      </c>
      <c r="I1565" s="4"/>
    </row>
    <row r="1566" customFormat="false" ht="15" hidden="false" customHeight="false" outlineLevel="0" collapsed="false">
      <c r="A1566" s="35" t="s">
        <v>4321</v>
      </c>
      <c r="B1566" s="35" t="s">
        <v>4322</v>
      </c>
      <c r="C1566" s="35" t="s">
        <v>48</v>
      </c>
      <c r="D1566" s="35" t="s">
        <v>53</v>
      </c>
      <c r="E1566" s="35"/>
      <c r="F1566" s="35"/>
      <c r="G1566" s="35" t="s">
        <v>204</v>
      </c>
      <c r="H1566" s="35" t="s">
        <v>61</v>
      </c>
      <c r="I1566" s="4"/>
    </row>
    <row r="1567" customFormat="false" ht="15" hidden="false" customHeight="false" outlineLevel="0" collapsed="false">
      <c r="A1567" s="35" t="s">
        <v>630</v>
      </c>
      <c r="B1567" s="35"/>
      <c r="C1567" s="35" t="s">
        <v>632</v>
      </c>
      <c r="D1567" s="35" t="s">
        <v>157</v>
      </c>
      <c r="E1567" s="35"/>
      <c r="F1567" s="35"/>
      <c r="G1567" s="35" t="s">
        <v>188</v>
      </c>
      <c r="H1567" s="35" t="s">
        <v>61</v>
      </c>
      <c r="I1567" s="4" t="s">
        <v>2025</v>
      </c>
    </row>
    <row r="1568" customFormat="false" ht="15" hidden="false" customHeight="false" outlineLevel="0" collapsed="false">
      <c r="A1568" s="35" t="s">
        <v>4323</v>
      </c>
      <c r="B1568" s="35"/>
      <c r="C1568" s="35" t="s">
        <v>632</v>
      </c>
      <c r="D1568" s="35" t="s">
        <v>57</v>
      </c>
      <c r="E1568" s="35" t="s">
        <v>527</v>
      </c>
      <c r="F1568" s="35"/>
      <c r="G1568" s="35" t="s">
        <v>188</v>
      </c>
      <c r="H1568" s="35" t="s">
        <v>61</v>
      </c>
      <c r="I1568" s="4"/>
    </row>
    <row r="1569" customFormat="false" ht="15" hidden="false" customHeight="false" outlineLevel="0" collapsed="false">
      <c r="A1569" s="35" t="s">
        <v>4324</v>
      </c>
      <c r="B1569" s="35" t="s">
        <v>4325</v>
      </c>
      <c r="C1569" s="35" t="s">
        <v>48</v>
      </c>
      <c r="D1569" s="35" t="s">
        <v>107</v>
      </c>
      <c r="E1569" s="35" t="s">
        <v>837</v>
      </c>
      <c r="F1569" s="35" t="s">
        <v>4326</v>
      </c>
      <c r="G1569" s="35" t="s">
        <v>763</v>
      </c>
      <c r="H1569" s="35" t="s">
        <v>61</v>
      </c>
      <c r="I1569" s="4"/>
    </row>
    <row r="1570" customFormat="false" ht="15" hidden="false" customHeight="false" outlineLevel="0" collapsed="false">
      <c r="A1570" s="35" t="s">
        <v>4327</v>
      </c>
      <c r="B1570" s="35" t="s">
        <v>4328</v>
      </c>
      <c r="C1570" s="35" t="s">
        <v>48</v>
      </c>
      <c r="D1570" s="35" t="s">
        <v>107</v>
      </c>
      <c r="E1570" s="35" t="s">
        <v>1233</v>
      </c>
      <c r="F1570" s="35"/>
      <c r="G1570" s="35" t="s">
        <v>685</v>
      </c>
      <c r="H1570" s="35" t="s">
        <v>61</v>
      </c>
      <c r="I1570" s="4"/>
    </row>
    <row r="1571" customFormat="false" ht="15" hidden="false" customHeight="false" outlineLevel="0" collapsed="false">
      <c r="A1571" s="35" t="s">
        <v>4329</v>
      </c>
      <c r="B1571" s="35" t="s">
        <v>4330</v>
      </c>
      <c r="C1571" s="35" t="s">
        <v>48</v>
      </c>
      <c r="D1571" s="35" t="s">
        <v>53</v>
      </c>
      <c r="E1571" s="35"/>
      <c r="F1571" s="35"/>
      <c r="G1571" s="35" t="s">
        <v>685</v>
      </c>
      <c r="H1571" s="35" t="s">
        <v>61</v>
      </c>
      <c r="I1571" s="4"/>
    </row>
    <row r="1572" customFormat="false" ht="15" hidden="false" customHeight="false" outlineLevel="0" collapsed="false">
      <c r="A1572" s="35" t="s">
        <v>4331</v>
      </c>
      <c r="B1572" s="35" t="s">
        <v>4332</v>
      </c>
      <c r="C1572" s="35" t="s">
        <v>48</v>
      </c>
      <c r="D1572" s="35" t="s">
        <v>57</v>
      </c>
      <c r="E1572" s="35" t="s">
        <v>1133</v>
      </c>
      <c r="F1572" s="35"/>
      <c r="G1572" s="35" t="s">
        <v>685</v>
      </c>
      <c r="H1572" s="35" t="s">
        <v>61</v>
      </c>
      <c r="I1572" s="4"/>
    </row>
    <row r="1573" customFormat="false" ht="15" hidden="false" customHeight="false" outlineLevel="0" collapsed="false">
      <c r="A1573" s="35" t="s">
        <v>4333</v>
      </c>
      <c r="B1573" s="35" t="s">
        <v>4334</v>
      </c>
      <c r="C1573" s="35" t="s">
        <v>48</v>
      </c>
      <c r="D1573" s="35" t="s">
        <v>57</v>
      </c>
      <c r="E1573" s="35" t="s">
        <v>1137</v>
      </c>
      <c r="F1573" s="35"/>
      <c r="G1573" s="35" t="s">
        <v>685</v>
      </c>
      <c r="H1573" s="35" t="s">
        <v>61</v>
      </c>
      <c r="I1573" s="4"/>
    </row>
    <row r="1574" customFormat="false" ht="15" hidden="false" customHeight="false" outlineLevel="0" collapsed="false">
      <c r="A1574" s="35" t="s">
        <v>4335</v>
      </c>
      <c r="B1574" s="35" t="s">
        <v>4336</v>
      </c>
      <c r="C1574" s="35" t="s">
        <v>48</v>
      </c>
      <c r="D1574" s="35" t="s">
        <v>57</v>
      </c>
      <c r="E1574" s="35" t="s">
        <v>1231</v>
      </c>
      <c r="F1574" s="35"/>
      <c r="G1574" s="35" t="s">
        <v>685</v>
      </c>
      <c r="H1574" s="35" t="s">
        <v>61</v>
      </c>
      <c r="I1574" s="4"/>
    </row>
    <row r="1575" customFormat="false" ht="15" hidden="false" customHeight="false" outlineLevel="0" collapsed="false">
      <c r="A1575" s="35" t="s">
        <v>4337</v>
      </c>
      <c r="B1575" s="35" t="s">
        <v>4338</v>
      </c>
      <c r="C1575" s="35" t="s">
        <v>48</v>
      </c>
      <c r="D1575" s="35" t="s">
        <v>57</v>
      </c>
      <c r="E1575" s="35" t="s">
        <v>1139</v>
      </c>
      <c r="F1575" s="35"/>
      <c r="G1575" s="35" t="s">
        <v>685</v>
      </c>
      <c r="H1575" s="35" t="s">
        <v>61</v>
      </c>
      <c r="I1575" s="4"/>
    </row>
    <row r="1576" customFormat="false" ht="15" hidden="false" customHeight="false" outlineLevel="0" collapsed="false">
      <c r="A1576" s="35" t="s">
        <v>1763</v>
      </c>
      <c r="B1576" s="35" t="s">
        <v>4339</v>
      </c>
      <c r="C1576" s="35" t="s">
        <v>48</v>
      </c>
      <c r="D1576" s="35" t="s">
        <v>57</v>
      </c>
      <c r="E1576" s="35" t="s">
        <v>1762</v>
      </c>
      <c r="F1576" s="35"/>
      <c r="G1576" s="35" t="s">
        <v>685</v>
      </c>
      <c r="H1576" s="35" t="s">
        <v>61</v>
      </c>
      <c r="I1576" s="4"/>
    </row>
    <row r="1577" customFormat="false" ht="15" hidden="false" customHeight="false" outlineLevel="0" collapsed="false">
      <c r="A1577" s="35" t="s">
        <v>4340</v>
      </c>
      <c r="B1577" s="35" t="s">
        <v>4341</v>
      </c>
      <c r="C1577" s="35" t="s">
        <v>48</v>
      </c>
      <c r="D1577" s="35" t="s">
        <v>157</v>
      </c>
      <c r="E1577" s="35"/>
      <c r="F1577" s="35"/>
      <c r="G1577" s="35" t="s">
        <v>685</v>
      </c>
      <c r="H1577" s="35" t="s">
        <v>61</v>
      </c>
      <c r="I1577" s="4"/>
    </row>
    <row r="1578" customFormat="false" ht="15" hidden="false" customHeight="false" outlineLevel="0" collapsed="false">
      <c r="A1578" s="35" t="s">
        <v>4342</v>
      </c>
      <c r="B1578" s="35" t="s">
        <v>4343</v>
      </c>
      <c r="C1578" s="35" t="s">
        <v>48</v>
      </c>
      <c r="D1578" s="35" t="s">
        <v>157</v>
      </c>
      <c r="E1578" s="35"/>
      <c r="F1578" s="35"/>
      <c r="G1578" s="35" t="s">
        <v>685</v>
      </c>
      <c r="H1578" s="35" t="s">
        <v>61</v>
      </c>
      <c r="I1578" s="4"/>
    </row>
    <row r="1579" customFormat="false" ht="15" hidden="false" customHeight="false" outlineLevel="0" collapsed="false">
      <c r="A1579" s="35" t="s">
        <v>4344</v>
      </c>
      <c r="B1579" s="35" t="s">
        <v>4345</v>
      </c>
      <c r="C1579" s="35" t="s">
        <v>48</v>
      </c>
      <c r="D1579" s="35" t="s">
        <v>157</v>
      </c>
      <c r="E1579" s="35"/>
      <c r="F1579" s="35"/>
      <c r="G1579" s="35" t="s">
        <v>685</v>
      </c>
      <c r="H1579" s="35" t="s">
        <v>61</v>
      </c>
      <c r="I1579" s="4"/>
    </row>
    <row r="1580" customFormat="false" ht="15" hidden="false" customHeight="false" outlineLevel="0" collapsed="false">
      <c r="A1580" s="35" t="s">
        <v>4346</v>
      </c>
      <c r="B1580" s="35" t="s">
        <v>4347</v>
      </c>
      <c r="C1580" s="35" t="s">
        <v>48</v>
      </c>
      <c r="D1580" s="35" t="s">
        <v>157</v>
      </c>
      <c r="E1580" s="35"/>
      <c r="F1580" s="35"/>
      <c r="G1580" s="35" t="s">
        <v>685</v>
      </c>
      <c r="H1580" s="35" t="s">
        <v>61</v>
      </c>
      <c r="I1580" s="4"/>
    </row>
    <row r="1581" customFormat="false" ht="15" hidden="false" customHeight="false" outlineLevel="0" collapsed="false">
      <c r="A1581" s="35" t="s">
        <v>4348</v>
      </c>
      <c r="B1581" s="35" t="s">
        <v>4349</v>
      </c>
      <c r="C1581" s="35" t="s">
        <v>48</v>
      </c>
      <c r="D1581" s="35" t="s">
        <v>157</v>
      </c>
      <c r="E1581" s="35"/>
      <c r="F1581" s="35"/>
      <c r="G1581" s="35" t="s">
        <v>685</v>
      </c>
      <c r="H1581" s="35" t="s">
        <v>61</v>
      </c>
      <c r="I1581" s="4"/>
    </row>
    <row r="1582" customFormat="false" ht="15" hidden="false" customHeight="false" outlineLevel="0" collapsed="false">
      <c r="A1582" s="35" t="s">
        <v>4350</v>
      </c>
      <c r="B1582" s="35" t="s">
        <v>4351</v>
      </c>
      <c r="C1582" s="35" t="s">
        <v>48</v>
      </c>
      <c r="D1582" s="35" t="s">
        <v>157</v>
      </c>
      <c r="E1582" s="35"/>
      <c r="F1582" s="35"/>
      <c r="G1582" s="35" t="s">
        <v>685</v>
      </c>
      <c r="H1582" s="35" t="s">
        <v>61</v>
      </c>
      <c r="I1582" s="4"/>
    </row>
    <row r="1583" customFormat="false" ht="15" hidden="false" customHeight="false" outlineLevel="0" collapsed="false">
      <c r="A1583" s="35" t="s">
        <v>4352</v>
      </c>
      <c r="B1583" s="35" t="s">
        <v>4353</v>
      </c>
      <c r="C1583" s="35" t="s">
        <v>48</v>
      </c>
      <c r="D1583" s="35" t="s">
        <v>157</v>
      </c>
      <c r="E1583" s="35"/>
      <c r="F1583" s="35"/>
      <c r="G1583" s="35" t="s">
        <v>685</v>
      </c>
      <c r="H1583" s="35" t="s">
        <v>61</v>
      </c>
      <c r="I1583" s="4"/>
    </row>
    <row r="1584" customFormat="false" ht="15" hidden="false" customHeight="false" outlineLevel="0" collapsed="false">
      <c r="A1584" s="35" t="s">
        <v>4354</v>
      </c>
      <c r="B1584" s="35" t="s">
        <v>4355</v>
      </c>
      <c r="C1584" s="35" t="s">
        <v>48</v>
      </c>
      <c r="D1584" s="35" t="s">
        <v>107</v>
      </c>
      <c r="E1584" s="35" t="s">
        <v>1158</v>
      </c>
      <c r="F1584" s="35"/>
      <c r="G1584" s="35" t="s">
        <v>421</v>
      </c>
      <c r="H1584" s="35" t="s">
        <v>61</v>
      </c>
      <c r="I1584" s="4"/>
    </row>
    <row r="1585" customFormat="false" ht="15" hidden="false" customHeight="false" outlineLevel="0" collapsed="false">
      <c r="A1585" s="35" t="s">
        <v>4356</v>
      </c>
      <c r="B1585" s="35" t="s">
        <v>4357</v>
      </c>
      <c r="C1585" s="35" t="s">
        <v>48</v>
      </c>
      <c r="D1585" s="35" t="s">
        <v>157</v>
      </c>
      <c r="E1585" s="35"/>
      <c r="F1585" s="35"/>
      <c r="G1585" s="35" t="s">
        <v>704</v>
      </c>
      <c r="H1585" s="35" t="s">
        <v>61</v>
      </c>
      <c r="I1585" s="4"/>
    </row>
    <row r="1586" customFormat="false" ht="15" hidden="false" customHeight="false" outlineLevel="0" collapsed="false">
      <c r="A1586" s="35" t="s">
        <v>4358</v>
      </c>
      <c r="B1586" s="35" t="s">
        <v>4359</v>
      </c>
      <c r="C1586" s="35" t="s">
        <v>48</v>
      </c>
      <c r="D1586" s="35" t="s">
        <v>157</v>
      </c>
      <c r="E1586" s="35"/>
      <c r="F1586" s="35" t="s">
        <v>2306</v>
      </c>
      <c r="G1586" s="35" t="s">
        <v>704</v>
      </c>
      <c r="H1586" s="35" t="s">
        <v>61</v>
      </c>
      <c r="I1586" s="4"/>
    </row>
    <row r="1587" customFormat="false" ht="15" hidden="false" customHeight="false" outlineLevel="0" collapsed="false">
      <c r="A1587" s="35" t="s">
        <v>4360</v>
      </c>
      <c r="B1587" s="35" t="s">
        <v>4361</v>
      </c>
      <c r="C1587" s="35" t="s">
        <v>48</v>
      </c>
      <c r="D1587" s="35" t="s">
        <v>157</v>
      </c>
      <c r="E1587" s="35"/>
      <c r="F1587" s="35"/>
      <c r="G1587" s="35" t="s">
        <v>704</v>
      </c>
      <c r="H1587" s="35" t="s">
        <v>61</v>
      </c>
      <c r="I1587" s="4"/>
    </row>
    <row r="1588" customFormat="false" ht="15" hidden="false" customHeight="false" outlineLevel="0" collapsed="false">
      <c r="A1588" s="35" t="s">
        <v>4362</v>
      </c>
      <c r="B1588" s="35" t="s">
        <v>4363</v>
      </c>
      <c r="C1588" s="35" t="s">
        <v>48</v>
      </c>
      <c r="D1588" s="35" t="s">
        <v>157</v>
      </c>
      <c r="E1588" s="35"/>
      <c r="F1588" s="35"/>
      <c r="G1588" s="35" t="s">
        <v>685</v>
      </c>
      <c r="H1588" s="35" t="s">
        <v>61</v>
      </c>
      <c r="I1588" s="4"/>
    </row>
    <row r="1589" customFormat="false" ht="15" hidden="false" customHeight="false" outlineLevel="0" collapsed="false">
      <c r="A1589" s="35" t="s">
        <v>4364</v>
      </c>
      <c r="B1589" s="35" t="s">
        <v>4365</v>
      </c>
      <c r="C1589" s="35" t="s">
        <v>48</v>
      </c>
      <c r="D1589" s="35" t="s">
        <v>157</v>
      </c>
      <c r="E1589" s="35"/>
      <c r="F1589" s="35"/>
      <c r="G1589" s="35" t="s">
        <v>685</v>
      </c>
      <c r="H1589" s="35" t="s">
        <v>61</v>
      </c>
      <c r="I1589" s="4"/>
    </row>
    <row r="1590" customFormat="false" ht="15" hidden="false" customHeight="false" outlineLevel="0" collapsed="false">
      <c r="A1590" s="35" t="s">
        <v>4366</v>
      </c>
      <c r="B1590" s="35" t="s">
        <v>4367</v>
      </c>
      <c r="C1590" s="35" t="s">
        <v>48</v>
      </c>
      <c r="D1590" s="35" t="s">
        <v>57</v>
      </c>
      <c r="E1590" s="35" t="s">
        <v>1258</v>
      </c>
      <c r="F1590" s="35" t="s">
        <v>3780</v>
      </c>
      <c r="G1590" s="35" t="s">
        <v>684</v>
      </c>
      <c r="H1590" s="35" t="s">
        <v>61</v>
      </c>
      <c r="I1590" s="4"/>
    </row>
    <row r="1591" customFormat="false" ht="15" hidden="false" customHeight="false" outlineLevel="0" collapsed="false">
      <c r="A1591" s="35" t="s">
        <v>4368</v>
      </c>
      <c r="B1591" s="35" t="s">
        <v>4369</v>
      </c>
      <c r="C1591" s="35" t="s">
        <v>48</v>
      </c>
      <c r="D1591" s="35" t="s">
        <v>157</v>
      </c>
      <c r="E1591" s="35"/>
      <c r="F1591" s="35"/>
      <c r="G1591" s="35" t="s">
        <v>704</v>
      </c>
      <c r="H1591" s="35" t="s">
        <v>61</v>
      </c>
      <c r="I1591" s="4"/>
    </row>
    <row r="1592" customFormat="false" ht="15" hidden="false" customHeight="false" outlineLevel="0" collapsed="false">
      <c r="A1592" s="35" t="s">
        <v>4370</v>
      </c>
      <c r="B1592" s="35" t="s">
        <v>4371</v>
      </c>
      <c r="C1592" s="35" t="s">
        <v>48</v>
      </c>
      <c r="D1592" s="35" t="s">
        <v>57</v>
      </c>
      <c r="E1592" s="35" t="s">
        <v>1272</v>
      </c>
      <c r="F1592" s="35" t="s">
        <v>4372</v>
      </c>
      <c r="G1592" s="35" t="s">
        <v>684</v>
      </c>
      <c r="H1592" s="35" t="s">
        <v>61</v>
      </c>
      <c r="I1592" s="4"/>
    </row>
    <row r="1593" customFormat="false" ht="15" hidden="false" customHeight="false" outlineLevel="0" collapsed="false">
      <c r="A1593" s="35" t="s">
        <v>4373</v>
      </c>
      <c r="B1593" s="35" t="s">
        <v>4374</v>
      </c>
      <c r="C1593" s="35" t="s">
        <v>48</v>
      </c>
      <c r="D1593" s="35" t="s">
        <v>107</v>
      </c>
      <c r="E1593" s="35" t="s">
        <v>1223</v>
      </c>
      <c r="F1593" s="35"/>
      <c r="G1593" s="35" t="s">
        <v>571</v>
      </c>
      <c r="H1593" s="35" t="s">
        <v>61</v>
      </c>
      <c r="I1593" s="4"/>
    </row>
    <row r="1594" customFormat="false" ht="15" hidden="false" customHeight="false" outlineLevel="0" collapsed="false">
      <c r="A1594" s="35" t="s">
        <v>1566</v>
      </c>
      <c r="B1594" s="35" t="s">
        <v>4375</v>
      </c>
      <c r="C1594" s="35" t="s">
        <v>48</v>
      </c>
      <c r="D1594" s="35" t="s">
        <v>107</v>
      </c>
      <c r="E1594" s="35" t="s">
        <v>1565</v>
      </c>
      <c r="F1594" s="35"/>
      <c r="G1594" s="35" t="s">
        <v>711</v>
      </c>
      <c r="H1594" s="35" t="s">
        <v>61</v>
      </c>
      <c r="I1594" s="4"/>
    </row>
    <row r="1595" customFormat="false" ht="15" hidden="false" customHeight="false" outlineLevel="0" collapsed="false">
      <c r="A1595" s="35" t="s">
        <v>4376</v>
      </c>
      <c r="B1595" s="35" t="s">
        <v>4377</v>
      </c>
      <c r="C1595" s="35" t="s">
        <v>48</v>
      </c>
      <c r="D1595" s="35" t="s">
        <v>107</v>
      </c>
      <c r="E1595" s="35" t="s">
        <v>1158</v>
      </c>
      <c r="F1595" s="35"/>
      <c r="G1595" s="35" t="s">
        <v>711</v>
      </c>
      <c r="H1595" s="35" t="s">
        <v>61</v>
      </c>
      <c r="I1595" s="4"/>
    </row>
    <row r="1596" customFormat="false" ht="15" hidden="false" customHeight="false" outlineLevel="0" collapsed="false">
      <c r="A1596" s="35" t="s">
        <v>1473</v>
      </c>
      <c r="B1596" s="35" t="s">
        <v>4378</v>
      </c>
      <c r="C1596" s="35" t="s">
        <v>48</v>
      </c>
      <c r="D1596" s="35" t="s">
        <v>107</v>
      </c>
      <c r="E1596" s="35" t="s">
        <v>1472</v>
      </c>
      <c r="F1596" s="35"/>
      <c r="G1596" s="35" t="s">
        <v>711</v>
      </c>
      <c r="H1596" s="35" t="s">
        <v>61</v>
      </c>
      <c r="I1596" s="4"/>
    </row>
    <row r="1597" customFormat="false" ht="15" hidden="false" customHeight="false" outlineLevel="0" collapsed="false">
      <c r="A1597" s="35" t="s">
        <v>538</v>
      </c>
      <c r="B1597" s="35" t="s">
        <v>540</v>
      </c>
      <c r="C1597" s="35" t="s">
        <v>48</v>
      </c>
      <c r="D1597" s="35" t="s">
        <v>107</v>
      </c>
      <c r="E1597" s="35" t="s">
        <v>539</v>
      </c>
      <c r="F1597" s="35"/>
      <c r="G1597" s="35" t="s">
        <v>535</v>
      </c>
      <c r="H1597" s="35" t="s">
        <v>61</v>
      </c>
      <c r="I1597" s="4" t="s">
        <v>2025</v>
      </c>
    </row>
    <row r="1598" customFormat="false" ht="15" hidden="false" customHeight="false" outlineLevel="0" collapsed="false">
      <c r="A1598" s="35" t="s">
        <v>4379</v>
      </c>
      <c r="B1598" s="35" t="s">
        <v>4380</v>
      </c>
      <c r="C1598" s="35" t="s">
        <v>48</v>
      </c>
      <c r="D1598" s="35" t="s">
        <v>114</v>
      </c>
      <c r="E1598" s="35"/>
      <c r="F1598" s="35"/>
      <c r="G1598" s="35" t="s">
        <v>49</v>
      </c>
      <c r="H1598" s="35" t="s">
        <v>49</v>
      </c>
      <c r="I1598" s="4"/>
    </row>
    <row r="1599" customFormat="false" ht="15" hidden="false" customHeight="false" outlineLevel="0" collapsed="false">
      <c r="A1599" s="35" t="s">
        <v>4381</v>
      </c>
      <c r="B1599" s="35" t="s">
        <v>4382</v>
      </c>
      <c r="C1599" s="35" t="s">
        <v>48</v>
      </c>
      <c r="D1599" s="35" t="s">
        <v>114</v>
      </c>
      <c r="E1599" s="35"/>
      <c r="F1599" s="35"/>
      <c r="G1599" s="35" t="s">
        <v>49</v>
      </c>
      <c r="H1599" s="35" t="s">
        <v>49</v>
      </c>
      <c r="I1599" s="4"/>
    </row>
    <row r="1600" customFormat="false" ht="15" hidden="false" customHeight="false" outlineLevel="0" collapsed="false">
      <c r="A1600" s="35" t="s">
        <v>1865</v>
      </c>
      <c r="B1600" s="35" t="s">
        <v>4383</v>
      </c>
      <c r="C1600" s="35" t="s">
        <v>48</v>
      </c>
      <c r="D1600" s="35" t="s">
        <v>107</v>
      </c>
      <c r="E1600" s="35" t="s">
        <v>1864</v>
      </c>
      <c r="F1600" s="35"/>
      <c r="G1600" s="35" t="s">
        <v>535</v>
      </c>
      <c r="H1600" s="35" t="s">
        <v>61</v>
      </c>
      <c r="I1600" s="4"/>
    </row>
    <row r="1601" customFormat="false" ht="15" hidden="false" customHeight="false" outlineLevel="0" collapsed="false">
      <c r="A1601" s="35" t="s">
        <v>530</v>
      </c>
      <c r="B1601" s="35" t="s">
        <v>531</v>
      </c>
      <c r="C1601" s="35" t="s">
        <v>48</v>
      </c>
      <c r="D1601" s="35" t="s">
        <v>107</v>
      </c>
      <c r="E1601" s="35" t="s">
        <v>530</v>
      </c>
      <c r="F1601" s="35"/>
      <c r="G1601" s="35" t="s">
        <v>49</v>
      </c>
      <c r="H1601" s="35" t="s">
        <v>50</v>
      </c>
      <c r="I1601" s="4" t="s">
        <v>2025</v>
      </c>
    </row>
    <row r="1602" customFormat="false" ht="15" hidden="false" customHeight="false" outlineLevel="0" collapsed="false">
      <c r="A1602" s="35" t="s">
        <v>4384</v>
      </c>
      <c r="B1602" s="35" t="s">
        <v>4385</v>
      </c>
      <c r="C1602" s="35" t="s">
        <v>48</v>
      </c>
      <c r="D1602" s="35" t="s">
        <v>107</v>
      </c>
      <c r="E1602" s="35" t="s">
        <v>530</v>
      </c>
      <c r="F1602" s="35"/>
      <c r="G1602" s="35" t="s">
        <v>328</v>
      </c>
      <c r="H1602" s="35" t="s">
        <v>369</v>
      </c>
      <c r="I1602" s="4"/>
    </row>
    <row r="1603" customFormat="false" ht="15" hidden="false" customHeight="false" outlineLevel="0" collapsed="false">
      <c r="A1603" s="35" t="s">
        <v>1571</v>
      </c>
      <c r="B1603" s="35" t="s">
        <v>4386</v>
      </c>
      <c r="C1603" s="35" t="s">
        <v>48</v>
      </c>
      <c r="D1603" s="35" t="s">
        <v>46</v>
      </c>
      <c r="E1603" s="35" t="s">
        <v>1570</v>
      </c>
      <c r="F1603" s="35"/>
      <c r="G1603" s="35" t="s">
        <v>262</v>
      </c>
      <c r="H1603" s="35" t="s">
        <v>61</v>
      </c>
      <c r="I1603" s="4"/>
    </row>
    <row r="1604" customFormat="false" ht="15" hidden="false" customHeight="false" outlineLevel="0" collapsed="false">
      <c r="A1604" s="35" t="s">
        <v>1575</v>
      </c>
      <c r="B1604" s="35" t="s">
        <v>4387</v>
      </c>
      <c r="C1604" s="35" t="s">
        <v>48</v>
      </c>
      <c r="D1604" s="35" t="s">
        <v>46</v>
      </c>
      <c r="E1604" s="35" t="s">
        <v>1574</v>
      </c>
      <c r="F1604" s="35"/>
      <c r="G1604" s="35" t="s">
        <v>262</v>
      </c>
      <c r="H1604" s="35" t="s">
        <v>61</v>
      </c>
      <c r="I1604" s="4"/>
    </row>
    <row r="1605" customFormat="false" ht="15" hidden="false" customHeight="false" outlineLevel="0" collapsed="false">
      <c r="A1605" s="35" t="s">
        <v>4388</v>
      </c>
      <c r="B1605" s="35" t="s">
        <v>4389</v>
      </c>
      <c r="C1605" s="35" t="s">
        <v>48</v>
      </c>
      <c r="D1605" s="35" t="s">
        <v>53</v>
      </c>
      <c r="E1605" s="35"/>
      <c r="F1605" s="35"/>
      <c r="G1605" s="35" t="s">
        <v>262</v>
      </c>
      <c r="H1605" s="35" t="s">
        <v>61</v>
      </c>
      <c r="I1605" s="4"/>
    </row>
    <row r="1606" customFormat="false" ht="15" hidden="false" customHeight="false" outlineLevel="0" collapsed="false">
      <c r="A1606" s="35" t="s">
        <v>4390</v>
      </c>
      <c r="B1606" s="35" t="s">
        <v>4391</v>
      </c>
      <c r="C1606" s="35" t="s">
        <v>48</v>
      </c>
      <c r="D1606" s="35" t="s">
        <v>53</v>
      </c>
      <c r="E1606" s="35"/>
      <c r="F1606" s="35"/>
      <c r="G1606" s="35" t="s">
        <v>421</v>
      </c>
      <c r="H1606" s="35" t="s">
        <v>61</v>
      </c>
      <c r="I1606" s="4"/>
    </row>
    <row r="1607" customFormat="false" ht="15" hidden="false" customHeight="false" outlineLevel="0" collapsed="false">
      <c r="A1607" s="35" t="s">
        <v>1573</v>
      </c>
      <c r="B1607" s="35" t="s">
        <v>4392</v>
      </c>
      <c r="C1607" s="35" t="s">
        <v>48</v>
      </c>
      <c r="D1607" s="35" t="s">
        <v>107</v>
      </c>
      <c r="E1607" s="35" t="s">
        <v>1572</v>
      </c>
      <c r="F1607" s="35"/>
      <c r="G1607" s="35" t="s">
        <v>262</v>
      </c>
      <c r="H1607" s="35" t="s">
        <v>61</v>
      </c>
      <c r="I1607" s="4"/>
    </row>
    <row r="1608" customFormat="false" ht="15" hidden="false" customHeight="false" outlineLevel="0" collapsed="false">
      <c r="A1608" s="35" t="s">
        <v>1577</v>
      </c>
      <c r="B1608" s="35" t="s">
        <v>4393</v>
      </c>
      <c r="C1608" s="35" t="s">
        <v>48</v>
      </c>
      <c r="D1608" s="35" t="s">
        <v>107</v>
      </c>
      <c r="E1608" s="35" t="s">
        <v>1576</v>
      </c>
      <c r="F1608" s="35"/>
      <c r="G1608" s="35" t="s">
        <v>262</v>
      </c>
      <c r="H1608" s="35" t="s">
        <v>61</v>
      </c>
      <c r="I1608" s="4"/>
    </row>
    <row r="1609" customFormat="false" ht="15" hidden="false" customHeight="false" outlineLevel="0" collapsed="false">
      <c r="A1609" s="35" t="s">
        <v>4394</v>
      </c>
      <c r="B1609" s="35" t="s">
        <v>4395</v>
      </c>
      <c r="C1609" s="35" t="s">
        <v>48</v>
      </c>
      <c r="D1609" s="35" t="s">
        <v>53</v>
      </c>
      <c r="E1609" s="35"/>
      <c r="F1609" s="35"/>
      <c r="G1609" s="35" t="s">
        <v>99</v>
      </c>
      <c r="H1609" s="35" t="s">
        <v>61</v>
      </c>
      <c r="I1609" s="4"/>
    </row>
    <row r="1610" customFormat="false" ht="15" hidden="false" customHeight="false" outlineLevel="0" collapsed="false">
      <c r="A1610" s="35" t="s">
        <v>4396</v>
      </c>
      <c r="B1610" s="35" t="s">
        <v>4397</v>
      </c>
      <c r="C1610" s="35" t="s">
        <v>48</v>
      </c>
      <c r="D1610" s="35" t="s">
        <v>53</v>
      </c>
      <c r="E1610" s="35"/>
      <c r="F1610" s="35"/>
      <c r="G1610" s="35" t="s">
        <v>99</v>
      </c>
      <c r="H1610" s="35" t="s">
        <v>61</v>
      </c>
      <c r="I1610" s="4"/>
    </row>
    <row r="1611" customFormat="false" ht="15" hidden="false" customHeight="false" outlineLevel="0" collapsed="false">
      <c r="A1611" s="35" t="s">
        <v>4398</v>
      </c>
      <c r="B1611" s="35" t="s">
        <v>4399</v>
      </c>
      <c r="C1611" s="35" t="s">
        <v>48</v>
      </c>
      <c r="D1611" s="35" t="s">
        <v>53</v>
      </c>
      <c r="E1611" s="35"/>
      <c r="F1611" s="35"/>
      <c r="G1611" s="35" t="s">
        <v>99</v>
      </c>
      <c r="H1611" s="35" t="s">
        <v>61</v>
      </c>
      <c r="I1611" s="4"/>
    </row>
    <row r="1612" customFormat="false" ht="15" hidden="false" customHeight="false" outlineLevel="0" collapsed="false">
      <c r="A1612" s="35" t="s">
        <v>56</v>
      </c>
      <c r="B1612" s="35" t="s">
        <v>59</v>
      </c>
      <c r="C1612" s="35" t="s">
        <v>48</v>
      </c>
      <c r="D1612" s="35" t="s">
        <v>57</v>
      </c>
      <c r="E1612" s="35" t="s">
        <v>58</v>
      </c>
      <c r="F1612" s="35"/>
      <c r="G1612" s="35" t="s">
        <v>60</v>
      </c>
      <c r="H1612" s="35" t="s">
        <v>61</v>
      </c>
      <c r="I1612" s="4" t="s">
        <v>2025</v>
      </c>
    </row>
    <row r="1613" customFormat="false" ht="15" hidden="false" customHeight="false" outlineLevel="0" collapsed="false">
      <c r="A1613" s="35" t="s">
        <v>1579</v>
      </c>
      <c r="B1613" s="35" t="s">
        <v>4400</v>
      </c>
      <c r="C1613" s="35" t="s">
        <v>48</v>
      </c>
      <c r="D1613" s="35" t="s">
        <v>57</v>
      </c>
      <c r="E1613" s="35" t="s">
        <v>1578</v>
      </c>
      <c r="F1613" s="35"/>
      <c r="G1613" s="35" t="s">
        <v>60</v>
      </c>
      <c r="H1613" s="35" t="s">
        <v>61</v>
      </c>
      <c r="I1613" s="4"/>
    </row>
    <row r="1614" customFormat="false" ht="15" hidden="false" customHeight="false" outlineLevel="0" collapsed="false">
      <c r="A1614" s="35" t="s">
        <v>63</v>
      </c>
      <c r="B1614" s="35" t="s">
        <v>64</v>
      </c>
      <c r="C1614" s="35" t="s">
        <v>48</v>
      </c>
      <c r="D1614" s="35" t="s">
        <v>53</v>
      </c>
      <c r="E1614" s="35"/>
      <c r="F1614" s="35"/>
      <c r="G1614" s="35" t="s">
        <v>60</v>
      </c>
      <c r="H1614" s="35" t="s">
        <v>61</v>
      </c>
      <c r="I1614" s="4" t="s">
        <v>2025</v>
      </c>
    </row>
    <row r="1615" customFormat="false" ht="15" hidden="false" customHeight="false" outlineLevel="0" collapsed="false">
      <c r="A1615" s="35" t="s">
        <v>4401</v>
      </c>
      <c r="B1615" s="35" t="s">
        <v>4402</v>
      </c>
      <c r="C1615" s="35" t="s">
        <v>48</v>
      </c>
      <c r="D1615" s="35" t="s">
        <v>53</v>
      </c>
      <c r="E1615" s="35"/>
      <c r="F1615" s="35"/>
      <c r="G1615" s="35" t="s">
        <v>680</v>
      </c>
      <c r="H1615" s="35" t="s">
        <v>61</v>
      </c>
      <c r="I1615" s="4"/>
    </row>
    <row r="1616" customFormat="false" ht="15" hidden="false" customHeight="false" outlineLevel="0" collapsed="false">
      <c r="A1616" s="35" t="s">
        <v>68</v>
      </c>
      <c r="B1616" s="35" t="s">
        <v>69</v>
      </c>
      <c r="C1616" s="35" t="s">
        <v>48</v>
      </c>
      <c r="D1616" s="35" t="s">
        <v>53</v>
      </c>
      <c r="E1616" s="35"/>
      <c r="F1616" s="35"/>
      <c r="G1616" s="35" t="s">
        <v>60</v>
      </c>
      <c r="H1616" s="35" t="s">
        <v>61</v>
      </c>
      <c r="I1616" s="4" t="s">
        <v>2025</v>
      </c>
    </row>
    <row r="1617" customFormat="false" ht="15" hidden="false" customHeight="false" outlineLevel="0" collapsed="false">
      <c r="A1617" s="35" t="s">
        <v>66</v>
      </c>
      <c r="B1617" s="35" t="s">
        <v>67</v>
      </c>
      <c r="C1617" s="35" t="s">
        <v>48</v>
      </c>
      <c r="D1617" s="35" t="s">
        <v>53</v>
      </c>
      <c r="E1617" s="35"/>
      <c r="F1617" s="35"/>
      <c r="G1617" s="35" t="s">
        <v>60</v>
      </c>
      <c r="H1617" s="35" t="s">
        <v>61</v>
      </c>
      <c r="I1617" s="4" t="s">
        <v>2025</v>
      </c>
    </row>
    <row r="1618" customFormat="false" ht="15" hidden="false" customHeight="false" outlineLevel="0" collapsed="false">
      <c r="A1618" s="35" t="s">
        <v>4403</v>
      </c>
      <c r="B1618" s="35" t="s">
        <v>4404</v>
      </c>
      <c r="C1618" s="35" t="s">
        <v>48</v>
      </c>
      <c r="D1618" s="35" t="s">
        <v>53</v>
      </c>
      <c r="E1618" s="35"/>
      <c r="F1618" s="35"/>
      <c r="G1618" s="35" t="s">
        <v>60</v>
      </c>
      <c r="H1618" s="35" t="s">
        <v>61</v>
      </c>
      <c r="I1618" s="4"/>
    </row>
    <row r="1619" customFormat="false" ht="15" hidden="false" customHeight="false" outlineLevel="0" collapsed="false">
      <c r="A1619" s="35" t="s">
        <v>4405</v>
      </c>
      <c r="B1619" s="35" t="s">
        <v>4406</v>
      </c>
      <c r="C1619" s="35" t="s">
        <v>48</v>
      </c>
      <c r="D1619" s="35" t="s">
        <v>53</v>
      </c>
      <c r="E1619" s="35"/>
      <c r="F1619" s="35"/>
      <c r="G1619" s="35" t="s">
        <v>60</v>
      </c>
      <c r="H1619" s="35" t="s">
        <v>61</v>
      </c>
      <c r="I1619" s="4"/>
    </row>
    <row r="1620" customFormat="false" ht="15" hidden="false" customHeight="false" outlineLevel="0" collapsed="false">
      <c r="A1620" s="35" t="s">
        <v>4407</v>
      </c>
      <c r="B1620" s="35" t="s">
        <v>4408</v>
      </c>
      <c r="C1620" s="35" t="s">
        <v>48</v>
      </c>
      <c r="D1620" s="35" t="s">
        <v>53</v>
      </c>
      <c r="E1620" s="35"/>
      <c r="F1620" s="35"/>
      <c r="G1620" s="35" t="s">
        <v>60</v>
      </c>
      <c r="H1620" s="35" t="s">
        <v>61</v>
      </c>
      <c r="I1620" s="4"/>
    </row>
    <row r="1621" customFormat="false" ht="15" hidden="false" customHeight="false" outlineLevel="0" collapsed="false">
      <c r="A1621" s="35" t="s">
        <v>4409</v>
      </c>
      <c r="B1621" s="35" t="s">
        <v>4410</v>
      </c>
      <c r="C1621" s="35" t="s">
        <v>48</v>
      </c>
      <c r="D1621" s="35" t="s">
        <v>53</v>
      </c>
      <c r="E1621" s="35"/>
      <c r="F1621" s="35"/>
      <c r="G1621" s="35" t="s">
        <v>60</v>
      </c>
      <c r="H1621" s="35" t="s">
        <v>61</v>
      </c>
      <c r="I1621" s="4"/>
    </row>
    <row r="1622" customFormat="false" ht="15" hidden="false" customHeight="false" outlineLevel="0" collapsed="false">
      <c r="A1622" s="35" t="s">
        <v>4411</v>
      </c>
      <c r="B1622" s="35" t="s">
        <v>4412</v>
      </c>
      <c r="C1622" s="35" t="s">
        <v>48</v>
      </c>
      <c r="D1622" s="35" t="s">
        <v>53</v>
      </c>
      <c r="E1622" s="35"/>
      <c r="F1622" s="35"/>
      <c r="G1622" s="35" t="s">
        <v>60</v>
      </c>
      <c r="H1622" s="35" t="s">
        <v>61</v>
      </c>
      <c r="I1622" s="4"/>
    </row>
    <row r="1623" customFormat="false" ht="15" hidden="false" customHeight="false" outlineLevel="0" collapsed="false">
      <c r="A1623" s="35" t="s">
        <v>4413</v>
      </c>
      <c r="B1623" s="35" t="s">
        <v>4414</v>
      </c>
      <c r="C1623" s="35" t="s">
        <v>48</v>
      </c>
      <c r="D1623" s="35" t="s">
        <v>53</v>
      </c>
      <c r="E1623" s="35"/>
      <c r="F1623" s="35"/>
      <c r="G1623" s="35" t="s">
        <v>60</v>
      </c>
      <c r="H1623" s="35" t="s">
        <v>61</v>
      </c>
      <c r="I1623" s="4"/>
    </row>
    <row r="1624" customFormat="false" ht="15" hidden="false" customHeight="false" outlineLevel="0" collapsed="false">
      <c r="A1624" s="35" t="s">
        <v>4415</v>
      </c>
      <c r="B1624" s="35" t="s">
        <v>4416</v>
      </c>
      <c r="C1624" s="35" t="s">
        <v>48</v>
      </c>
      <c r="D1624" s="35" t="s">
        <v>114</v>
      </c>
      <c r="E1624" s="35"/>
      <c r="F1624" s="35"/>
      <c r="G1624" s="35" t="s">
        <v>60</v>
      </c>
      <c r="H1624" s="35" t="s">
        <v>61</v>
      </c>
      <c r="I1624" s="4"/>
    </row>
    <row r="1625" customFormat="false" ht="15" hidden="false" customHeight="false" outlineLevel="0" collapsed="false">
      <c r="A1625" s="35" t="s">
        <v>4417</v>
      </c>
      <c r="B1625" s="35" t="s">
        <v>4418</v>
      </c>
      <c r="C1625" s="35" t="s">
        <v>48</v>
      </c>
      <c r="D1625" s="35" t="s">
        <v>53</v>
      </c>
      <c r="E1625" s="35"/>
      <c r="F1625" s="35"/>
      <c r="G1625" s="35" t="s">
        <v>49</v>
      </c>
      <c r="H1625" s="35" t="s">
        <v>49</v>
      </c>
      <c r="I1625" s="4"/>
    </row>
    <row r="1626" customFormat="false" ht="15" hidden="false" customHeight="false" outlineLevel="0" collapsed="false">
      <c r="A1626" s="35" t="s">
        <v>193</v>
      </c>
      <c r="B1626" s="35" t="s">
        <v>194</v>
      </c>
      <c r="C1626" s="35" t="s">
        <v>48</v>
      </c>
      <c r="D1626" s="35" t="s">
        <v>53</v>
      </c>
      <c r="E1626" s="35"/>
      <c r="F1626" s="35"/>
      <c r="G1626" s="35" t="s">
        <v>49</v>
      </c>
      <c r="H1626" s="35" t="s">
        <v>49</v>
      </c>
      <c r="I1626" s="4" t="s">
        <v>2025</v>
      </c>
    </row>
    <row r="1627" customFormat="false" ht="15" hidden="false" customHeight="false" outlineLevel="0" collapsed="false">
      <c r="A1627" s="35" t="s">
        <v>4419</v>
      </c>
      <c r="B1627" s="35" t="s">
        <v>4420</v>
      </c>
      <c r="C1627" s="35" t="s">
        <v>48</v>
      </c>
      <c r="D1627" s="35" t="s">
        <v>57</v>
      </c>
      <c r="E1627" s="35" t="s">
        <v>1045</v>
      </c>
      <c r="F1627" s="35"/>
      <c r="G1627" s="35" t="s">
        <v>104</v>
      </c>
      <c r="H1627" s="35" t="s">
        <v>61</v>
      </c>
      <c r="I1627" s="4"/>
    </row>
    <row r="1628" customFormat="false" ht="15" hidden="false" customHeight="false" outlineLevel="0" collapsed="false">
      <c r="A1628" s="35" t="s">
        <v>196</v>
      </c>
      <c r="B1628" s="35" t="s">
        <v>197</v>
      </c>
      <c r="C1628" s="35" t="s">
        <v>48</v>
      </c>
      <c r="D1628" s="35" t="s">
        <v>146</v>
      </c>
      <c r="E1628" s="35"/>
      <c r="F1628" s="35"/>
      <c r="G1628" s="35" t="s">
        <v>49</v>
      </c>
      <c r="H1628" s="35" t="s">
        <v>49</v>
      </c>
      <c r="I1628" s="4" t="s">
        <v>2025</v>
      </c>
    </row>
    <row r="1629" customFormat="false" ht="15" hidden="false" customHeight="false" outlineLevel="0" collapsed="false">
      <c r="A1629" s="35" t="s">
        <v>4421</v>
      </c>
      <c r="B1629" s="35" t="s">
        <v>4422</v>
      </c>
      <c r="C1629" s="35" t="s">
        <v>48</v>
      </c>
      <c r="D1629" s="35" t="s">
        <v>146</v>
      </c>
      <c r="E1629" s="35"/>
      <c r="F1629" s="35"/>
      <c r="G1629" s="35" t="s">
        <v>49</v>
      </c>
      <c r="H1629" s="35" t="s">
        <v>49</v>
      </c>
      <c r="I1629" s="4"/>
    </row>
    <row r="1630" customFormat="false" ht="15" hidden="false" customHeight="false" outlineLevel="0" collapsed="false">
      <c r="A1630" s="35" t="s">
        <v>4423</v>
      </c>
      <c r="B1630" s="35" t="s">
        <v>4424</v>
      </c>
      <c r="C1630" s="35" t="s">
        <v>48</v>
      </c>
      <c r="D1630" s="35" t="s">
        <v>146</v>
      </c>
      <c r="E1630" s="35"/>
      <c r="F1630" s="35"/>
      <c r="G1630" s="35" t="s">
        <v>49</v>
      </c>
      <c r="H1630" s="35" t="s">
        <v>49</v>
      </c>
      <c r="I1630" s="4"/>
    </row>
    <row r="1631" customFormat="false" ht="15" hidden="false" customHeight="false" outlineLevel="0" collapsed="false">
      <c r="A1631" s="35" t="s">
        <v>4425</v>
      </c>
      <c r="B1631" s="35" t="s">
        <v>4426</v>
      </c>
      <c r="C1631" s="35" t="s">
        <v>48</v>
      </c>
      <c r="D1631" s="35" t="s">
        <v>146</v>
      </c>
      <c r="E1631" s="35"/>
      <c r="F1631" s="35"/>
      <c r="G1631" s="35" t="s">
        <v>49</v>
      </c>
      <c r="H1631" s="35" t="s">
        <v>49</v>
      </c>
      <c r="I1631" s="4"/>
    </row>
    <row r="1632" customFormat="false" ht="15" hidden="false" customHeight="false" outlineLevel="0" collapsed="false">
      <c r="A1632" s="35" t="s">
        <v>4427</v>
      </c>
      <c r="B1632" s="35" t="s">
        <v>4428</v>
      </c>
      <c r="C1632" s="35" t="s">
        <v>48</v>
      </c>
      <c r="D1632" s="35" t="s">
        <v>146</v>
      </c>
      <c r="E1632" s="35"/>
      <c r="F1632" s="35"/>
      <c r="G1632" s="35" t="s">
        <v>49</v>
      </c>
      <c r="H1632" s="35" t="s">
        <v>49</v>
      </c>
      <c r="I1632" s="4"/>
    </row>
    <row r="1633" customFormat="false" ht="15" hidden="false" customHeight="false" outlineLevel="0" collapsed="false">
      <c r="A1633" s="35" t="s">
        <v>4429</v>
      </c>
      <c r="B1633" s="35" t="s">
        <v>4430</v>
      </c>
      <c r="C1633" s="35" t="s">
        <v>48</v>
      </c>
      <c r="D1633" s="35" t="s">
        <v>146</v>
      </c>
      <c r="E1633" s="35"/>
      <c r="F1633" s="35"/>
      <c r="G1633" s="35" t="s">
        <v>49</v>
      </c>
      <c r="H1633" s="35" t="s">
        <v>49</v>
      </c>
      <c r="I1633" s="4"/>
    </row>
    <row r="1634" customFormat="false" ht="15" hidden="false" customHeight="false" outlineLevel="0" collapsed="false">
      <c r="A1634" s="35" t="s">
        <v>4431</v>
      </c>
      <c r="B1634" s="35" t="s">
        <v>4432</v>
      </c>
      <c r="C1634" s="35" t="s">
        <v>48</v>
      </c>
      <c r="D1634" s="35" t="s">
        <v>146</v>
      </c>
      <c r="E1634" s="35"/>
      <c r="F1634" s="35"/>
      <c r="G1634" s="35" t="s">
        <v>49</v>
      </c>
      <c r="H1634" s="35" t="s">
        <v>49</v>
      </c>
      <c r="I1634" s="4"/>
    </row>
    <row r="1635" customFormat="false" ht="15" hidden="false" customHeight="false" outlineLevel="0" collapsed="false">
      <c r="A1635" s="35" t="s">
        <v>4433</v>
      </c>
      <c r="B1635" s="35" t="s">
        <v>4434</v>
      </c>
      <c r="C1635" s="35" t="s">
        <v>48</v>
      </c>
      <c r="D1635" s="35" t="s">
        <v>146</v>
      </c>
      <c r="E1635" s="35"/>
      <c r="F1635" s="35"/>
      <c r="G1635" s="35" t="s">
        <v>49</v>
      </c>
      <c r="H1635" s="35" t="s">
        <v>49</v>
      </c>
      <c r="I1635" s="4"/>
    </row>
    <row r="1636" customFormat="false" ht="15" hidden="false" customHeight="false" outlineLevel="0" collapsed="false">
      <c r="A1636" s="35" t="s">
        <v>4435</v>
      </c>
      <c r="B1636" s="35" t="s">
        <v>4436</v>
      </c>
      <c r="C1636" s="35" t="s">
        <v>48</v>
      </c>
      <c r="D1636" s="35" t="s">
        <v>146</v>
      </c>
      <c r="E1636" s="35"/>
      <c r="F1636" s="35"/>
      <c r="G1636" s="35" t="s">
        <v>49</v>
      </c>
      <c r="H1636" s="35" t="s">
        <v>49</v>
      </c>
      <c r="I1636" s="4"/>
    </row>
    <row r="1637" customFormat="false" ht="15" hidden="false" customHeight="false" outlineLevel="0" collapsed="false">
      <c r="A1637" s="35" t="s">
        <v>4437</v>
      </c>
      <c r="B1637" s="35" t="s">
        <v>4438</v>
      </c>
      <c r="C1637" s="35" t="s">
        <v>48</v>
      </c>
      <c r="D1637" s="35" t="s">
        <v>114</v>
      </c>
      <c r="E1637" s="35"/>
      <c r="F1637" s="35" t="s">
        <v>3711</v>
      </c>
      <c r="G1637" s="35" t="s">
        <v>328</v>
      </c>
      <c r="H1637" s="35" t="s">
        <v>61</v>
      </c>
      <c r="I1637" s="4"/>
    </row>
    <row r="1638" customFormat="false" ht="15" hidden="false" customHeight="false" outlineLevel="0" collapsed="false">
      <c r="A1638" s="35" t="s">
        <v>1591</v>
      </c>
      <c r="B1638" s="35" t="s">
        <v>4439</v>
      </c>
      <c r="C1638" s="35" t="s">
        <v>48</v>
      </c>
      <c r="D1638" s="35" t="s">
        <v>107</v>
      </c>
      <c r="E1638" s="35" t="s">
        <v>1590</v>
      </c>
      <c r="F1638" s="35"/>
      <c r="G1638" s="35" t="s">
        <v>711</v>
      </c>
      <c r="H1638" s="35" t="s">
        <v>61</v>
      </c>
      <c r="I1638" s="4"/>
    </row>
    <row r="1639" customFormat="false" ht="15" hidden="false" customHeight="false" outlineLevel="0" collapsed="false">
      <c r="A1639" s="35" t="s">
        <v>1581</v>
      </c>
      <c r="B1639" s="35" t="s">
        <v>4440</v>
      </c>
      <c r="C1639" s="35" t="s">
        <v>48</v>
      </c>
      <c r="D1639" s="35" t="s">
        <v>107</v>
      </c>
      <c r="E1639" s="35" t="s">
        <v>1580</v>
      </c>
      <c r="F1639" s="35"/>
      <c r="G1639" s="35" t="s">
        <v>433</v>
      </c>
      <c r="H1639" s="35" t="s">
        <v>61</v>
      </c>
      <c r="I1639" s="4"/>
    </row>
    <row r="1640" customFormat="false" ht="15" hidden="false" customHeight="false" outlineLevel="0" collapsed="false">
      <c r="A1640" s="35" t="s">
        <v>4441</v>
      </c>
      <c r="B1640" s="35" t="s">
        <v>4442</v>
      </c>
      <c r="C1640" s="35" t="s">
        <v>48</v>
      </c>
      <c r="D1640" s="35" t="s">
        <v>107</v>
      </c>
      <c r="E1640" s="35" t="s">
        <v>850</v>
      </c>
      <c r="F1640" s="35"/>
      <c r="G1640" s="35" t="s">
        <v>433</v>
      </c>
      <c r="H1640" s="35" t="s">
        <v>245</v>
      </c>
      <c r="I1640" s="4"/>
    </row>
    <row r="1641" customFormat="false" ht="15" hidden="false" customHeight="false" outlineLevel="0" collapsed="false">
      <c r="A1641" s="35" t="s">
        <v>4443</v>
      </c>
      <c r="B1641" s="35" t="s">
        <v>4444</v>
      </c>
      <c r="C1641" s="35" t="s">
        <v>48</v>
      </c>
      <c r="D1641" s="35" t="s">
        <v>57</v>
      </c>
      <c r="E1641" s="35" t="s">
        <v>724</v>
      </c>
      <c r="F1641" s="35"/>
      <c r="G1641" s="35" t="s">
        <v>99</v>
      </c>
      <c r="H1641" s="35" t="s">
        <v>61</v>
      </c>
      <c r="I1641" s="4"/>
    </row>
    <row r="1642" customFormat="false" ht="15" hidden="false" customHeight="false" outlineLevel="0" collapsed="false">
      <c r="A1642" s="35" t="s">
        <v>4445</v>
      </c>
      <c r="B1642" s="35" t="s">
        <v>4446</v>
      </c>
      <c r="C1642" s="35" t="s">
        <v>48</v>
      </c>
      <c r="D1642" s="35" t="s">
        <v>57</v>
      </c>
      <c r="E1642" s="35" t="s">
        <v>756</v>
      </c>
      <c r="F1642" s="35"/>
      <c r="G1642" s="35" t="s">
        <v>99</v>
      </c>
      <c r="H1642" s="35" t="s">
        <v>61</v>
      </c>
      <c r="I1642" s="4"/>
    </row>
    <row r="1643" customFormat="false" ht="15" hidden="false" customHeight="false" outlineLevel="0" collapsed="false">
      <c r="A1643" s="35" t="s">
        <v>4447</v>
      </c>
      <c r="B1643" s="35" t="s">
        <v>4448</v>
      </c>
      <c r="C1643" s="35" t="s">
        <v>48</v>
      </c>
      <c r="D1643" s="35" t="s">
        <v>57</v>
      </c>
      <c r="E1643" s="35" t="s">
        <v>45</v>
      </c>
      <c r="F1643" s="35"/>
      <c r="G1643" s="35" t="s">
        <v>99</v>
      </c>
      <c r="H1643" s="35" t="s">
        <v>61</v>
      </c>
      <c r="I1643" s="4"/>
    </row>
    <row r="1644" customFormat="false" ht="15" hidden="false" customHeight="false" outlineLevel="0" collapsed="false">
      <c r="A1644" s="35" t="s">
        <v>4449</v>
      </c>
      <c r="B1644" s="35" t="s">
        <v>4450</v>
      </c>
      <c r="C1644" s="35" t="s">
        <v>48</v>
      </c>
      <c r="D1644" s="35" t="s">
        <v>53</v>
      </c>
      <c r="E1644" s="35"/>
      <c r="F1644" s="35"/>
      <c r="G1644" s="35" t="s">
        <v>99</v>
      </c>
      <c r="H1644" s="35" t="s">
        <v>61</v>
      </c>
      <c r="I1644" s="4"/>
    </row>
    <row r="1645" customFormat="false" ht="15" hidden="false" customHeight="false" outlineLevel="0" collapsed="false">
      <c r="A1645" s="35" t="s">
        <v>4451</v>
      </c>
      <c r="B1645" s="35" t="s">
        <v>4452</v>
      </c>
      <c r="C1645" s="35" t="s">
        <v>48</v>
      </c>
      <c r="D1645" s="35" t="s">
        <v>57</v>
      </c>
      <c r="E1645" s="35" t="s">
        <v>1163</v>
      </c>
      <c r="F1645" s="35"/>
      <c r="G1645" s="35" t="s">
        <v>99</v>
      </c>
      <c r="H1645" s="35" t="s">
        <v>61</v>
      </c>
      <c r="I1645" s="4"/>
    </row>
    <row r="1646" customFormat="false" ht="15" hidden="false" customHeight="false" outlineLevel="0" collapsed="false">
      <c r="A1646" s="35" t="s">
        <v>4453</v>
      </c>
      <c r="B1646" s="35" t="s">
        <v>4454</v>
      </c>
      <c r="C1646" s="35" t="s">
        <v>48</v>
      </c>
      <c r="D1646" s="35" t="s">
        <v>157</v>
      </c>
      <c r="E1646" s="35"/>
      <c r="F1646" s="35"/>
      <c r="G1646" s="35" t="s">
        <v>99</v>
      </c>
      <c r="H1646" s="35" t="s">
        <v>61</v>
      </c>
      <c r="I1646" s="4"/>
    </row>
    <row r="1647" customFormat="false" ht="15" hidden="false" customHeight="false" outlineLevel="0" collapsed="false">
      <c r="A1647" s="35" t="s">
        <v>4455</v>
      </c>
      <c r="B1647" s="35" t="s">
        <v>4456</v>
      </c>
      <c r="C1647" s="35" t="s">
        <v>48</v>
      </c>
      <c r="D1647" s="35" t="s">
        <v>114</v>
      </c>
      <c r="E1647" s="35"/>
      <c r="F1647" s="35"/>
      <c r="G1647" s="35" t="s">
        <v>99</v>
      </c>
      <c r="H1647" s="35" t="s">
        <v>61</v>
      </c>
      <c r="I1647" s="4"/>
    </row>
    <row r="1648" customFormat="false" ht="15" hidden="false" customHeight="false" outlineLevel="0" collapsed="false">
      <c r="A1648" s="35" t="s">
        <v>1557</v>
      </c>
      <c r="B1648" s="35" t="s">
        <v>4457</v>
      </c>
      <c r="C1648" s="35" t="s">
        <v>48</v>
      </c>
      <c r="D1648" s="35" t="s">
        <v>107</v>
      </c>
      <c r="E1648" s="35" t="s">
        <v>1556</v>
      </c>
      <c r="F1648" s="35"/>
      <c r="G1648" s="35" t="s">
        <v>99</v>
      </c>
      <c r="H1648" s="35" t="s">
        <v>61</v>
      </c>
      <c r="I1648" s="4"/>
    </row>
    <row r="1649" customFormat="false" ht="15" hidden="false" customHeight="false" outlineLevel="0" collapsed="false">
      <c r="A1649" s="35" t="s">
        <v>4458</v>
      </c>
      <c r="B1649" s="35" t="s">
        <v>4459</v>
      </c>
      <c r="C1649" s="35" t="s">
        <v>48</v>
      </c>
      <c r="D1649" s="35" t="s">
        <v>107</v>
      </c>
      <c r="E1649" s="35" t="s">
        <v>758</v>
      </c>
      <c r="F1649" s="35"/>
      <c r="G1649" s="35" t="s">
        <v>99</v>
      </c>
      <c r="H1649" s="35" t="s">
        <v>61</v>
      </c>
      <c r="I1649" s="4"/>
    </row>
    <row r="1650" customFormat="false" ht="15" hidden="false" customHeight="false" outlineLevel="0" collapsed="false">
      <c r="A1650" s="35" t="s">
        <v>4460</v>
      </c>
      <c r="B1650" s="35" t="s">
        <v>4461</v>
      </c>
      <c r="C1650" s="35" t="s">
        <v>48</v>
      </c>
      <c r="D1650" s="35" t="s">
        <v>107</v>
      </c>
      <c r="E1650" s="35" t="s">
        <v>1163</v>
      </c>
      <c r="F1650" s="35"/>
      <c r="G1650" s="35" t="s">
        <v>99</v>
      </c>
      <c r="H1650" s="35" t="s">
        <v>61</v>
      </c>
      <c r="I1650" s="4"/>
    </row>
    <row r="1651" customFormat="false" ht="15" hidden="false" customHeight="false" outlineLevel="0" collapsed="false">
      <c r="A1651" s="35" t="s">
        <v>4462</v>
      </c>
      <c r="B1651" s="35" t="s">
        <v>4463</v>
      </c>
      <c r="C1651" s="35" t="s">
        <v>48</v>
      </c>
      <c r="D1651" s="35" t="s">
        <v>114</v>
      </c>
      <c r="E1651" s="35"/>
      <c r="F1651" s="35"/>
      <c r="G1651" s="35" t="s">
        <v>99</v>
      </c>
      <c r="H1651" s="35" t="s">
        <v>61</v>
      </c>
      <c r="I1651" s="4"/>
    </row>
    <row r="1652" customFormat="false" ht="15" hidden="false" customHeight="false" outlineLevel="0" collapsed="false">
      <c r="A1652" s="35" t="s">
        <v>4464</v>
      </c>
      <c r="B1652" s="35" t="s">
        <v>4465</v>
      </c>
      <c r="C1652" s="35" t="s">
        <v>48</v>
      </c>
      <c r="D1652" s="35" t="s">
        <v>447</v>
      </c>
      <c r="E1652" s="35"/>
      <c r="F1652" s="35"/>
      <c r="G1652" s="35" t="s">
        <v>679</v>
      </c>
      <c r="H1652" s="35" t="s">
        <v>61</v>
      </c>
      <c r="I1652" s="4"/>
    </row>
    <row r="1653" customFormat="false" ht="15" hidden="false" customHeight="false" outlineLevel="0" collapsed="false">
      <c r="A1653" s="35" t="s">
        <v>4466</v>
      </c>
      <c r="B1653" s="35" t="s">
        <v>4467</v>
      </c>
      <c r="C1653" s="35" t="s">
        <v>48</v>
      </c>
      <c r="D1653" s="35" t="s">
        <v>447</v>
      </c>
      <c r="E1653" s="35"/>
      <c r="F1653" s="35"/>
      <c r="G1653" s="35" t="s">
        <v>679</v>
      </c>
      <c r="H1653" s="35" t="s">
        <v>61</v>
      </c>
      <c r="I1653" s="4"/>
    </row>
    <row r="1654" customFormat="false" ht="15" hidden="false" customHeight="false" outlineLevel="0" collapsed="false">
      <c r="A1654" s="35" t="s">
        <v>4468</v>
      </c>
      <c r="B1654" s="35" t="s">
        <v>4468</v>
      </c>
      <c r="C1654" s="35" t="s">
        <v>48</v>
      </c>
      <c r="D1654" s="35" t="s">
        <v>53</v>
      </c>
      <c r="E1654" s="35"/>
      <c r="F1654" s="35"/>
      <c r="G1654" s="35" t="s">
        <v>679</v>
      </c>
      <c r="H1654" s="35" t="s">
        <v>61</v>
      </c>
      <c r="I1654" s="4"/>
    </row>
    <row r="1655" customFormat="false" ht="15" hidden="false" customHeight="false" outlineLevel="0" collapsed="false">
      <c r="A1655" s="35" t="s">
        <v>4469</v>
      </c>
      <c r="B1655" s="35" t="s">
        <v>4470</v>
      </c>
      <c r="C1655" s="35" t="s">
        <v>48</v>
      </c>
      <c r="D1655" s="35" t="s">
        <v>53</v>
      </c>
      <c r="E1655" s="35"/>
      <c r="F1655" s="35"/>
      <c r="G1655" s="35" t="s">
        <v>679</v>
      </c>
      <c r="H1655" s="35" t="s">
        <v>61</v>
      </c>
      <c r="I1655" s="4"/>
    </row>
    <row r="1656" customFormat="false" ht="15" hidden="false" customHeight="false" outlineLevel="0" collapsed="false">
      <c r="A1656" s="35" t="s">
        <v>4471</v>
      </c>
      <c r="B1656" s="35" t="s">
        <v>4472</v>
      </c>
      <c r="C1656" s="35" t="s">
        <v>48</v>
      </c>
      <c r="D1656" s="35" t="s">
        <v>53</v>
      </c>
      <c r="E1656" s="35"/>
      <c r="F1656" s="35"/>
      <c r="G1656" s="35" t="s">
        <v>679</v>
      </c>
      <c r="H1656" s="35" t="s">
        <v>61</v>
      </c>
      <c r="I1656" s="4"/>
    </row>
    <row r="1657" customFormat="false" ht="15" hidden="false" customHeight="false" outlineLevel="0" collapsed="false">
      <c r="A1657" s="35" t="s">
        <v>4473</v>
      </c>
      <c r="B1657" s="35" t="s">
        <v>4474</v>
      </c>
      <c r="C1657" s="35" t="s">
        <v>48</v>
      </c>
      <c r="D1657" s="35" t="s">
        <v>157</v>
      </c>
      <c r="E1657" s="35"/>
      <c r="F1657" s="35"/>
      <c r="G1657" s="35" t="s">
        <v>679</v>
      </c>
      <c r="H1657" s="35" t="s">
        <v>61</v>
      </c>
      <c r="I1657" s="4"/>
    </row>
    <row r="1658" customFormat="false" ht="15" hidden="false" customHeight="false" outlineLevel="0" collapsed="false">
      <c r="A1658" s="35" t="s">
        <v>4475</v>
      </c>
      <c r="B1658" s="35" t="s">
        <v>4476</v>
      </c>
      <c r="C1658" s="35" t="s">
        <v>48</v>
      </c>
      <c r="D1658" s="35" t="s">
        <v>114</v>
      </c>
      <c r="E1658" s="35"/>
      <c r="F1658" s="35"/>
      <c r="G1658" s="35" t="s">
        <v>679</v>
      </c>
      <c r="H1658" s="35" t="s">
        <v>61</v>
      </c>
      <c r="I1658" s="4"/>
    </row>
    <row r="1659" customFormat="false" ht="15" hidden="false" customHeight="false" outlineLevel="0" collapsed="false">
      <c r="A1659" s="35" t="s">
        <v>4477</v>
      </c>
      <c r="B1659" s="35" t="s">
        <v>4478</v>
      </c>
      <c r="C1659" s="35" t="s">
        <v>48</v>
      </c>
      <c r="D1659" s="35" t="s">
        <v>107</v>
      </c>
      <c r="E1659" s="35" t="s">
        <v>934</v>
      </c>
      <c r="F1659" s="35"/>
      <c r="G1659" s="35" t="s">
        <v>679</v>
      </c>
      <c r="H1659" s="35" t="s">
        <v>61</v>
      </c>
      <c r="I1659" s="4"/>
    </row>
    <row r="1660" customFormat="false" ht="15" hidden="false" customHeight="false" outlineLevel="0" collapsed="false">
      <c r="A1660" s="35" t="s">
        <v>4479</v>
      </c>
      <c r="B1660" s="35" t="s">
        <v>4480</v>
      </c>
      <c r="C1660" s="35" t="s">
        <v>48</v>
      </c>
      <c r="D1660" s="35" t="s">
        <v>146</v>
      </c>
      <c r="E1660" s="35"/>
      <c r="F1660" s="35"/>
      <c r="G1660" s="35" t="s">
        <v>679</v>
      </c>
      <c r="H1660" s="35" t="s">
        <v>61</v>
      </c>
      <c r="I1660" s="4"/>
    </row>
    <row r="1661" customFormat="false" ht="15" hidden="false" customHeight="false" outlineLevel="0" collapsed="false">
      <c r="A1661" s="35" t="s">
        <v>4481</v>
      </c>
      <c r="B1661" s="35" t="s">
        <v>4482</v>
      </c>
      <c r="C1661" s="35" t="s">
        <v>48</v>
      </c>
      <c r="D1661" s="35" t="s">
        <v>53</v>
      </c>
      <c r="E1661" s="35"/>
      <c r="F1661" s="35"/>
      <c r="G1661" s="35" t="s">
        <v>679</v>
      </c>
      <c r="H1661" s="35" t="s">
        <v>61</v>
      </c>
      <c r="I1661" s="4"/>
    </row>
    <row r="1662" customFormat="false" ht="15" hidden="false" customHeight="false" outlineLevel="0" collapsed="false">
      <c r="A1662" s="35" t="s">
        <v>4483</v>
      </c>
      <c r="B1662" s="35" t="s">
        <v>4484</v>
      </c>
      <c r="C1662" s="35" t="s">
        <v>48</v>
      </c>
      <c r="D1662" s="35" t="s">
        <v>157</v>
      </c>
      <c r="E1662" s="35"/>
      <c r="F1662" s="35"/>
      <c r="G1662" s="35" t="s">
        <v>679</v>
      </c>
      <c r="H1662" s="35" t="s">
        <v>61</v>
      </c>
      <c r="I1662" s="4"/>
    </row>
    <row r="1663" customFormat="false" ht="15" hidden="false" customHeight="false" outlineLevel="0" collapsed="false">
      <c r="A1663" s="35" t="s">
        <v>4485</v>
      </c>
      <c r="B1663" s="35" t="s">
        <v>4486</v>
      </c>
      <c r="C1663" s="35" t="s">
        <v>48</v>
      </c>
      <c r="D1663" s="35" t="s">
        <v>146</v>
      </c>
      <c r="E1663" s="35"/>
      <c r="F1663" s="35"/>
      <c r="G1663" s="35" t="s">
        <v>679</v>
      </c>
      <c r="H1663" s="35" t="s">
        <v>61</v>
      </c>
      <c r="I1663" s="4"/>
    </row>
    <row r="1664" customFormat="false" ht="15" hidden="false" customHeight="false" outlineLevel="0" collapsed="false">
      <c r="A1664" s="35" t="s">
        <v>4487</v>
      </c>
      <c r="B1664" s="35" t="s">
        <v>4488</v>
      </c>
      <c r="C1664" s="35" t="s">
        <v>48</v>
      </c>
      <c r="D1664" s="35" t="s">
        <v>146</v>
      </c>
      <c r="E1664" s="35"/>
      <c r="F1664" s="35"/>
      <c r="G1664" s="35" t="s">
        <v>679</v>
      </c>
      <c r="H1664" s="35" t="s">
        <v>61</v>
      </c>
      <c r="I1664" s="4"/>
    </row>
    <row r="1665" customFormat="false" ht="15" hidden="false" customHeight="false" outlineLevel="0" collapsed="false">
      <c r="A1665" s="35" t="s">
        <v>4489</v>
      </c>
      <c r="B1665" s="35" t="s">
        <v>4490</v>
      </c>
      <c r="C1665" s="35" t="s">
        <v>48</v>
      </c>
      <c r="D1665" s="35" t="s">
        <v>114</v>
      </c>
      <c r="E1665" s="35"/>
      <c r="F1665" s="35"/>
      <c r="G1665" s="35" t="s">
        <v>679</v>
      </c>
      <c r="H1665" s="35" t="s">
        <v>61</v>
      </c>
      <c r="I1665" s="4"/>
    </row>
    <row r="1666" customFormat="false" ht="15" hidden="false" customHeight="false" outlineLevel="0" collapsed="false">
      <c r="A1666" s="35" t="s">
        <v>4491</v>
      </c>
      <c r="B1666" s="35" t="s">
        <v>4491</v>
      </c>
      <c r="C1666" s="35" t="s">
        <v>48</v>
      </c>
      <c r="D1666" s="35" t="s">
        <v>53</v>
      </c>
      <c r="E1666" s="35"/>
      <c r="F1666" s="35"/>
      <c r="G1666" s="35" t="s">
        <v>679</v>
      </c>
      <c r="H1666" s="35" t="s">
        <v>61</v>
      </c>
      <c r="I1666" s="4"/>
    </row>
    <row r="1667" customFormat="false" ht="15" hidden="false" customHeight="false" outlineLevel="0" collapsed="false">
      <c r="A1667" s="35" t="s">
        <v>4492</v>
      </c>
      <c r="B1667" s="35" t="s">
        <v>4493</v>
      </c>
      <c r="C1667" s="35" t="s">
        <v>48</v>
      </c>
      <c r="D1667" s="35" t="s">
        <v>53</v>
      </c>
      <c r="E1667" s="35"/>
      <c r="F1667" s="35"/>
      <c r="G1667" s="35" t="s">
        <v>679</v>
      </c>
      <c r="H1667" s="35" t="s">
        <v>61</v>
      </c>
      <c r="I1667" s="4"/>
    </row>
    <row r="1668" customFormat="false" ht="15" hidden="false" customHeight="false" outlineLevel="0" collapsed="false">
      <c r="A1668" s="35" t="s">
        <v>4494</v>
      </c>
      <c r="B1668" s="35" t="s">
        <v>4495</v>
      </c>
      <c r="C1668" s="35" t="s">
        <v>48</v>
      </c>
      <c r="D1668" s="35" t="s">
        <v>53</v>
      </c>
      <c r="E1668" s="35"/>
      <c r="F1668" s="35"/>
      <c r="G1668" s="35" t="s">
        <v>679</v>
      </c>
      <c r="H1668" s="35" t="s">
        <v>61</v>
      </c>
      <c r="I1668" s="4"/>
    </row>
    <row r="1669" customFormat="false" ht="15" hidden="false" customHeight="false" outlineLevel="0" collapsed="false">
      <c r="A1669" s="35" t="s">
        <v>4496</v>
      </c>
      <c r="B1669" s="35" t="s">
        <v>4497</v>
      </c>
      <c r="C1669" s="35" t="s">
        <v>48</v>
      </c>
      <c r="D1669" s="35" t="s">
        <v>157</v>
      </c>
      <c r="E1669" s="35"/>
      <c r="F1669" s="35"/>
      <c r="G1669" s="35" t="s">
        <v>679</v>
      </c>
      <c r="H1669" s="35" t="s">
        <v>61</v>
      </c>
      <c r="I1669" s="4"/>
    </row>
    <row r="1670" customFormat="false" ht="15" hidden="false" customHeight="false" outlineLevel="0" collapsed="false">
      <c r="A1670" s="35" t="s">
        <v>4498</v>
      </c>
      <c r="B1670" s="35" t="s">
        <v>4499</v>
      </c>
      <c r="C1670" s="35" t="s">
        <v>48</v>
      </c>
      <c r="D1670" s="35" t="s">
        <v>114</v>
      </c>
      <c r="E1670" s="35"/>
      <c r="F1670" s="35"/>
      <c r="G1670" s="35" t="s">
        <v>679</v>
      </c>
      <c r="H1670" s="35" t="s">
        <v>61</v>
      </c>
      <c r="I1670" s="4"/>
    </row>
    <row r="1671" customFormat="false" ht="15" hidden="false" customHeight="false" outlineLevel="0" collapsed="false">
      <c r="A1671" s="35" t="s">
        <v>4500</v>
      </c>
      <c r="B1671" s="35" t="s">
        <v>4501</v>
      </c>
      <c r="C1671" s="35" t="s">
        <v>48</v>
      </c>
      <c r="D1671" s="35" t="s">
        <v>107</v>
      </c>
      <c r="E1671" s="35" t="s">
        <v>934</v>
      </c>
      <c r="F1671" s="35"/>
      <c r="G1671" s="35" t="s">
        <v>679</v>
      </c>
      <c r="H1671" s="35" t="s">
        <v>61</v>
      </c>
      <c r="I1671" s="4"/>
    </row>
    <row r="1672" customFormat="false" ht="15" hidden="false" customHeight="false" outlineLevel="0" collapsed="false">
      <c r="A1672" s="35" t="s">
        <v>4502</v>
      </c>
      <c r="B1672" s="35" t="s">
        <v>4503</v>
      </c>
      <c r="C1672" s="35" t="s">
        <v>48</v>
      </c>
      <c r="D1672" s="35" t="s">
        <v>146</v>
      </c>
      <c r="E1672" s="35"/>
      <c r="F1672" s="35"/>
      <c r="G1672" s="35" t="s">
        <v>679</v>
      </c>
      <c r="H1672" s="35" t="s">
        <v>61</v>
      </c>
      <c r="I1672" s="4"/>
    </row>
    <row r="1673" customFormat="false" ht="15" hidden="false" customHeight="false" outlineLevel="0" collapsed="false">
      <c r="A1673" s="35" t="s">
        <v>4504</v>
      </c>
      <c r="B1673" s="35" t="s">
        <v>4505</v>
      </c>
      <c r="C1673" s="35" t="s">
        <v>48</v>
      </c>
      <c r="D1673" s="35" t="s">
        <v>53</v>
      </c>
      <c r="E1673" s="35"/>
      <c r="F1673" s="35"/>
      <c r="G1673" s="35" t="s">
        <v>679</v>
      </c>
      <c r="H1673" s="35" t="s">
        <v>61</v>
      </c>
      <c r="I1673" s="4"/>
    </row>
    <row r="1674" customFormat="false" ht="15" hidden="false" customHeight="false" outlineLevel="0" collapsed="false">
      <c r="A1674" s="35" t="s">
        <v>4506</v>
      </c>
      <c r="B1674" s="35" t="s">
        <v>4507</v>
      </c>
      <c r="C1674" s="35" t="s">
        <v>48</v>
      </c>
      <c r="D1674" s="35" t="s">
        <v>157</v>
      </c>
      <c r="E1674" s="35"/>
      <c r="F1674" s="35"/>
      <c r="G1674" s="35" t="s">
        <v>679</v>
      </c>
      <c r="H1674" s="35" t="s">
        <v>61</v>
      </c>
      <c r="I1674" s="4"/>
    </row>
    <row r="1675" customFormat="false" ht="15" hidden="false" customHeight="false" outlineLevel="0" collapsed="false">
      <c r="A1675" s="35" t="s">
        <v>4508</v>
      </c>
      <c r="B1675" s="35" t="s">
        <v>4509</v>
      </c>
      <c r="C1675" s="35" t="s">
        <v>48</v>
      </c>
      <c r="D1675" s="35" t="s">
        <v>114</v>
      </c>
      <c r="E1675" s="35"/>
      <c r="F1675" s="35"/>
      <c r="G1675" s="35" t="s">
        <v>679</v>
      </c>
      <c r="H1675" s="35" t="s">
        <v>61</v>
      </c>
      <c r="I1675" s="4"/>
    </row>
    <row r="1676" customFormat="false" ht="15" hidden="false" customHeight="false" outlineLevel="0" collapsed="false">
      <c r="A1676" s="35" t="s">
        <v>4510</v>
      </c>
      <c r="B1676" s="35" t="s">
        <v>4511</v>
      </c>
      <c r="C1676" s="35" t="s">
        <v>48</v>
      </c>
      <c r="D1676" s="35" t="s">
        <v>146</v>
      </c>
      <c r="E1676" s="35"/>
      <c r="F1676" s="35"/>
      <c r="G1676" s="35" t="s">
        <v>679</v>
      </c>
      <c r="H1676" s="35" t="s">
        <v>61</v>
      </c>
      <c r="I1676" s="4"/>
    </row>
    <row r="1677" customFormat="false" ht="15" hidden="false" customHeight="false" outlineLevel="0" collapsed="false">
      <c r="A1677" s="35" t="s">
        <v>4512</v>
      </c>
      <c r="B1677" s="35" t="s">
        <v>4513</v>
      </c>
      <c r="C1677" s="35" t="s">
        <v>48</v>
      </c>
      <c r="D1677" s="35" t="s">
        <v>447</v>
      </c>
      <c r="E1677" s="35"/>
      <c r="F1677" s="35"/>
      <c r="G1677" s="35" t="s">
        <v>679</v>
      </c>
      <c r="H1677" s="35" t="s">
        <v>61</v>
      </c>
      <c r="I1677" s="4"/>
    </row>
    <row r="1678" customFormat="false" ht="15" hidden="false" customHeight="false" outlineLevel="0" collapsed="false">
      <c r="A1678" s="35" t="s">
        <v>4514</v>
      </c>
      <c r="B1678" s="35" t="s">
        <v>4514</v>
      </c>
      <c r="C1678" s="35" t="s">
        <v>48</v>
      </c>
      <c r="D1678" s="35" t="s">
        <v>53</v>
      </c>
      <c r="E1678" s="35"/>
      <c r="F1678" s="35"/>
      <c r="G1678" s="35" t="s">
        <v>679</v>
      </c>
      <c r="H1678" s="35" t="s">
        <v>61</v>
      </c>
      <c r="I1678" s="4"/>
    </row>
    <row r="1679" customFormat="false" ht="15" hidden="false" customHeight="false" outlineLevel="0" collapsed="false">
      <c r="A1679" s="35" t="s">
        <v>4515</v>
      </c>
      <c r="B1679" s="35" t="s">
        <v>4516</v>
      </c>
      <c r="C1679" s="35" t="s">
        <v>48</v>
      </c>
      <c r="D1679" s="35" t="s">
        <v>53</v>
      </c>
      <c r="E1679" s="35"/>
      <c r="F1679" s="35"/>
      <c r="G1679" s="35" t="s">
        <v>679</v>
      </c>
      <c r="H1679" s="35" t="s">
        <v>61</v>
      </c>
      <c r="I1679" s="4"/>
    </row>
    <row r="1680" customFormat="false" ht="15" hidden="false" customHeight="false" outlineLevel="0" collapsed="false">
      <c r="A1680" s="35" t="s">
        <v>4517</v>
      </c>
      <c r="B1680" s="35" t="s">
        <v>4518</v>
      </c>
      <c r="C1680" s="35" t="s">
        <v>48</v>
      </c>
      <c r="D1680" s="35" t="s">
        <v>157</v>
      </c>
      <c r="E1680" s="35"/>
      <c r="F1680" s="35"/>
      <c r="G1680" s="35" t="s">
        <v>679</v>
      </c>
      <c r="H1680" s="35" t="s">
        <v>61</v>
      </c>
      <c r="I1680" s="4"/>
    </row>
    <row r="1681" customFormat="false" ht="15" hidden="false" customHeight="false" outlineLevel="0" collapsed="false">
      <c r="A1681" s="35" t="s">
        <v>4519</v>
      </c>
      <c r="B1681" s="35" t="s">
        <v>4520</v>
      </c>
      <c r="C1681" s="35" t="s">
        <v>48</v>
      </c>
      <c r="D1681" s="35" t="s">
        <v>53</v>
      </c>
      <c r="E1681" s="35"/>
      <c r="F1681" s="35"/>
      <c r="G1681" s="35" t="s">
        <v>679</v>
      </c>
      <c r="H1681" s="35" t="s">
        <v>61</v>
      </c>
      <c r="I1681" s="4"/>
    </row>
    <row r="1682" customFormat="false" ht="15" hidden="false" customHeight="false" outlineLevel="0" collapsed="false">
      <c r="A1682" s="35" t="s">
        <v>4521</v>
      </c>
      <c r="B1682" s="35" t="s">
        <v>4522</v>
      </c>
      <c r="C1682" s="35" t="s">
        <v>48</v>
      </c>
      <c r="D1682" s="35" t="s">
        <v>157</v>
      </c>
      <c r="E1682" s="35"/>
      <c r="F1682" s="35"/>
      <c r="G1682" s="35" t="s">
        <v>679</v>
      </c>
      <c r="H1682" s="35" t="s">
        <v>61</v>
      </c>
      <c r="I1682" s="4"/>
    </row>
    <row r="1683" customFormat="false" ht="15" hidden="false" customHeight="false" outlineLevel="0" collapsed="false">
      <c r="A1683" s="35" t="s">
        <v>4523</v>
      </c>
      <c r="B1683" s="35" t="s">
        <v>4524</v>
      </c>
      <c r="C1683" s="35" t="s">
        <v>48</v>
      </c>
      <c r="D1683" s="35" t="s">
        <v>57</v>
      </c>
      <c r="E1683" s="35" t="s">
        <v>834</v>
      </c>
      <c r="F1683" s="35"/>
      <c r="G1683" s="35" t="s">
        <v>679</v>
      </c>
      <c r="H1683" s="35" t="s">
        <v>61</v>
      </c>
      <c r="I1683" s="4"/>
    </row>
    <row r="1684" customFormat="false" ht="15" hidden="false" customHeight="false" outlineLevel="0" collapsed="false">
      <c r="A1684" s="35" t="s">
        <v>4525</v>
      </c>
      <c r="B1684" s="35" t="s">
        <v>4526</v>
      </c>
      <c r="C1684" s="35" t="s">
        <v>48</v>
      </c>
      <c r="D1684" s="35" t="s">
        <v>447</v>
      </c>
      <c r="E1684" s="35"/>
      <c r="F1684" s="35"/>
      <c r="G1684" s="35" t="s">
        <v>679</v>
      </c>
      <c r="H1684" s="35" t="s">
        <v>61</v>
      </c>
      <c r="I1684" s="4"/>
    </row>
    <row r="1685" customFormat="false" ht="15" hidden="false" customHeight="false" outlineLevel="0" collapsed="false">
      <c r="A1685" s="35" t="s">
        <v>4527</v>
      </c>
      <c r="B1685" s="35" t="s">
        <v>4527</v>
      </c>
      <c r="C1685" s="35" t="s">
        <v>48</v>
      </c>
      <c r="D1685" s="35" t="s">
        <v>53</v>
      </c>
      <c r="E1685" s="35"/>
      <c r="F1685" s="35"/>
      <c r="G1685" s="35" t="s">
        <v>679</v>
      </c>
      <c r="H1685" s="35" t="s">
        <v>61</v>
      </c>
      <c r="I1685" s="4"/>
    </row>
    <row r="1686" customFormat="false" ht="15" hidden="false" customHeight="false" outlineLevel="0" collapsed="false">
      <c r="A1686" s="35" t="s">
        <v>4528</v>
      </c>
      <c r="B1686" s="35" t="s">
        <v>4529</v>
      </c>
      <c r="C1686" s="35" t="s">
        <v>48</v>
      </c>
      <c r="D1686" s="35" t="s">
        <v>53</v>
      </c>
      <c r="E1686" s="35"/>
      <c r="F1686" s="35"/>
      <c r="G1686" s="35" t="s">
        <v>679</v>
      </c>
      <c r="H1686" s="35" t="s">
        <v>61</v>
      </c>
      <c r="I1686" s="4"/>
    </row>
    <row r="1687" customFormat="false" ht="15" hidden="false" customHeight="false" outlineLevel="0" collapsed="false">
      <c r="A1687" s="35" t="s">
        <v>4530</v>
      </c>
      <c r="B1687" s="35" t="s">
        <v>4531</v>
      </c>
      <c r="C1687" s="35" t="s">
        <v>48</v>
      </c>
      <c r="D1687" s="35" t="s">
        <v>157</v>
      </c>
      <c r="E1687" s="35"/>
      <c r="F1687" s="35"/>
      <c r="G1687" s="35" t="s">
        <v>679</v>
      </c>
      <c r="H1687" s="35" t="s">
        <v>61</v>
      </c>
      <c r="I1687" s="4"/>
    </row>
    <row r="1688" customFormat="false" ht="15" hidden="false" customHeight="false" outlineLevel="0" collapsed="false">
      <c r="A1688" s="35" t="s">
        <v>4532</v>
      </c>
      <c r="B1688" s="35" t="s">
        <v>4533</v>
      </c>
      <c r="C1688" s="35" t="s">
        <v>48</v>
      </c>
      <c r="D1688" s="35" t="s">
        <v>53</v>
      </c>
      <c r="E1688" s="35"/>
      <c r="F1688" s="35"/>
      <c r="G1688" s="35" t="s">
        <v>679</v>
      </c>
      <c r="H1688" s="35" t="s">
        <v>61</v>
      </c>
      <c r="I1688" s="4"/>
    </row>
    <row r="1689" customFormat="false" ht="15" hidden="false" customHeight="false" outlineLevel="0" collapsed="false">
      <c r="A1689" s="35" t="s">
        <v>4534</v>
      </c>
      <c r="B1689" s="35" t="s">
        <v>4535</v>
      </c>
      <c r="C1689" s="35" t="s">
        <v>48</v>
      </c>
      <c r="D1689" s="35" t="s">
        <v>157</v>
      </c>
      <c r="E1689" s="35"/>
      <c r="F1689" s="35"/>
      <c r="G1689" s="35" t="s">
        <v>679</v>
      </c>
      <c r="H1689" s="35" t="s">
        <v>61</v>
      </c>
      <c r="I1689" s="4"/>
    </row>
    <row r="1690" customFormat="false" ht="15" hidden="false" customHeight="false" outlineLevel="0" collapsed="false">
      <c r="A1690" s="35" t="s">
        <v>4536</v>
      </c>
      <c r="B1690" s="35" t="s">
        <v>4537</v>
      </c>
      <c r="C1690" s="35" t="s">
        <v>48</v>
      </c>
      <c r="D1690" s="35" t="s">
        <v>157</v>
      </c>
      <c r="E1690" s="35"/>
      <c r="F1690" s="35"/>
      <c r="G1690" s="35" t="s">
        <v>421</v>
      </c>
      <c r="H1690" s="35" t="s">
        <v>61</v>
      </c>
      <c r="I1690" s="4"/>
    </row>
    <row r="1691" customFormat="false" ht="15" hidden="false" customHeight="false" outlineLevel="0" collapsed="false">
      <c r="A1691" s="35" t="s">
        <v>4538</v>
      </c>
      <c r="B1691" s="35" t="s">
        <v>4539</v>
      </c>
      <c r="C1691" s="35" t="s">
        <v>48</v>
      </c>
      <c r="D1691" s="35" t="s">
        <v>114</v>
      </c>
      <c r="E1691" s="35"/>
      <c r="F1691" s="35"/>
      <c r="G1691" s="35" t="s">
        <v>694</v>
      </c>
      <c r="H1691" s="35" t="s">
        <v>61</v>
      </c>
      <c r="I1691" s="4"/>
    </row>
    <row r="1692" customFormat="false" ht="15" hidden="false" customHeight="false" outlineLevel="0" collapsed="false">
      <c r="A1692" s="35" t="s">
        <v>4540</v>
      </c>
      <c r="B1692" s="35" t="s">
        <v>4541</v>
      </c>
      <c r="C1692" s="35" t="s">
        <v>48</v>
      </c>
      <c r="D1692" s="35" t="s">
        <v>114</v>
      </c>
      <c r="E1692" s="35"/>
      <c r="F1692" s="35"/>
      <c r="G1692" s="35" t="s">
        <v>694</v>
      </c>
      <c r="H1692" s="35" t="s">
        <v>61</v>
      </c>
      <c r="I1692" s="4"/>
    </row>
    <row r="1693" customFormat="false" ht="15" hidden="false" customHeight="false" outlineLevel="0" collapsed="false">
      <c r="A1693" s="35" t="s">
        <v>4542</v>
      </c>
      <c r="B1693" s="35" t="s">
        <v>4543</v>
      </c>
      <c r="C1693" s="35" t="s">
        <v>48</v>
      </c>
      <c r="D1693" s="35" t="s">
        <v>114</v>
      </c>
      <c r="E1693" s="35"/>
      <c r="F1693" s="35"/>
      <c r="G1693" s="35" t="s">
        <v>545</v>
      </c>
      <c r="H1693" s="35" t="s">
        <v>369</v>
      </c>
      <c r="I1693" s="4"/>
    </row>
    <row r="1694" customFormat="false" ht="15" hidden="false" customHeight="false" outlineLevel="0" collapsed="false">
      <c r="A1694" s="35" t="s">
        <v>4544</v>
      </c>
      <c r="B1694" s="35" t="s">
        <v>4545</v>
      </c>
      <c r="C1694" s="35" t="s">
        <v>48</v>
      </c>
      <c r="D1694" s="35" t="s">
        <v>114</v>
      </c>
      <c r="E1694" s="35"/>
      <c r="F1694" s="35"/>
      <c r="G1694" s="35" t="s">
        <v>545</v>
      </c>
      <c r="H1694" s="35" t="s">
        <v>369</v>
      </c>
      <c r="I1694" s="4"/>
    </row>
    <row r="1695" customFormat="false" ht="15" hidden="false" customHeight="false" outlineLevel="0" collapsed="false">
      <c r="A1695" s="35" t="s">
        <v>4546</v>
      </c>
      <c r="B1695" s="35" t="s">
        <v>4547</v>
      </c>
      <c r="C1695" s="35" t="s">
        <v>48</v>
      </c>
      <c r="D1695" s="35" t="s">
        <v>53</v>
      </c>
      <c r="E1695" s="35"/>
      <c r="F1695" s="35"/>
      <c r="G1695" s="35" t="s">
        <v>679</v>
      </c>
      <c r="H1695" s="35" t="s">
        <v>61</v>
      </c>
      <c r="I1695" s="4"/>
    </row>
    <row r="1696" customFormat="false" ht="15" hidden="false" customHeight="false" outlineLevel="0" collapsed="false">
      <c r="A1696" s="35" t="s">
        <v>4548</v>
      </c>
      <c r="B1696" s="35" t="s">
        <v>4549</v>
      </c>
      <c r="C1696" s="35" t="s">
        <v>48</v>
      </c>
      <c r="D1696" s="35" t="s">
        <v>447</v>
      </c>
      <c r="E1696" s="35"/>
      <c r="F1696" s="35"/>
      <c r="G1696" s="35" t="s">
        <v>679</v>
      </c>
      <c r="H1696" s="35" t="s">
        <v>61</v>
      </c>
      <c r="I1696" s="4"/>
    </row>
    <row r="1697" customFormat="false" ht="15" hidden="false" customHeight="false" outlineLevel="0" collapsed="false">
      <c r="A1697" s="35" t="s">
        <v>4550</v>
      </c>
      <c r="B1697" s="35" t="s">
        <v>4551</v>
      </c>
      <c r="C1697" s="35" t="s">
        <v>48</v>
      </c>
      <c r="D1697" s="35" t="s">
        <v>447</v>
      </c>
      <c r="E1697" s="35"/>
      <c r="F1697" s="35"/>
      <c r="G1697" s="35" t="s">
        <v>679</v>
      </c>
      <c r="H1697" s="35" t="s">
        <v>61</v>
      </c>
      <c r="I1697" s="4"/>
    </row>
    <row r="1698" customFormat="false" ht="15" hidden="false" customHeight="false" outlineLevel="0" collapsed="false">
      <c r="A1698" s="35" t="s">
        <v>4552</v>
      </c>
      <c r="B1698" s="35" t="s">
        <v>4553</v>
      </c>
      <c r="C1698" s="35" t="s">
        <v>48</v>
      </c>
      <c r="D1698" s="35" t="s">
        <v>447</v>
      </c>
      <c r="E1698" s="35"/>
      <c r="F1698" s="35"/>
      <c r="G1698" s="35" t="s">
        <v>679</v>
      </c>
      <c r="H1698" s="35" t="s">
        <v>61</v>
      </c>
      <c r="I1698" s="4"/>
    </row>
    <row r="1699" customFormat="false" ht="15" hidden="false" customHeight="false" outlineLevel="0" collapsed="false">
      <c r="A1699" s="35" t="s">
        <v>4554</v>
      </c>
      <c r="B1699" s="35" t="s">
        <v>4555</v>
      </c>
      <c r="C1699" s="35" t="s">
        <v>48</v>
      </c>
      <c r="D1699" s="35" t="s">
        <v>447</v>
      </c>
      <c r="E1699" s="35"/>
      <c r="F1699" s="35"/>
      <c r="G1699" s="35" t="s">
        <v>679</v>
      </c>
      <c r="H1699" s="35" t="s">
        <v>61</v>
      </c>
      <c r="I1699" s="4"/>
    </row>
    <row r="1700" customFormat="false" ht="15" hidden="false" customHeight="false" outlineLevel="0" collapsed="false">
      <c r="A1700" s="35" t="s">
        <v>4556</v>
      </c>
      <c r="B1700" s="35" t="s">
        <v>4557</v>
      </c>
      <c r="C1700" s="35" t="s">
        <v>48</v>
      </c>
      <c r="D1700" s="35" t="s">
        <v>157</v>
      </c>
      <c r="E1700" s="35"/>
      <c r="F1700" s="35"/>
      <c r="G1700" s="35" t="s">
        <v>679</v>
      </c>
      <c r="H1700" s="35" t="s">
        <v>61</v>
      </c>
      <c r="I1700" s="4"/>
    </row>
    <row r="1701" customFormat="false" ht="15" hidden="false" customHeight="false" outlineLevel="0" collapsed="false">
      <c r="A1701" s="35" t="s">
        <v>4558</v>
      </c>
      <c r="B1701" s="35" t="s">
        <v>4559</v>
      </c>
      <c r="C1701" s="35" t="s">
        <v>48</v>
      </c>
      <c r="D1701" s="35" t="s">
        <v>114</v>
      </c>
      <c r="E1701" s="35"/>
      <c r="F1701" s="35"/>
      <c r="G1701" s="35" t="s">
        <v>679</v>
      </c>
      <c r="H1701" s="35" t="s">
        <v>61</v>
      </c>
      <c r="I1701" s="4"/>
    </row>
    <row r="1702" customFormat="false" ht="15" hidden="false" customHeight="false" outlineLevel="0" collapsed="false">
      <c r="A1702" s="35" t="s">
        <v>4560</v>
      </c>
      <c r="B1702" s="35" t="s">
        <v>4561</v>
      </c>
      <c r="C1702" s="35" t="s">
        <v>48</v>
      </c>
      <c r="D1702" s="35" t="s">
        <v>107</v>
      </c>
      <c r="E1702" s="35" t="s">
        <v>934</v>
      </c>
      <c r="F1702" s="35"/>
      <c r="G1702" s="35" t="s">
        <v>679</v>
      </c>
      <c r="H1702" s="35" t="s">
        <v>61</v>
      </c>
      <c r="I1702" s="4"/>
    </row>
    <row r="1703" customFormat="false" ht="15" hidden="false" customHeight="false" outlineLevel="0" collapsed="false">
      <c r="A1703" s="35" t="s">
        <v>4562</v>
      </c>
      <c r="B1703" s="35" t="s">
        <v>4563</v>
      </c>
      <c r="C1703" s="35" t="s">
        <v>48</v>
      </c>
      <c r="D1703" s="35" t="s">
        <v>53</v>
      </c>
      <c r="E1703" s="35"/>
      <c r="F1703" s="35"/>
      <c r="G1703" s="35" t="s">
        <v>679</v>
      </c>
      <c r="H1703" s="35" t="s">
        <v>61</v>
      </c>
      <c r="I1703" s="4"/>
    </row>
    <row r="1704" customFormat="false" ht="15" hidden="false" customHeight="false" outlineLevel="0" collapsed="false">
      <c r="A1704" s="35" t="s">
        <v>4564</v>
      </c>
      <c r="B1704" s="35" t="s">
        <v>4565</v>
      </c>
      <c r="C1704" s="35" t="s">
        <v>48</v>
      </c>
      <c r="D1704" s="35" t="s">
        <v>157</v>
      </c>
      <c r="E1704" s="35"/>
      <c r="F1704" s="35"/>
      <c r="G1704" s="35" t="s">
        <v>679</v>
      </c>
      <c r="H1704" s="35" t="s">
        <v>61</v>
      </c>
      <c r="I1704" s="4"/>
    </row>
    <row r="1705" customFormat="false" ht="15" hidden="false" customHeight="false" outlineLevel="0" collapsed="false">
      <c r="A1705" s="35" t="s">
        <v>4566</v>
      </c>
      <c r="B1705" s="35" t="s">
        <v>4567</v>
      </c>
      <c r="C1705" s="35" t="s">
        <v>48</v>
      </c>
      <c r="D1705" s="35" t="s">
        <v>447</v>
      </c>
      <c r="E1705" s="35"/>
      <c r="F1705" s="35"/>
      <c r="G1705" s="35" t="s">
        <v>679</v>
      </c>
      <c r="H1705" s="35" t="s">
        <v>61</v>
      </c>
      <c r="I1705" s="4"/>
    </row>
    <row r="1706" customFormat="false" ht="15" hidden="false" customHeight="false" outlineLevel="0" collapsed="false">
      <c r="A1706" s="35" t="s">
        <v>4568</v>
      </c>
      <c r="B1706" s="35" t="s">
        <v>4569</v>
      </c>
      <c r="C1706" s="35" t="s">
        <v>48</v>
      </c>
      <c r="D1706" s="35" t="s">
        <v>53</v>
      </c>
      <c r="E1706" s="35"/>
      <c r="F1706" s="35"/>
      <c r="G1706" s="35" t="s">
        <v>679</v>
      </c>
      <c r="H1706" s="35" t="s">
        <v>61</v>
      </c>
      <c r="I1706" s="4"/>
    </row>
    <row r="1707" customFormat="false" ht="15" hidden="false" customHeight="false" outlineLevel="0" collapsed="false">
      <c r="A1707" s="35" t="s">
        <v>4570</v>
      </c>
      <c r="B1707" s="35" t="s">
        <v>4571</v>
      </c>
      <c r="C1707" s="35" t="s">
        <v>48</v>
      </c>
      <c r="D1707" s="35" t="s">
        <v>53</v>
      </c>
      <c r="E1707" s="35"/>
      <c r="F1707" s="35"/>
      <c r="G1707" s="35" t="s">
        <v>679</v>
      </c>
      <c r="H1707" s="35" t="s">
        <v>61</v>
      </c>
      <c r="I1707" s="4"/>
    </row>
    <row r="1708" customFormat="false" ht="15" hidden="false" customHeight="false" outlineLevel="0" collapsed="false">
      <c r="A1708" s="35" t="s">
        <v>4572</v>
      </c>
      <c r="B1708" s="35" t="s">
        <v>4573</v>
      </c>
      <c r="C1708" s="35" t="s">
        <v>48</v>
      </c>
      <c r="D1708" s="35" t="s">
        <v>53</v>
      </c>
      <c r="E1708" s="35"/>
      <c r="F1708" s="35"/>
      <c r="G1708" s="35" t="s">
        <v>679</v>
      </c>
      <c r="H1708" s="35" t="s">
        <v>61</v>
      </c>
      <c r="I1708" s="4"/>
    </row>
    <row r="1709" customFormat="false" ht="15" hidden="false" customHeight="false" outlineLevel="0" collapsed="false">
      <c r="A1709" s="35" t="s">
        <v>313</v>
      </c>
      <c r="B1709" s="35" t="s">
        <v>314</v>
      </c>
      <c r="C1709" s="35" t="s">
        <v>48</v>
      </c>
      <c r="D1709" s="35" t="s">
        <v>57</v>
      </c>
      <c r="E1709" s="35" t="s">
        <v>313</v>
      </c>
      <c r="F1709" s="35"/>
      <c r="G1709" s="35" t="s">
        <v>262</v>
      </c>
      <c r="H1709" s="35" t="s">
        <v>50</v>
      </c>
      <c r="I1709" s="4" t="s">
        <v>2025</v>
      </c>
    </row>
    <row r="1710" customFormat="false" ht="15" hidden="false" customHeight="false" outlineLevel="0" collapsed="false">
      <c r="A1710" s="35" t="s">
        <v>4574</v>
      </c>
      <c r="B1710" s="35" t="s">
        <v>313</v>
      </c>
      <c r="C1710" s="35" t="s">
        <v>48</v>
      </c>
      <c r="D1710" s="35" t="s">
        <v>57</v>
      </c>
      <c r="E1710" s="35" t="s">
        <v>313</v>
      </c>
      <c r="F1710" s="35"/>
      <c r="G1710" s="35" t="s">
        <v>49</v>
      </c>
      <c r="H1710" s="35" t="s">
        <v>49</v>
      </c>
      <c r="I1710" s="4"/>
    </row>
    <row r="1711" customFormat="false" ht="15" hidden="false" customHeight="false" outlineLevel="0" collapsed="false">
      <c r="A1711" s="35" t="s">
        <v>4575</v>
      </c>
      <c r="B1711" s="35" t="s">
        <v>4576</v>
      </c>
      <c r="C1711" s="35" t="s">
        <v>48</v>
      </c>
      <c r="D1711" s="35" t="s">
        <v>57</v>
      </c>
      <c r="E1711" s="35" t="s">
        <v>313</v>
      </c>
      <c r="F1711" s="35"/>
      <c r="G1711" s="35" t="s">
        <v>262</v>
      </c>
      <c r="H1711" s="35" t="s">
        <v>61</v>
      </c>
      <c r="I1711" s="4"/>
    </row>
    <row r="1712" customFormat="false" ht="15" hidden="false" customHeight="false" outlineLevel="0" collapsed="false">
      <c r="A1712" s="35" t="s">
        <v>4577</v>
      </c>
      <c r="B1712" s="35" t="s">
        <v>314</v>
      </c>
      <c r="C1712" s="35" t="s">
        <v>48</v>
      </c>
      <c r="D1712" s="35" t="s">
        <v>57</v>
      </c>
      <c r="E1712" s="35" t="s">
        <v>313</v>
      </c>
      <c r="F1712" s="35" t="s">
        <v>560</v>
      </c>
      <c r="G1712" s="35" t="s">
        <v>262</v>
      </c>
      <c r="H1712" s="35" t="s">
        <v>369</v>
      </c>
      <c r="I1712" s="4"/>
    </row>
    <row r="1713" customFormat="false" ht="15" hidden="false" customHeight="false" outlineLevel="0" collapsed="false">
      <c r="A1713" s="35" t="s">
        <v>4578</v>
      </c>
      <c r="B1713" s="35" t="s">
        <v>4579</v>
      </c>
      <c r="C1713" s="35" t="s">
        <v>48</v>
      </c>
      <c r="D1713" s="35" t="s">
        <v>107</v>
      </c>
      <c r="E1713" s="35" t="s">
        <v>1151</v>
      </c>
      <c r="F1713" s="35"/>
      <c r="G1713" s="35" t="s">
        <v>262</v>
      </c>
      <c r="H1713" s="35" t="s">
        <v>61</v>
      </c>
      <c r="I1713" s="4"/>
    </row>
    <row r="1714" customFormat="false" ht="15" hidden="false" customHeight="false" outlineLevel="0" collapsed="false">
      <c r="A1714" s="35" t="s">
        <v>4580</v>
      </c>
      <c r="B1714" s="35" t="s">
        <v>4581</v>
      </c>
      <c r="C1714" s="35" t="s">
        <v>48</v>
      </c>
      <c r="D1714" s="35" t="s">
        <v>107</v>
      </c>
      <c r="E1714" s="35" t="s">
        <v>313</v>
      </c>
      <c r="F1714" s="35"/>
      <c r="G1714" s="35" t="s">
        <v>687</v>
      </c>
      <c r="H1714" s="35" t="s">
        <v>61</v>
      </c>
      <c r="I1714" s="4"/>
    </row>
    <row r="1715" customFormat="false" ht="15" hidden="false" customHeight="false" outlineLevel="0" collapsed="false">
      <c r="A1715" s="35" t="s">
        <v>316</v>
      </c>
      <c r="B1715" s="35" t="s">
        <v>317</v>
      </c>
      <c r="C1715" s="35" t="s">
        <v>48</v>
      </c>
      <c r="D1715" s="35" t="s">
        <v>53</v>
      </c>
      <c r="E1715" s="35"/>
      <c r="F1715" s="35"/>
      <c r="G1715" s="35" t="s">
        <v>262</v>
      </c>
      <c r="H1715" s="35" t="s">
        <v>61</v>
      </c>
      <c r="I1715" s="4" t="s">
        <v>2025</v>
      </c>
    </row>
    <row r="1716" customFormat="false" ht="15" hidden="false" customHeight="false" outlineLevel="0" collapsed="false">
      <c r="A1716" s="35" t="s">
        <v>4582</v>
      </c>
      <c r="B1716" s="35" t="s">
        <v>4583</v>
      </c>
      <c r="C1716" s="35" t="s">
        <v>48</v>
      </c>
      <c r="D1716" s="35" t="s">
        <v>53</v>
      </c>
      <c r="E1716" s="35"/>
      <c r="F1716" s="35"/>
      <c r="G1716" s="35" t="s">
        <v>337</v>
      </c>
      <c r="H1716" s="35" t="s">
        <v>61</v>
      </c>
      <c r="I1716" s="4"/>
    </row>
    <row r="1717" customFormat="false" ht="15" hidden="false" customHeight="false" outlineLevel="0" collapsed="false">
      <c r="A1717" s="35" t="s">
        <v>4584</v>
      </c>
      <c r="B1717" s="35" t="s">
        <v>4585</v>
      </c>
      <c r="C1717" s="35" t="s">
        <v>48</v>
      </c>
      <c r="D1717" s="35" t="s">
        <v>53</v>
      </c>
      <c r="E1717" s="35"/>
      <c r="F1717" s="35"/>
      <c r="G1717" s="35" t="s">
        <v>337</v>
      </c>
      <c r="H1717" s="35" t="s">
        <v>61</v>
      </c>
      <c r="I1717" s="4"/>
    </row>
    <row r="1718" customFormat="false" ht="15" hidden="false" customHeight="false" outlineLevel="0" collapsed="false">
      <c r="A1718" s="35" t="s">
        <v>4586</v>
      </c>
      <c r="B1718" s="35" t="s">
        <v>4587</v>
      </c>
      <c r="C1718" s="35" t="s">
        <v>48</v>
      </c>
      <c r="D1718" s="35" t="s">
        <v>146</v>
      </c>
      <c r="E1718" s="35"/>
      <c r="F1718" s="35"/>
      <c r="G1718" s="35" t="s">
        <v>262</v>
      </c>
      <c r="H1718" s="35" t="s">
        <v>61</v>
      </c>
      <c r="I1718" s="4"/>
    </row>
    <row r="1719" customFormat="false" ht="15" hidden="false" customHeight="false" outlineLevel="0" collapsed="false">
      <c r="A1719" s="35" t="s">
        <v>4588</v>
      </c>
      <c r="B1719" s="35" t="s">
        <v>4589</v>
      </c>
      <c r="C1719" s="35" t="s">
        <v>48</v>
      </c>
      <c r="D1719" s="35" t="s">
        <v>107</v>
      </c>
      <c r="E1719" s="35" t="s">
        <v>313</v>
      </c>
      <c r="F1719" s="35"/>
      <c r="G1719" s="35" t="s">
        <v>687</v>
      </c>
      <c r="H1719" s="35" t="s">
        <v>61</v>
      </c>
      <c r="I1719" s="4"/>
    </row>
    <row r="1720" customFormat="false" ht="15" hidden="false" customHeight="false" outlineLevel="0" collapsed="false">
      <c r="A1720" s="35" t="s">
        <v>318</v>
      </c>
      <c r="B1720" s="35" t="s">
        <v>318</v>
      </c>
      <c r="C1720" s="35" t="s">
        <v>48</v>
      </c>
      <c r="D1720" s="35" t="s">
        <v>53</v>
      </c>
      <c r="E1720" s="35"/>
      <c r="F1720" s="35"/>
      <c r="G1720" s="35" t="s">
        <v>49</v>
      </c>
      <c r="H1720" s="35" t="s">
        <v>49</v>
      </c>
      <c r="I1720" s="4" t="s">
        <v>2025</v>
      </c>
    </row>
    <row r="1721" customFormat="false" ht="15" hidden="false" customHeight="false" outlineLevel="0" collapsed="false">
      <c r="A1721" s="35" t="s">
        <v>319</v>
      </c>
      <c r="B1721" s="35" t="s">
        <v>321</v>
      </c>
      <c r="C1721" s="35" t="s">
        <v>48</v>
      </c>
      <c r="D1721" s="35" t="s">
        <v>57</v>
      </c>
      <c r="E1721" s="35" t="s">
        <v>320</v>
      </c>
      <c r="F1721" s="35"/>
      <c r="G1721" s="35" t="s">
        <v>49</v>
      </c>
      <c r="H1721" s="35" t="s">
        <v>50</v>
      </c>
      <c r="I1721" s="4" t="s">
        <v>2025</v>
      </c>
    </row>
    <row r="1722" customFormat="false" ht="15" hidden="false" customHeight="false" outlineLevel="0" collapsed="false">
      <c r="A1722" s="35" t="s">
        <v>4590</v>
      </c>
      <c r="B1722" s="35" t="s">
        <v>4591</v>
      </c>
      <c r="C1722" s="35" t="s">
        <v>48</v>
      </c>
      <c r="D1722" s="35" t="s">
        <v>57</v>
      </c>
      <c r="E1722" s="35" t="s">
        <v>320</v>
      </c>
      <c r="F1722" s="35"/>
      <c r="G1722" s="35" t="s">
        <v>49</v>
      </c>
      <c r="H1722" s="35" t="s">
        <v>49</v>
      </c>
      <c r="I1722" s="4"/>
    </row>
    <row r="1723" customFormat="false" ht="15" hidden="false" customHeight="false" outlineLevel="0" collapsed="false">
      <c r="A1723" s="35" t="s">
        <v>4592</v>
      </c>
      <c r="B1723" s="35" t="s">
        <v>4593</v>
      </c>
      <c r="C1723" s="35" t="s">
        <v>48</v>
      </c>
      <c r="D1723" s="35" t="s">
        <v>53</v>
      </c>
      <c r="E1723" s="35"/>
      <c r="F1723" s="35"/>
      <c r="G1723" s="35" t="s">
        <v>49</v>
      </c>
      <c r="H1723" s="35" t="s">
        <v>49</v>
      </c>
      <c r="I1723" s="4"/>
    </row>
    <row r="1724" customFormat="false" ht="15" hidden="false" customHeight="false" outlineLevel="0" collapsed="false">
      <c r="A1724" s="35" t="s">
        <v>4594</v>
      </c>
      <c r="B1724" s="35" t="s">
        <v>4595</v>
      </c>
      <c r="C1724" s="35" t="s">
        <v>48</v>
      </c>
      <c r="D1724" s="35" t="s">
        <v>57</v>
      </c>
      <c r="E1724" s="35" t="s">
        <v>357</v>
      </c>
      <c r="F1724" s="35"/>
      <c r="G1724" s="35" t="s">
        <v>49</v>
      </c>
      <c r="H1724" s="35" t="s">
        <v>49</v>
      </c>
      <c r="I1724" s="4"/>
    </row>
    <row r="1725" customFormat="false" ht="15" hidden="false" customHeight="false" outlineLevel="0" collapsed="false">
      <c r="A1725" s="35" t="s">
        <v>4596</v>
      </c>
      <c r="B1725" s="35" t="s">
        <v>4597</v>
      </c>
      <c r="C1725" s="35" t="s">
        <v>48</v>
      </c>
      <c r="D1725" s="35" t="s">
        <v>57</v>
      </c>
      <c r="E1725" s="35" t="s">
        <v>357</v>
      </c>
      <c r="F1725" s="35"/>
      <c r="G1725" s="35" t="s">
        <v>328</v>
      </c>
      <c r="H1725" s="35" t="s">
        <v>61</v>
      </c>
      <c r="I1725" s="4"/>
    </row>
    <row r="1726" customFormat="false" ht="15" hidden="false" customHeight="false" outlineLevel="0" collapsed="false">
      <c r="A1726" s="35" t="s">
        <v>4598</v>
      </c>
      <c r="B1726" s="35" t="s">
        <v>4599</v>
      </c>
      <c r="C1726" s="35" t="s">
        <v>48</v>
      </c>
      <c r="D1726" s="35" t="s">
        <v>57</v>
      </c>
      <c r="E1726" s="35" t="s">
        <v>357</v>
      </c>
      <c r="F1726" s="35"/>
      <c r="G1726" s="35" t="s">
        <v>49</v>
      </c>
      <c r="H1726" s="35" t="s">
        <v>49</v>
      </c>
      <c r="I1726" s="4"/>
    </row>
    <row r="1727" customFormat="false" ht="15" hidden="false" customHeight="false" outlineLevel="0" collapsed="false">
      <c r="A1727" s="35" t="s">
        <v>323</v>
      </c>
      <c r="B1727" s="35" t="s">
        <v>324</v>
      </c>
      <c r="C1727" s="35" t="s">
        <v>48</v>
      </c>
      <c r="D1727" s="35" t="s">
        <v>107</v>
      </c>
      <c r="E1727" s="35" t="s">
        <v>323</v>
      </c>
      <c r="F1727" s="35"/>
      <c r="G1727" s="35" t="s">
        <v>262</v>
      </c>
      <c r="H1727" s="35" t="s">
        <v>50</v>
      </c>
      <c r="I1727" s="4" t="s">
        <v>2025</v>
      </c>
    </row>
    <row r="1728" customFormat="false" ht="15" hidden="false" customHeight="false" outlineLevel="0" collapsed="false">
      <c r="A1728" s="35" t="s">
        <v>4600</v>
      </c>
      <c r="B1728" s="35" t="s">
        <v>4601</v>
      </c>
      <c r="C1728" s="35" t="s">
        <v>48</v>
      </c>
      <c r="D1728" s="35" t="s">
        <v>107</v>
      </c>
      <c r="E1728" s="35" t="s">
        <v>323</v>
      </c>
      <c r="F1728" s="35"/>
      <c r="G1728" s="35" t="s">
        <v>545</v>
      </c>
      <c r="H1728" s="35" t="s">
        <v>369</v>
      </c>
      <c r="I1728" s="4"/>
    </row>
    <row r="1729" customFormat="false" ht="15" hidden="false" customHeight="false" outlineLevel="0" collapsed="false">
      <c r="A1729" s="35" t="s">
        <v>4602</v>
      </c>
      <c r="B1729" s="35" t="s">
        <v>4603</v>
      </c>
      <c r="C1729" s="35" t="s">
        <v>48</v>
      </c>
      <c r="D1729" s="35" t="s">
        <v>107</v>
      </c>
      <c r="E1729" s="35" t="s">
        <v>323</v>
      </c>
      <c r="F1729" s="35"/>
      <c r="G1729" s="35" t="s">
        <v>545</v>
      </c>
      <c r="H1729" s="35" t="s">
        <v>369</v>
      </c>
      <c r="I1729" s="4"/>
    </row>
    <row r="1730" customFormat="false" ht="15" hidden="false" customHeight="false" outlineLevel="0" collapsed="false">
      <c r="A1730" s="35" t="s">
        <v>4604</v>
      </c>
      <c r="B1730" s="35" t="s">
        <v>4605</v>
      </c>
      <c r="C1730" s="35" t="s">
        <v>48</v>
      </c>
      <c r="D1730" s="35" t="s">
        <v>53</v>
      </c>
      <c r="E1730" s="35"/>
      <c r="F1730" s="35"/>
      <c r="G1730" s="35" t="s">
        <v>696</v>
      </c>
      <c r="H1730" s="35" t="s">
        <v>61</v>
      </c>
      <c r="I1730" s="4"/>
    </row>
    <row r="1731" customFormat="false" ht="15" hidden="false" customHeight="false" outlineLevel="0" collapsed="false">
      <c r="A1731" s="35" t="s">
        <v>1585</v>
      </c>
      <c r="B1731" s="35" t="s">
        <v>4606</v>
      </c>
      <c r="C1731" s="35" t="s">
        <v>48</v>
      </c>
      <c r="D1731" s="35" t="s">
        <v>46</v>
      </c>
      <c r="E1731" s="35" t="s">
        <v>1584</v>
      </c>
      <c r="F1731" s="35"/>
      <c r="G1731" s="35" t="s">
        <v>262</v>
      </c>
      <c r="H1731" s="35" t="s">
        <v>61</v>
      </c>
      <c r="I1731" s="4"/>
    </row>
    <row r="1732" customFormat="false" ht="15" hidden="false" customHeight="false" outlineLevel="0" collapsed="false">
      <c r="A1732" s="35" t="s">
        <v>4607</v>
      </c>
      <c r="B1732" s="35" t="s">
        <v>4608</v>
      </c>
      <c r="C1732" s="35" t="s">
        <v>48</v>
      </c>
      <c r="D1732" s="35" t="s">
        <v>107</v>
      </c>
      <c r="E1732" s="35" t="s">
        <v>313</v>
      </c>
      <c r="F1732" s="35"/>
      <c r="G1732" s="35" t="s">
        <v>262</v>
      </c>
      <c r="H1732" s="35" t="s">
        <v>61</v>
      </c>
      <c r="I1732" s="4"/>
    </row>
    <row r="1733" customFormat="false" ht="15" hidden="false" customHeight="false" outlineLevel="0" collapsed="false">
      <c r="A1733" s="35" t="s">
        <v>4609</v>
      </c>
      <c r="B1733" s="35" t="s">
        <v>4610</v>
      </c>
      <c r="C1733" s="35" t="s">
        <v>48</v>
      </c>
      <c r="D1733" s="35" t="s">
        <v>107</v>
      </c>
      <c r="E1733" s="35" t="s">
        <v>313</v>
      </c>
      <c r="F1733" s="35"/>
      <c r="G1733" s="35" t="s">
        <v>49</v>
      </c>
      <c r="H1733" s="35" t="s">
        <v>49</v>
      </c>
      <c r="I1733" s="4"/>
    </row>
    <row r="1734" customFormat="false" ht="15" hidden="false" customHeight="false" outlineLevel="0" collapsed="false">
      <c r="A1734" s="35" t="s">
        <v>4611</v>
      </c>
      <c r="B1734" s="35" t="s">
        <v>4612</v>
      </c>
      <c r="C1734" s="35" t="s">
        <v>48</v>
      </c>
      <c r="D1734" s="35" t="s">
        <v>107</v>
      </c>
      <c r="E1734" s="35" t="s">
        <v>313</v>
      </c>
      <c r="F1734" s="35"/>
      <c r="G1734" s="35" t="s">
        <v>49</v>
      </c>
      <c r="H1734" s="35" t="s">
        <v>49</v>
      </c>
      <c r="I1734" s="4"/>
    </row>
    <row r="1735" customFormat="false" ht="15" hidden="false" customHeight="false" outlineLevel="0" collapsed="false">
      <c r="A1735" s="35" t="s">
        <v>580</v>
      </c>
      <c r="B1735" s="35" t="s">
        <v>581</v>
      </c>
      <c r="C1735" s="35" t="s">
        <v>48</v>
      </c>
      <c r="D1735" s="35" t="s">
        <v>57</v>
      </c>
      <c r="E1735" s="35" t="s">
        <v>580</v>
      </c>
      <c r="F1735" s="35"/>
      <c r="G1735" s="35" t="s">
        <v>571</v>
      </c>
      <c r="H1735" s="35" t="s">
        <v>245</v>
      </c>
      <c r="I1735" s="4" t="s">
        <v>2025</v>
      </c>
    </row>
    <row r="1736" customFormat="false" ht="15" hidden="false" customHeight="false" outlineLevel="0" collapsed="false">
      <c r="A1736" s="35" t="s">
        <v>4613</v>
      </c>
      <c r="B1736" s="35" t="s">
        <v>4614</v>
      </c>
      <c r="C1736" s="35" t="s">
        <v>48</v>
      </c>
      <c r="D1736" s="35" t="s">
        <v>447</v>
      </c>
      <c r="E1736" s="35"/>
      <c r="F1736" s="35"/>
      <c r="G1736" s="35" t="s">
        <v>679</v>
      </c>
      <c r="H1736" s="35" t="s">
        <v>61</v>
      </c>
      <c r="I1736" s="4"/>
    </row>
    <row r="1737" customFormat="false" ht="15" hidden="false" customHeight="false" outlineLevel="0" collapsed="false">
      <c r="A1737" s="35" t="s">
        <v>4615</v>
      </c>
      <c r="B1737" s="35"/>
      <c r="C1737" s="35" t="s">
        <v>632</v>
      </c>
      <c r="D1737" s="35" t="s">
        <v>114</v>
      </c>
      <c r="E1737" s="35"/>
      <c r="F1737" s="35"/>
      <c r="G1737" s="35" t="s">
        <v>727</v>
      </c>
      <c r="H1737" s="35" t="s">
        <v>61</v>
      </c>
      <c r="I1737" s="4"/>
    </row>
    <row r="1738" customFormat="false" ht="15" hidden="false" customHeight="false" outlineLevel="0" collapsed="false">
      <c r="A1738" s="35" t="s">
        <v>4616</v>
      </c>
      <c r="B1738" s="35" t="s">
        <v>4617</v>
      </c>
      <c r="C1738" s="35" t="s">
        <v>48</v>
      </c>
      <c r="D1738" s="35" t="s">
        <v>114</v>
      </c>
      <c r="E1738" s="35"/>
      <c r="F1738" s="35"/>
      <c r="G1738" s="35" t="s">
        <v>87</v>
      </c>
      <c r="H1738" s="35" t="s">
        <v>61</v>
      </c>
      <c r="I1738" s="4"/>
    </row>
    <row r="1739" customFormat="false" ht="15" hidden="false" customHeight="false" outlineLevel="0" collapsed="false">
      <c r="A1739" s="35" t="s">
        <v>4618</v>
      </c>
      <c r="B1739" s="35" t="s">
        <v>4619</v>
      </c>
      <c r="C1739" s="35" t="s">
        <v>48</v>
      </c>
      <c r="D1739" s="35" t="s">
        <v>114</v>
      </c>
      <c r="E1739" s="35"/>
      <c r="F1739" s="35"/>
      <c r="G1739" s="35" t="s">
        <v>87</v>
      </c>
      <c r="H1739" s="35" t="s">
        <v>61</v>
      </c>
      <c r="I1739" s="4"/>
    </row>
    <row r="1740" customFormat="false" ht="15" hidden="false" customHeight="false" outlineLevel="0" collapsed="false">
      <c r="A1740" s="35" t="s">
        <v>4620</v>
      </c>
      <c r="B1740" s="35" t="s">
        <v>4621</v>
      </c>
      <c r="C1740" s="35" t="s">
        <v>48</v>
      </c>
      <c r="D1740" s="35" t="s">
        <v>114</v>
      </c>
      <c r="E1740" s="35"/>
      <c r="F1740" s="35"/>
      <c r="G1740" s="35" t="s">
        <v>444</v>
      </c>
      <c r="H1740" s="35" t="s">
        <v>4622</v>
      </c>
      <c r="I1740" s="4"/>
    </row>
    <row r="1741" customFormat="false" ht="15" hidden="false" customHeight="false" outlineLevel="0" collapsed="false">
      <c r="A1741" s="35" t="s">
        <v>4623</v>
      </c>
      <c r="B1741" s="35" t="s">
        <v>4624</v>
      </c>
      <c r="C1741" s="35" t="s">
        <v>48</v>
      </c>
      <c r="D1741" s="35" t="s">
        <v>107</v>
      </c>
      <c r="E1741" s="35" t="s">
        <v>1241</v>
      </c>
      <c r="F1741" s="35"/>
      <c r="G1741" s="35" t="s">
        <v>571</v>
      </c>
      <c r="H1741" s="35" t="s">
        <v>61</v>
      </c>
      <c r="I1741" s="4"/>
    </row>
    <row r="1742" customFormat="false" ht="15" hidden="false" customHeight="false" outlineLevel="0" collapsed="false">
      <c r="A1742" s="35" t="s">
        <v>4625</v>
      </c>
      <c r="B1742" s="35" t="s">
        <v>4626</v>
      </c>
      <c r="C1742" s="35" t="s">
        <v>48</v>
      </c>
      <c r="D1742" s="35" t="s">
        <v>57</v>
      </c>
      <c r="E1742" s="35" t="s">
        <v>45</v>
      </c>
      <c r="F1742" s="35"/>
      <c r="G1742" s="35" t="s">
        <v>262</v>
      </c>
      <c r="H1742" s="35" t="s">
        <v>61</v>
      </c>
      <c r="I1742" s="4"/>
    </row>
    <row r="1743" customFormat="false" ht="15" hidden="false" customHeight="false" outlineLevel="0" collapsed="false">
      <c r="A1743" s="35" t="s">
        <v>4627</v>
      </c>
      <c r="B1743" s="35" t="s">
        <v>4628</v>
      </c>
      <c r="C1743" s="35" t="s">
        <v>48</v>
      </c>
      <c r="D1743" s="35" t="s">
        <v>57</v>
      </c>
      <c r="E1743" s="35" t="s">
        <v>45</v>
      </c>
      <c r="F1743" s="35"/>
      <c r="G1743" s="35" t="s">
        <v>262</v>
      </c>
      <c r="H1743" s="35" t="s">
        <v>61</v>
      </c>
      <c r="I1743" s="4"/>
    </row>
    <row r="1744" customFormat="false" ht="15" hidden="false" customHeight="false" outlineLevel="0" collapsed="false">
      <c r="A1744" s="35" t="s">
        <v>4629</v>
      </c>
      <c r="B1744" s="35" t="s">
        <v>4630</v>
      </c>
      <c r="C1744" s="35" t="s">
        <v>48</v>
      </c>
      <c r="D1744" s="35" t="s">
        <v>57</v>
      </c>
      <c r="E1744" s="35" t="s">
        <v>45</v>
      </c>
      <c r="F1744" s="35"/>
      <c r="G1744" s="35" t="s">
        <v>262</v>
      </c>
      <c r="H1744" s="35" t="s">
        <v>61</v>
      </c>
      <c r="I1744" s="4"/>
    </row>
    <row r="1745" customFormat="false" ht="15" hidden="false" customHeight="false" outlineLevel="0" collapsed="false">
      <c r="A1745" s="35" t="s">
        <v>4631</v>
      </c>
      <c r="B1745" s="35" t="s">
        <v>4632</v>
      </c>
      <c r="C1745" s="35" t="s">
        <v>48</v>
      </c>
      <c r="D1745" s="35" t="s">
        <v>57</v>
      </c>
      <c r="E1745" s="35" t="s">
        <v>45</v>
      </c>
      <c r="F1745" s="35"/>
      <c r="G1745" s="35" t="s">
        <v>262</v>
      </c>
      <c r="H1745" s="35" t="s">
        <v>61</v>
      </c>
      <c r="I1745" s="4"/>
    </row>
    <row r="1746" customFormat="false" ht="15" hidden="false" customHeight="false" outlineLevel="0" collapsed="false">
      <c r="A1746" s="35" t="s">
        <v>4633</v>
      </c>
      <c r="B1746" s="35" t="s">
        <v>4634</v>
      </c>
      <c r="C1746" s="35" t="s">
        <v>48</v>
      </c>
      <c r="D1746" s="35" t="s">
        <v>57</v>
      </c>
      <c r="E1746" s="35" t="s">
        <v>45</v>
      </c>
      <c r="F1746" s="35"/>
      <c r="G1746" s="35" t="s">
        <v>262</v>
      </c>
      <c r="H1746" s="35" t="s">
        <v>61</v>
      </c>
      <c r="I1746" s="4"/>
    </row>
    <row r="1747" customFormat="false" ht="15" hidden="false" customHeight="false" outlineLevel="0" collapsed="false">
      <c r="A1747" s="35" t="s">
        <v>4635</v>
      </c>
      <c r="B1747" s="35" t="s">
        <v>4636</v>
      </c>
      <c r="C1747" s="35" t="s">
        <v>48</v>
      </c>
      <c r="D1747" s="35" t="s">
        <v>57</v>
      </c>
      <c r="E1747" s="35" t="s">
        <v>45</v>
      </c>
      <c r="F1747" s="35"/>
      <c r="G1747" s="35" t="s">
        <v>262</v>
      </c>
      <c r="H1747" s="35" t="s">
        <v>61</v>
      </c>
      <c r="I1747" s="4"/>
    </row>
    <row r="1748" customFormat="false" ht="15" hidden="false" customHeight="false" outlineLevel="0" collapsed="false">
      <c r="A1748" s="35" t="s">
        <v>4637</v>
      </c>
      <c r="B1748" s="35" t="s">
        <v>4638</v>
      </c>
      <c r="C1748" s="35" t="s">
        <v>48</v>
      </c>
      <c r="D1748" s="35" t="s">
        <v>57</v>
      </c>
      <c r="E1748" s="35" t="s">
        <v>45</v>
      </c>
      <c r="F1748" s="35"/>
      <c r="G1748" s="35" t="s">
        <v>262</v>
      </c>
      <c r="H1748" s="35" t="s">
        <v>61</v>
      </c>
      <c r="I1748" s="4"/>
    </row>
    <row r="1749" customFormat="false" ht="15" hidden="false" customHeight="false" outlineLevel="0" collapsed="false">
      <c r="A1749" s="35" t="s">
        <v>4639</v>
      </c>
      <c r="B1749" s="35" t="s">
        <v>4640</v>
      </c>
      <c r="C1749" s="35" t="s">
        <v>48</v>
      </c>
      <c r="D1749" s="35" t="s">
        <v>57</v>
      </c>
      <c r="E1749" s="35" t="s">
        <v>45</v>
      </c>
      <c r="F1749" s="35"/>
      <c r="G1749" s="35" t="s">
        <v>262</v>
      </c>
      <c r="H1749" s="35" t="s">
        <v>61</v>
      </c>
      <c r="I1749" s="4"/>
    </row>
    <row r="1750" customFormat="false" ht="15" hidden="false" customHeight="false" outlineLevel="0" collapsed="false">
      <c r="A1750" s="35" t="s">
        <v>4641</v>
      </c>
      <c r="B1750" s="35" t="s">
        <v>4642</v>
      </c>
      <c r="C1750" s="35" t="s">
        <v>48</v>
      </c>
      <c r="D1750" s="35" t="s">
        <v>57</v>
      </c>
      <c r="E1750" s="35" t="s">
        <v>45</v>
      </c>
      <c r="F1750" s="35"/>
      <c r="G1750" s="35" t="s">
        <v>262</v>
      </c>
      <c r="H1750" s="35" t="s">
        <v>61</v>
      </c>
      <c r="I1750" s="4"/>
    </row>
    <row r="1751" customFormat="false" ht="15" hidden="false" customHeight="false" outlineLevel="0" collapsed="false">
      <c r="A1751" s="35" t="s">
        <v>4643</v>
      </c>
      <c r="B1751" s="35" t="s">
        <v>4644</v>
      </c>
      <c r="C1751" s="35" t="s">
        <v>48</v>
      </c>
      <c r="D1751" s="35" t="s">
        <v>57</v>
      </c>
      <c r="E1751" s="35" t="s">
        <v>45</v>
      </c>
      <c r="F1751" s="35"/>
      <c r="G1751" s="35" t="s">
        <v>262</v>
      </c>
      <c r="H1751" s="35" t="s">
        <v>61</v>
      </c>
      <c r="I1751" s="4"/>
    </row>
    <row r="1752" customFormat="false" ht="15" hidden="false" customHeight="false" outlineLevel="0" collapsed="false">
      <c r="A1752" s="35" t="s">
        <v>239</v>
      </c>
      <c r="B1752" s="35" t="s">
        <v>240</v>
      </c>
      <c r="C1752" s="35" t="s">
        <v>48</v>
      </c>
      <c r="D1752" s="35" t="s">
        <v>57</v>
      </c>
      <c r="E1752" s="35" t="s">
        <v>239</v>
      </c>
      <c r="F1752" s="35"/>
      <c r="G1752" s="35" t="s">
        <v>104</v>
      </c>
      <c r="H1752" s="35" t="s">
        <v>50</v>
      </c>
      <c r="I1752" s="4" t="s">
        <v>2025</v>
      </c>
    </row>
    <row r="1753" customFormat="false" ht="15" hidden="false" customHeight="false" outlineLevel="0" collapsed="false">
      <c r="A1753" s="35" t="s">
        <v>4645</v>
      </c>
      <c r="B1753" s="35" t="s">
        <v>4646</v>
      </c>
      <c r="C1753" s="35" t="s">
        <v>48</v>
      </c>
      <c r="D1753" s="35" t="s">
        <v>57</v>
      </c>
      <c r="E1753" s="35" t="s">
        <v>239</v>
      </c>
      <c r="F1753" s="35"/>
      <c r="G1753" s="35" t="s">
        <v>49</v>
      </c>
      <c r="H1753" s="35" t="s">
        <v>49</v>
      </c>
      <c r="I1753" s="4"/>
    </row>
    <row r="1754" customFormat="false" ht="15" hidden="false" customHeight="false" outlineLevel="0" collapsed="false">
      <c r="A1754" s="35" t="s">
        <v>4647</v>
      </c>
      <c r="B1754" s="35" t="s">
        <v>4648</v>
      </c>
      <c r="C1754" s="35" t="s">
        <v>48</v>
      </c>
      <c r="D1754" s="35" t="s">
        <v>107</v>
      </c>
      <c r="E1754" s="35" t="s">
        <v>239</v>
      </c>
      <c r="F1754" s="35"/>
      <c r="G1754" s="35" t="s">
        <v>104</v>
      </c>
      <c r="H1754" s="35" t="s">
        <v>50</v>
      </c>
      <c r="I1754" s="4"/>
    </row>
    <row r="1755" customFormat="false" ht="15" hidden="false" customHeight="false" outlineLevel="0" collapsed="false">
      <c r="A1755" s="35" t="s">
        <v>4649</v>
      </c>
      <c r="B1755" s="35" t="s">
        <v>4650</v>
      </c>
      <c r="C1755" s="35" t="s">
        <v>48</v>
      </c>
      <c r="D1755" s="35" t="s">
        <v>57</v>
      </c>
      <c r="E1755" s="35" t="s">
        <v>239</v>
      </c>
      <c r="F1755" s="35"/>
      <c r="G1755" s="35" t="s">
        <v>104</v>
      </c>
      <c r="H1755" s="35" t="s">
        <v>267</v>
      </c>
      <c r="I1755" s="4"/>
    </row>
    <row r="1756" customFormat="false" ht="15" hidden="false" customHeight="false" outlineLevel="0" collapsed="false">
      <c r="A1756" s="35" t="s">
        <v>4651</v>
      </c>
      <c r="B1756" s="35" t="s">
        <v>4652</v>
      </c>
      <c r="C1756" s="35" t="s">
        <v>48</v>
      </c>
      <c r="D1756" s="35" t="s">
        <v>57</v>
      </c>
      <c r="E1756" s="35" t="s">
        <v>239</v>
      </c>
      <c r="F1756" s="35"/>
      <c r="G1756" s="35" t="s">
        <v>686</v>
      </c>
      <c r="H1756" s="35" t="s">
        <v>61</v>
      </c>
      <c r="I1756" s="4"/>
    </row>
    <row r="1757" customFormat="false" ht="15" hidden="false" customHeight="false" outlineLevel="0" collapsed="false">
      <c r="A1757" s="35" t="s">
        <v>4653</v>
      </c>
      <c r="B1757" s="35" t="s">
        <v>4654</v>
      </c>
      <c r="C1757" s="35" t="s">
        <v>48</v>
      </c>
      <c r="D1757" s="35" t="s">
        <v>107</v>
      </c>
      <c r="E1757" s="35" t="s">
        <v>239</v>
      </c>
      <c r="F1757" s="35"/>
      <c r="G1757" s="35" t="s">
        <v>49</v>
      </c>
      <c r="H1757" s="35" t="s">
        <v>49</v>
      </c>
      <c r="I1757" s="4"/>
    </row>
    <row r="1758" customFormat="false" ht="15" hidden="false" customHeight="false" outlineLevel="0" collapsed="false">
      <c r="A1758" s="35" t="s">
        <v>4655</v>
      </c>
      <c r="B1758" s="35" t="s">
        <v>4656</v>
      </c>
      <c r="C1758" s="35" t="s">
        <v>48</v>
      </c>
      <c r="D1758" s="35" t="s">
        <v>57</v>
      </c>
      <c r="E1758" s="35" t="s">
        <v>45</v>
      </c>
      <c r="F1758" s="35" t="s">
        <v>560</v>
      </c>
      <c r="G1758" s="35" t="s">
        <v>262</v>
      </c>
      <c r="H1758" s="35" t="s">
        <v>61</v>
      </c>
      <c r="I1758" s="4"/>
    </row>
    <row r="1759" customFormat="false" ht="15" hidden="false" customHeight="false" outlineLevel="0" collapsed="false">
      <c r="A1759" s="35" t="s">
        <v>272</v>
      </c>
      <c r="B1759" s="35" t="s">
        <v>273</v>
      </c>
      <c r="C1759" s="35" t="s">
        <v>48</v>
      </c>
      <c r="D1759" s="35" t="s">
        <v>57</v>
      </c>
      <c r="E1759" s="35" t="s">
        <v>45</v>
      </c>
      <c r="F1759" s="35"/>
      <c r="G1759" s="35" t="s">
        <v>262</v>
      </c>
      <c r="H1759" s="35" t="s">
        <v>61</v>
      </c>
      <c r="I1759" s="4" t="s">
        <v>2025</v>
      </c>
    </row>
    <row r="1760" customFormat="false" ht="15" hidden="false" customHeight="false" outlineLevel="0" collapsed="false">
      <c r="A1760" s="35" t="s">
        <v>275</v>
      </c>
      <c r="B1760" s="35" t="s">
        <v>276</v>
      </c>
      <c r="C1760" s="35" t="s">
        <v>48</v>
      </c>
      <c r="D1760" s="35" t="s">
        <v>57</v>
      </c>
      <c r="E1760" s="35" t="s">
        <v>45</v>
      </c>
      <c r="F1760" s="35"/>
      <c r="G1760" s="35" t="s">
        <v>262</v>
      </c>
      <c r="H1760" s="35" t="s">
        <v>61</v>
      </c>
      <c r="I1760" s="4" t="s">
        <v>2025</v>
      </c>
    </row>
    <row r="1761" customFormat="false" ht="15" hidden="false" customHeight="false" outlineLevel="0" collapsed="false">
      <c r="A1761" s="35" t="s">
        <v>4657</v>
      </c>
      <c r="B1761" s="35" t="s">
        <v>4658</v>
      </c>
      <c r="C1761" s="35" t="s">
        <v>48</v>
      </c>
      <c r="D1761" s="35" t="s">
        <v>57</v>
      </c>
      <c r="E1761" s="35" t="s">
        <v>45</v>
      </c>
      <c r="F1761" s="35"/>
      <c r="G1761" s="35" t="s">
        <v>262</v>
      </c>
      <c r="H1761" s="35" t="s">
        <v>61</v>
      </c>
      <c r="I1761" s="4"/>
    </row>
    <row r="1762" customFormat="false" ht="15" hidden="false" customHeight="false" outlineLevel="0" collapsed="false">
      <c r="A1762" s="35" t="s">
        <v>4659</v>
      </c>
      <c r="B1762" s="35" t="s">
        <v>4660</v>
      </c>
      <c r="C1762" s="35" t="s">
        <v>48</v>
      </c>
      <c r="D1762" s="35" t="s">
        <v>57</v>
      </c>
      <c r="E1762" s="35" t="s">
        <v>45</v>
      </c>
      <c r="F1762" s="35"/>
      <c r="G1762" s="35" t="s">
        <v>262</v>
      </c>
      <c r="H1762" s="35" t="s">
        <v>61</v>
      </c>
      <c r="I1762" s="4"/>
    </row>
    <row r="1763" customFormat="false" ht="15" hidden="false" customHeight="false" outlineLevel="0" collapsed="false">
      <c r="A1763" s="35" t="s">
        <v>4661</v>
      </c>
      <c r="B1763" s="35" t="s">
        <v>4662</v>
      </c>
      <c r="C1763" s="35" t="s">
        <v>48</v>
      </c>
      <c r="D1763" s="35" t="s">
        <v>57</v>
      </c>
      <c r="E1763" s="35" t="s">
        <v>45</v>
      </c>
      <c r="F1763" s="35"/>
      <c r="G1763" s="35" t="s">
        <v>262</v>
      </c>
      <c r="H1763" s="35" t="s">
        <v>61</v>
      </c>
      <c r="I1763" s="4"/>
    </row>
    <row r="1764" customFormat="false" ht="15" hidden="false" customHeight="false" outlineLevel="0" collapsed="false">
      <c r="A1764" s="35" t="s">
        <v>4663</v>
      </c>
      <c r="B1764" s="35" t="s">
        <v>4664</v>
      </c>
      <c r="C1764" s="35" t="s">
        <v>48</v>
      </c>
      <c r="D1764" s="35" t="s">
        <v>57</v>
      </c>
      <c r="E1764" s="35" t="s">
        <v>45</v>
      </c>
      <c r="F1764" s="35"/>
      <c r="G1764" s="35" t="s">
        <v>262</v>
      </c>
      <c r="H1764" s="35" t="s">
        <v>61</v>
      </c>
      <c r="I1764" s="4"/>
    </row>
    <row r="1765" customFormat="false" ht="15" hidden="false" customHeight="false" outlineLevel="0" collapsed="false">
      <c r="A1765" s="35" t="s">
        <v>4665</v>
      </c>
      <c r="B1765" s="35" t="s">
        <v>4666</v>
      </c>
      <c r="C1765" s="35" t="s">
        <v>48</v>
      </c>
      <c r="D1765" s="35" t="s">
        <v>57</v>
      </c>
      <c r="E1765" s="35" t="s">
        <v>45</v>
      </c>
      <c r="F1765" s="35"/>
      <c r="G1765" s="35" t="s">
        <v>262</v>
      </c>
      <c r="H1765" s="35" t="s">
        <v>61</v>
      </c>
      <c r="I1765" s="4"/>
    </row>
    <row r="1766" customFormat="false" ht="15" hidden="false" customHeight="false" outlineLevel="0" collapsed="false">
      <c r="A1766" s="35" t="s">
        <v>4667</v>
      </c>
      <c r="B1766" s="35" t="s">
        <v>4668</v>
      </c>
      <c r="C1766" s="35" t="s">
        <v>48</v>
      </c>
      <c r="D1766" s="35" t="s">
        <v>57</v>
      </c>
      <c r="E1766" s="35" t="s">
        <v>45</v>
      </c>
      <c r="F1766" s="35"/>
      <c r="G1766" s="35" t="s">
        <v>262</v>
      </c>
      <c r="H1766" s="35" t="s">
        <v>61</v>
      </c>
      <c r="I1766" s="4"/>
    </row>
    <row r="1767" customFormat="false" ht="15" hidden="false" customHeight="false" outlineLevel="0" collapsed="false">
      <c r="A1767" s="35" t="s">
        <v>4669</v>
      </c>
      <c r="B1767" s="35" t="s">
        <v>4670</v>
      </c>
      <c r="C1767" s="35" t="s">
        <v>48</v>
      </c>
      <c r="D1767" s="35" t="s">
        <v>57</v>
      </c>
      <c r="E1767" s="35" t="s">
        <v>45</v>
      </c>
      <c r="F1767" s="35"/>
      <c r="G1767" s="35" t="s">
        <v>262</v>
      </c>
      <c r="H1767" s="35" t="s">
        <v>61</v>
      </c>
      <c r="I1767" s="4"/>
    </row>
    <row r="1768" customFormat="false" ht="15" hidden="false" customHeight="false" outlineLevel="0" collapsed="false">
      <c r="A1768" s="35" t="s">
        <v>4671</v>
      </c>
      <c r="B1768" s="35" t="s">
        <v>4672</v>
      </c>
      <c r="C1768" s="35" t="s">
        <v>48</v>
      </c>
      <c r="D1768" s="35" t="s">
        <v>57</v>
      </c>
      <c r="E1768" s="35" t="s">
        <v>45</v>
      </c>
      <c r="F1768" s="35"/>
      <c r="G1768" s="35" t="s">
        <v>262</v>
      </c>
      <c r="H1768" s="35" t="s">
        <v>61</v>
      </c>
      <c r="I1768" s="4"/>
    </row>
    <row r="1769" customFormat="false" ht="15" hidden="false" customHeight="false" outlineLevel="0" collapsed="false">
      <c r="A1769" s="35" t="s">
        <v>4673</v>
      </c>
      <c r="B1769" s="35" t="s">
        <v>4674</v>
      </c>
      <c r="C1769" s="35" t="s">
        <v>48</v>
      </c>
      <c r="D1769" s="35" t="s">
        <v>107</v>
      </c>
      <c r="E1769" s="35" t="s">
        <v>1166</v>
      </c>
      <c r="F1769" s="35"/>
      <c r="G1769" s="35" t="s">
        <v>262</v>
      </c>
      <c r="H1769" s="35" t="s">
        <v>61</v>
      </c>
      <c r="I1769" s="4"/>
    </row>
    <row r="1770" customFormat="false" ht="15" hidden="false" customHeight="false" outlineLevel="0" collapsed="false">
      <c r="A1770" s="35" t="s">
        <v>4675</v>
      </c>
      <c r="B1770" s="35" t="s">
        <v>4676</v>
      </c>
      <c r="C1770" s="35" t="s">
        <v>48</v>
      </c>
      <c r="D1770" s="35" t="s">
        <v>107</v>
      </c>
      <c r="E1770" s="35" t="s">
        <v>1166</v>
      </c>
      <c r="F1770" s="35"/>
      <c r="G1770" s="35" t="s">
        <v>262</v>
      </c>
      <c r="H1770" s="35" t="s">
        <v>61</v>
      </c>
      <c r="I1770" s="4"/>
    </row>
    <row r="1771" customFormat="false" ht="15" hidden="false" customHeight="false" outlineLevel="0" collapsed="false">
      <c r="A1771" s="35" t="s">
        <v>4677</v>
      </c>
      <c r="B1771" s="35" t="s">
        <v>4678</v>
      </c>
      <c r="C1771" s="35" t="s">
        <v>48</v>
      </c>
      <c r="D1771" s="35" t="s">
        <v>53</v>
      </c>
      <c r="E1771" s="35"/>
      <c r="F1771" s="35"/>
      <c r="G1771" s="35" t="s">
        <v>433</v>
      </c>
      <c r="H1771" s="35" t="s">
        <v>61</v>
      </c>
      <c r="I1771" s="4"/>
    </row>
    <row r="1772" customFormat="false" ht="15" hidden="false" customHeight="false" outlineLevel="0" collapsed="false">
      <c r="A1772" s="35" t="s">
        <v>4679</v>
      </c>
      <c r="B1772" s="35" t="s">
        <v>4680</v>
      </c>
      <c r="C1772" s="35" t="s">
        <v>48</v>
      </c>
      <c r="D1772" s="35" t="s">
        <v>53</v>
      </c>
      <c r="E1772" s="35"/>
      <c r="F1772" s="35"/>
      <c r="G1772" s="35" t="s">
        <v>60</v>
      </c>
      <c r="H1772" s="35" t="s">
        <v>61</v>
      </c>
      <c r="I1772" s="4"/>
    </row>
    <row r="1773" customFormat="false" ht="15" hidden="false" customHeight="false" outlineLevel="0" collapsed="false">
      <c r="A1773" s="35" t="s">
        <v>4681</v>
      </c>
      <c r="B1773" s="35" t="s">
        <v>4682</v>
      </c>
      <c r="C1773" s="35" t="s">
        <v>48</v>
      </c>
      <c r="D1773" s="35" t="s">
        <v>53</v>
      </c>
      <c r="E1773" s="35"/>
      <c r="F1773" s="35"/>
      <c r="G1773" s="35" t="s">
        <v>60</v>
      </c>
      <c r="H1773" s="35" t="s">
        <v>61</v>
      </c>
      <c r="I1773" s="4"/>
    </row>
    <row r="1774" customFormat="false" ht="15" hidden="false" customHeight="false" outlineLevel="0" collapsed="false">
      <c r="A1774" s="35" t="s">
        <v>4683</v>
      </c>
      <c r="B1774" s="35" t="s">
        <v>4684</v>
      </c>
      <c r="C1774" s="35" t="s">
        <v>48</v>
      </c>
      <c r="D1774" s="35" t="s">
        <v>107</v>
      </c>
      <c r="E1774" s="35" t="s">
        <v>1192</v>
      </c>
      <c r="F1774" s="35"/>
      <c r="G1774" s="35" t="s">
        <v>262</v>
      </c>
      <c r="H1774" s="35" t="s">
        <v>61</v>
      </c>
      <c r="I1774" s="4"/>
    </row>
    <row r="1775" customFormat="false" ht="15" hidden="false" customHeight="false" outlineLevel="0" collapsed="false">
      <c r="A1775" s="35" t="s">
        <v>4685</v>
      </c>
      <c r="B1775" s="35" t="s">
        <v>4686</v>
      </c>
      <c r="C1775" s="35" t="s">
        <v>48</v>
      </c>
      <c r="D1775" s="35" t="s">
        <v>107</v>
      </c>
      <c r="E1775" s="35" t="s">
        <v>1192</v>
      </c>
      <c r="F1775" s="35"/>
      <c r="G1775" s="35" t="s">
        <v>262</v>
      </c>
      <c r="H1775" s="35" t="s">
        <v>61</v>
      </c>
      <c r="I1775" s="4"/>
    </row>
    <row r="1776" customFormat="false" ht="15" hidden="false" customHeight="false" outlineLevel="0" collapsed="false">
      <c r="A1776" s="35" t="s">
        <v>4687</v>
      </c>
      <c r="B1776" s="35" t="s">
        <v>4688</v>
      </c>
      <c r="C1776" s="35" t="s">
        <v>48</v>
      </c>
      <c r="D1776" s="35" t="s">
        <v>57</v>
      </c>
      <c r="E1776" s="35" t="s">
        <v>261</v>
      </c>
      <c r="F1776" s="35"/>
      <c r="G1776" s="35" t="s">
        <v>262</v>
      </c>
      <c r="H1776" s="35" t="s">
        <v>61</v>
      </c>
      <c r="I1776" s="4"/>
    </row>
    <row r="1777" customFormat="false" ht="15" hidden="false" customHeight="false" outlineLevel="0" collapsed="false">
      <c r="A1777" s="35" t="s">
        <v>4689</v>
      </c>
      <c r="B1777" s="35" t="s">
        <v>4690</v>
      </c>
      <c r="C1777" s="35" t="s">
        <v>48</v>
      </c>
      <c r="D1777" s="35" t="s">
        <v>107</v>
      </c>
      <c r="E1777" s="35" t="s">
        <v>261</v>
      </c>
      <c r="F1777" s="35"/>
      <c r="G1777" s="35" t="s">
        <v>262</v>
      </c>
      <c r="H1777" s="35" t="s">
        <v>61</v>
      </c>
      <c r="I1777" s="4"/>
    </row>
    <row r="1778" customFormat="false" ht="15" hidden="false" customHeight="false" outlineLevel="0" collapsed="false">
      <c r="A1778" s="35" t="s">
        <v>4691</v>
      </c>
      <c r="B1778" s="35" t="s">
        <v>4692</v>
      </c>
      <c r="C1778" s="35" t="s">
        <v>48</v>
      </c>
      <c r="D1778" s="35" t="s">
        <v>107</v>
      </c>
      <c r="E1778" s="35" t="s">
        <v>247</v>
      </c>
      <c r="F1778" s="35"/>
      <c r="G1778" s="35" t="s">
        <v>262</v>
      </c>
      <c r="H1778" s="35" t="s">
        <v>61</v>
      </c>
      <c r="I1778" s="4"/>
    </row>
    <row r="1779" customFormat="false" ht="15" hidden="false" customHeight="false" outlineLevel="0" collapsed="false">
      <c r="A1779" s="35" t="s">
        <v>4693</v>
      </c>
      <c r="B1779" s="35" t="s">
        <v>4694</v>
      </c>
      <c r="C1779" s="35" t="s">
        <v>48</v>
      </c>
      <c r="D1779" s="35" t="s">
        <v>107</v>
      </c>
      <c r="E1779" s="35" t="s">
        <v>247</v>
      </c>
      <c r="F1779" s="35"/>
      <c r="G1779" s="35" t="s">
        <v>104</v>
      </c>
      <c r="H1779" s="35" t="s">
        <v>61</v>
      </c>
      <c r="I1779" s="4"/>
    </row>
    <row r="1780" customFormat="false" ht="15" hidden="false" customHeight="false" outlineLevel="0" collapsed="false">
      <c r="A1780" s="35" t="s">
        <v>4695</v>
      </c>
      <c r="B1780" s="35" t="s">
        <v>4696</v>
      </c>
      <c r="C1780" s="35" t="s">
        <v>48</v>
      </c>
      <c r="D1780" s="35" t="s">
        <v>107</v>
      </c>
      <c r="E1780" s="35" t="s">
        <v>45</v>
      </c>
      <c r="F1780" s="35" t="s">
        <v>4697</v>
      </c>
      <c r="G1780" s="35" t="s">
        <v>421</v>
      </c>
      <c r="H1780" s="35" t="s">
        <v>61</v>
      </c>
      <c r="I1780" s="4"/>
    </row>
    <row r="1781" customFormat="false" ht="15" hidden="false" customHeight="false" outlineLevel="0" collapsed="false">
      <c r="A1781" s="35" t="s">
        <v>400</v>
      </c>
      <c r="B1781" s="35" t="s">
        <v>401</v>
      </c>
      <c r="C1781" s="35" t="s">
        <v>48</v>
      </c>
      <c r="D1781" s="35" t="s">
        <v>57</v>
      </c>
      <c r="E1781" s="35" t="s">
        <v>400</v>
      </c>
      <c r="F1781" s="35"/>
      <c r="G1781" s="35" t="s">
        <v>49</v>
      </c>
      <c r="H1781" s="35" t="s">
        <v>49</v>
      </c>
      <c r="I1781" s="4" t="s">
        <v>2025</v>
      </c>
    </row>
    <row r="1782" customFormat="false" ht="15" hidden="false" customHeight="false" outlineLevel="0" collapsed="false">
      <c r="A1782" s="35" t="s">
        <v>4698</v>
      </c>
      <c r="B1782" s="35" t="s">
        <v>4699</v>
      </c>
      <c r="C1782" s="35" t="s">
        <v>48</v>
      </c>
      <c r="D1782" s="35" t="s">
        <v>57</v>
      </c>
      <c r="E1782" s="35" t="s">
        <v>400</v>
      </c>
      <c r="F1782" s="35"/>
      <c r="G1782" s="35" t="s">
        <v>49</v>
      </c>
      <c r="H1782" s="35" t="s">
        <v>49</v>
      </c>
      <c r="I1782" s="4"/>
    </row>
    <row r="1783" customFormat="false" ht="15" hidden="false" customHeight="false" outlineLevel="0" collapsed="false">
      <c r="A1783" s="35" t="s">
        <v>4700</v>
      </c>
      <c r="B1783" s="35" t="s">
        <v>4701</v>
      </c>
      <c r="C1783" s="35" t="s">
        <v>48</v>
      </c>
      <c r="D1783" s="35" t="s">
        <v>157</v>
      </c>
      <c r="E1783" s="35"/>
      <c r="F1783" s="35"/>
      <c r="G1783" s="35" t="s">
        <v>87</v>
      </c>
      <c r="H1783" s="35" t="s">
        <v>61</v>
      </c>
      <c r="I1783" s="4"/>
    </row>
    <row r="1784" customFormat="false" ht="15" hidden="false" customHeight="false" outlineLevel="0" collapsed="false">
      <c r="A1784" s="35" t="s">
        <v>4702</v>
      </c>
      <c r="B1784" s="35" t="s">
        <v>4703</v>
      </c>
      <c r="C1784" s="35" t="s">
        <v>48</v>
      </c>
      <c r="D1784" s="35" t="s">
        <v>157</v>
      </c>
      <c r="E1784" s="35"/>
      <c r="F1784" s="35"/>
      <c r="G1784" s="35" t="s">
        <v>87</v>
      </c>
      <c r="H1784" s="35" t="s">
        <v>61</v>
      </c>
      <c r="I1784" s="4"/>
    </row>
    <row r="1785" customFormat="false" ht="15" hidden="false" customHeight="false" outlineLevel="0" collapsed="false">
      <c r="A1785" s="35" t="s">
        <v>4704</v>
      </c>
      <c r="B1785" s="35" t="s">
        <v>4705</v>
      </c>
      <c r="C1785" s="35" t="s">
        <v>48</v>
      </c>
      <c r="D1785" s="35" t="s">
        <v>114</v>
      </c>
      <c r="E1785" s="35"/>
      <c r="F1785" s="35"/>
      <c r="G1785" s="35" t="s">
        <v>760</v>
      </c>
      <c r="H1785" s="35" t="s">
        <v>61</v>
      </c>
      <c r="I1785" s="4"/>
    </row>
    <row r="1786" customFormat="false" ht="15" hidden="false" customHeight="false" outlineLevel="0" collapsed="false">
      <c r="A1786" s="35" t="s">
        <v>305</v>
      </c>
      <c r="B1786" s="35" t="s">
        <v>307</v>
      </c>
      <c r="C1786" s="35" t="s">
        <v>48</v>
      </c>
      <c r="D1786" s="35" t="s">
        <v>107</v>
      </c>
      <c r="E1786" s="35" t="s">
        <v>306</v>
      </c>
      <c r="F1786" s="35"/>
      <c r="G1786" s="35" t="s">
        <v>262</v>
      </c>
      <c r="H1786" s="35" t="s">
        <v>61</v>
      </c>
      <c r="I1786" s="4" t="s">
        <v>2025</v>
      </c>
    </row>
    <row r="1787" customFormat="false" ht="15" hidden="false" customHeight="false" outlineLevel="0" collapsed="false">
      <c r="A1787" s="35" t="s">
        <v>4706</v>
      </c>
      <c r="B1787" s="35" t="s">
        <v>4707</v>
      </c>
      <c r="C1787" s="35" t="s">
        <v>48</v>
      </c>
      <c r="D1787" s="35" t="s">
        <v>107</v>
      </c>
      <c r="E1787" s="35" t="s">
        <v>306</v>
      </c>
      <c r="F1787" s="35"/>
      <c r="G1787" s="35" t="s">
        <v>49</v>
      </c>
      <c r="H1787" s="35" t="s">
        <v>49</v>
      </c>
      <c r="I1787" s="4"/>
    </row>
    <row r="1788" customFormat="false" ht="15" hidden="false" customHeight="false" outlineLevel="0" collapsed="false">
      <c r="A1788" s="35" t="s">
        <v>4708</v>
      </c>
      <c r="B1788" s="35" t="s">
        <v>4709</v>
      </c>
      <c r="C1788" s="35" t="s">
        <v>48</v>
      </c>
      <c r="D1788" s="35" t="s">
        <v>107</v>
      </c>
      <c r="E1788" s="35" t="s">
        <v>306</v>
      </c>
      <c r="F1788" s="35"/>
      <c r="G1788" s="35" t="s">
        <v>49</v>
      </c>
      <c r="H1788" s="35" t="s">
        <v>49</v>
      </c>
      <c r="I1788" s="4"/>
    </row>
    <row r="1789" customFormat="false" ht="15" hidden="false" customHeight="false" outlineLevel="0" collapsed="false">
      <c r="A1789" s="35" t="s">
        <v>4710</v>
      </c>
      <c r="B1789" s="35" t="s">
        <v>4711</v>
      </c>
      <c r="C1789" s="35" t="s">
        <v>48</v>
      </c>
      <c r="D1789" s="35" t="s">
        <v>107</v>
      </c>
      <c r="E1789" s="35" t="s">
        <v>306</v>
      </c>
      <c r="F1789" s="35"/>
      <c r="G1789" s="35" t="s">
        <v>262</v>
      </c>
      <c r="H1789" s="35" t="s">
        <v>2071</v>
      </c>
      <c r="I1789" s="4"/>
    </row>
    <row r="1790" customFormat="false" ht="15" hidden="false" customHeight="false" outlineLevel="0" collapsed="false">
      <c r="A1790" s="35" t="s">
        <v>4712</v>
      </c>
      <c r="B1790" s="35" t="s">
        <v>4713</v>
      </c>
      <c r="C1790" s="35" t="s">
        <v>48</v>
      </c>
      <c r="D1790" s="35" t="s">
        <v>157</v>
      </c>
      <c r="E1790" s="35"/>
      <c r="F1790" s="35"/>
      <c r="G1790" s="35" t="s">
        <v>682</v>
      </c>
      <c r="H1790" s="35" t="s">
        <v>49</v>
      </c>
      <c r="I1790" s="4"/>
    </row>
    <row r="1791" customFormat="false" ht="15" hidden="false" customHeight="false" outlineLevel="0" collapsed="false">
      <c r="A1791" s="35" t="s">
        <v>4714</v>
      </c>
      <c r="B1791" s="35" t="s">
        <v>4715</v>
      </c>
      <c r="C1791" s="35" t="s">
        <v>48</v>
      </c>
      <c r="D1791" s="35" t="s">
        <v>157</v>
      </c>
      <c r="E1791" s="35"/>
      <c r="F1791" s="35"/>
      <c r="G1791" s="35" t="s">
        <v>682</v>
      </c>
      <c r="H1791" s="35" t="s">
        <v>49</v>
      </c>
      <c r="I1791" s="4"/>
    </row>
    <row r="1792" customFormat="false" ht="15" hidden="false" customHeight="false" outlineLevel="0" collapsed="false">
      <c r="A1792" s="35" t="s">
        <v>4716</v>
      </c>
      <c r="B1792" s="35" t="s">
        <v>4717</v>
      </c>
      <c r="C1792" s="35" t="s">
        <v>48</v>
      </c>
      <c r="D1792" s="35" t="s">
        <v>157</v>
      </c>
      <c r="E1792" s="35"/>
      <c r="F1792" s="35"/>
      <c r="G1792" s="35" t="s">
        <v>682</v>
      </c>
      <c r="H1792" s="35" t="s">
        <v>49</v>
      </c>
      <c r="I1792" s="4"/>
    </row>
    <row r="1793" customFormat="false" ht="15" hidden="false" customHeight="false" outlineLevel="0" collapsed="false">
      <c r="A1793" s="35" t="s">
        <v>4718</v>
      </c>
      <c r="B1793" s="35" t="s">
        <v>4719</v>
      </c>
      <c r="C1793" s="35" t="s">
        <v>48</v>
      </c>
      <c r="D1793" s="35" t="s">
        <v>157</v>
      </c>
      <c r="E1793" s="35"/>
      <c r="F1793" s="35"/>
      <c r="G1793" s="35" t="s">
        <v>682</v>
      </c>
      <c r="H1793" s="35" t="s">
        <v>49</v>
      </c>
      <c r="I1793" s="4"/>
    </row>
    <row r="1794" customFormat="false" ht="15" hidden="false" customHeight="false" outlineLevel="0" collapsed="false">
      <c r="A1794" s="35" t="s">
        <v>4720</v>
      </c>
      <c r="B1794" s="35" t="s">
        <v>4721</v>
      </c>
      <c r="C1794" s="35" t="s">
        <v>48</v>
      </c>
      <c r="D1794" s="35" t="s">
        <v>157</v>
      </c>
      <c r="E1794" s="35"/>
      <c r="F1794" s="35"/>
      <c r="G1794" s="35" t="s">
        <v>682</v>
      </c>
      <c r="H1794" s="35" t="s">
        <v>49</v>
      </c>
      <c r="I1794" s="4"/>
    </row>
    <row r="1795" customFormat="false" ht="15" hidden="false" customHeight="false" outlineLevel="0" collapsed="false">
      <c r="A1795" s="35" t="s">
        <v>4722</v>
      </c>
      <c r="B1795" s="35" t="s">
        <v>4723</v>
      </c>
      <c r="C1795" s="35" t="s">
        <v>48</v>
      </c>
      <c r="D1795" s="35" t="s">
        <v>114</v>
      </c>
      <c r="E1795" s="35"/>
      <c r="F1795" s="35"/>
      <c r="G1795" s="35" t="s">
        <v>682</v>
      </c>
      <c r="H1795" s="35" t="s">
        <v>49</v>
      </c>
      <c r="I1795" s="4"/>
    </row>
    <row r="1796" customFormat="false" ht="15" hidden="false" customHeight="false" outlineLevel="0" collapsed="false">
      <c r="A1796" s="35" t="s">
        <v>4724</v>
      </c>
      <c r="B1796" s="35" t="s">
        <v>4725</v>
      </c>
      <c r="C1796" s="35" t="s">
        <v>48</v>
      </c>
      <c r="D1796" s="35" t="s">
        <v>157</v>
      </c>
      <c r="E1796" s="35"/>
      <c r="F1796" s="35"/>
      <c r="G1796" s="35" t="s">
        <v>682</v>
      </c>
      <c r="H1796" s="35" t="s">
        <v>49</v>
      </c>
      <c r="I1796" s="4"/>
    </row>
    <row r="1797" customFormat="false" ht="15" hidden="false" customHeight="false" outlineLevel="0" collapsed="false">
      <c r="A1797" s="35" t="s">
        <v>4726</v>
      </c>
      <c r="B1797" s="35" t="s">
        <v>4727</v>
      </c>
      <c r="C1797" s="35" t="s">
        <v>48</v>
      </c>
      <c r="D1797" s="35" t="s">
        <v>157</v>
      </c>
      <c r="E1797" s="35"/>
      <c r="F1797" s="35"/>
      <c r="G1797" s="35" t="s">
        <v>682</v>
      </c>
      <c r="H1797" s="35" t="s">
        <v>49</v>
      </c>
      <c r="I1797" s="4"/>
    </row>
    <row r="1798" customFormat="false" ht="15" hidden="false" customHeight="false" outlineLevel="0" collapsed="false">
      <c r="A1798" s="35" t="s">
        <v>4728</v>
      </c>
      <c r="B1798" s="35" t="s">
        <v>4729</v>
      </c>
      <c r="C1798" s="35" t="s">
        <v>48</v>
      </c>
      <c r="D1798" s="35" t="s">
        <v>157</v>
      </c>
      <c r="E1798" s="35"/>
      <c r="F1798" s="35"/>
      <c r="G1798" s="35" t="s">
        <v>682</v>
      </c>
      <c r="H1798" s="35" t="s">
        <v>49</v>
      </c>
      <c r="I1798" s="4"/>
    </row>
    <row r="1799" customFormat="false" ht="15" hidden="false" customHeight="false" outlineLevel="0" collapsed="false">
      <c r="A1799" s="35" t="s">
        <v>4730</v>
      </c>
      <c r="B1799" s="35" t="s">
        <v>4731</v>
      </c>
      <c r="C1799" s="35" t="s">
        <v>48</v>
      </c>
      <c r="D1799" s="35" t="s">
        <v>157</v>
      </c>
      <c r="E1799" s="35"/>
      <c r="F1799" s="35"/>
      <c r="G1799" s="35" t="s">
        <v>682</v>
      </c>
      <c r="H1799" s="35" t="s">
        <v>49</v>
      </c>
      <c r="I1799" s="4"/>
    </row>
    <row r="1800" customFormat="false" ht="15" hidden="false" customHeight="false" outlineLevel="0" collapsed="false">
      <c r="A1800" s="35" t="s">
        <v>4732</v>
      </c>
      <c r="B1800" s="35" t="s">
        <v>4733</v>
      </c>
      <c r="C1800" s="35" t="s">
        <v>48</v>
      </c>
      <c r="D1800" s="35" t="s">
        <v>53</v>
      </c>
      <c r="E1800" s="35"/>
      <c r="F1800" s="35"/>
      <c r="G1800" s="35" t="s">
        <v>682</v>
      </c>
      <c r="H1800" s="35" t="s">
        <v>61</v>
      </c>
      <c r="I1800" s="4"/>
    </row>
    <row r="1801" customFormat="false" ht="15" hidden="false" customHeight="false" outlineLevel="0" collapsed="false">
      <c r="A1801" s="35" t="s">
        <v>4734</v>
      </c>
      <c r="B1801" s="35" t="s">
        <v>4733</v>
      </c>
      <c r="C1801" s="35" t="s">
        <v>48</v>
      </c>
      <c r="D1801" s="35" t="s">
        <v>53</v>
      </c>
      <c r="E1801" s="35"/>
      <c r="F1801" s="35"/>
      <c r="G1801" s="35" t="s">
        <v>682</v>
      </c>
      <c r="H1801" s="35" t="s">
        <v>61</v>
      </c>
      <c r="I1801" s="4"/>
    </row>
    <row r="1802" customFormat="false" ht="15" hidden="false" customHeight="false" outlineLevel="0" collapsed="false">
      <c r="A1802" s="35" t="s">
        <v>4735</v>
      </c>
      <c r="B1802" s="35" t="s">
        <v>4736</v>
      </c>
      <c r="C1802" s="35" t="s">
        <v>48</v>
      </c>
      <c r="D1802" s="35" t="s">
        <v>157</v>
      </c>
      <c r="E1802" s="35"/>
      <c r="F1802" s="35"/>
      <c r="G1802" s="35" t="s">
        <v>682</v>
      </c>
      <c r="H1802" s="35" t="s">
        <v>49</v>
      </c>
      <c r="I1802" s="4"/>
    </row>
    <row r="1803" customFormat="false" ht="15" hidden="false" customHeight="false" outlineLevel="0" collapsed="false">
      <c r="A1803" s="35" t="s">
        <v>4737</v>
      </c>
      <c r="B1803" s="35" t="s">
        <v>4738</v>
      </c>
      <c r="C1803" s="35" t="s">
        <v>48</v>
      </c>
      <c r="D1803" s="35" t="s">
        <v>114</v>
      </c>
      <c r="E1803" s="35"/>
      <c r="F1803" s="35"/>
      <c r="G1803" s="35" t="s">
        <v>682</v>
      </c>
      <c r="H1803" s="35" t="s">
        <v>49</v>
      </c>
      <c r="I1803" s="4"/>
    </row>
    <row r="1804" customFormat="false" ht="15" hidden="false" customHeight="false" outlineLevel="0" collapsed="false">
      <c r="A1804" s="35" t="s">
        <v>4739</v>
      </c>
      <c r="B1804" s="35" t="s">
        <v>4740</v>
      </c>
      <c r="C1804" s="35" t="s">
        <v>48</v>
      </c>
      <c r="D1804" s="35" t="s">
        <v>157</v>
      </c>
      <c r="E1804" s="35"/>
      <c r="F1804" s="35"/>
      <c r="G1804" s="35" t="s">
        <v>682</v>
      </c>
      <c r="H1804" s="35" t="s">
        <v>49</v>
      </c>
      <c r="I1804" s="4"/>
    </row>
    <row r="1805" customFormat="false" ht="15" hidden="false" customHeight="false" outlineLevel="0" collapsed="false">
      <c r="A1805" s="35" t="s">
        <v>4741</v>
      </c>
      <c r="B1805" s="35" t="s">
        <v>4742</v>
      </c>
      <c r="C1805" s="35" t="s">
        <v>48</v>
      </c>
      <c r="D1805" s="35" t="s">
        <v>157</v>
      </c>
      <c r="E1805" s="35"/>
      <c r="F1805" s="35"/>
      <c r="G1805" s="35" t="s">
        <v>682</v>
      </c>
      <c r="H1805" s="35" t="s">
        <v>49</v>
      </c>
      <c r="I1805" s="4"/>
    </row>
    <row r="1806" customFormat="false" ht="15" hidden="false" customHeight="false" outlineLevel="0" collapsed="false">
      <c r="A1806" s="35" t="s">
        <v>4743</v>
      </c>
      <c r="B1806" s="35" t="s">
        <v>4744</v>
      </c>
      <c r="C1806" s="35" t="s">
        <v>48</v>
      </c>
      <c r="D1806" s="35" t="s">
        <v>114</v>
      </c>
      <c r="E1806" s="35"/>
      <c r="F1806" s="35"/>
      <c r="G1806" s="35" t="s">
        <v>682</v>
      </c>
      <c r="H1806" s="35" t="s">
        <v>49</v>
      </c>
      <c r="I1806" s="4"/>
    </row>
    <row r="1807" customFormat="false" ht="15" hidden="false" customHeight="false" outlineLevel="0" collapsed="false">
      <c r="A1807" s="35" t="s">
        <v>4745</v>
      </c>
      <c r="B1807" s="35" t="s">
        <v>4746</v>
      </c>
      <c r="C1807" s="35" t="s">
        <v>48</v>
      </c>
      <c r="D1807" s="35" t="s">
        <v>157</v>
      </c>
      <c r="E1807" s="35"/>
      <c r="F1807" s="35"/>
      <c r="G1807" s="35" t="s">
        <v>682</v>
      </c>
      <c r="H1807" s="35" t="s">
        <v>49</v>
      </c>
      <c r="I1807" s="4"/>
    </row>
    <row r="1808" customFormat="false" ht="15" hidden="false" customHeight="false" outlineLevel="0" collapsed="false">
      <c r="A1808" s="35" t="s">
        <v>4747</v>
      </c>
      <c r="B1808" s="35" t="s">
        <v>4748</v>
      </c>
      <c r="C1808" s="35" t="s">
        <v>48</v>
      </c>
      <c r="D1808" s="35" t="s">
        <v>107</v>
      </c>
      <c r="E1808" s="35" t="s">
        <v>1113</v>
      </c>
      <c r="F1808" s="35"/>
      <c r="G1808" s="35" t="s">
        <v>682</v>
      </c>
      <c r="H1808" s="35" t="s">
        <v>49</v>
      </c>
      <c r="I1808" s="4"/>
    </row>
    <row r="1809" customFormat="false" ht="15" hidden="false" customHeight="false" outlineLevel="0" collapsed="false">
      <c r="A1809" s="35" t="s">
        <v>4749</v>
      </c>
      <c r="B1809" s="35" t="s">
        <v>4750</v>
      </c>
      <c r="C1809" s="35" t="s">
        <v>48</v>
      </c>
      <c r="D1809" s="35" t="s">
        <v>107</v>
      </c>
      <c r="E1809" s="35" t="s">
        <v>1113</v>
      </c>
      <c r="F1809" s="35"/>
      <c r="G1809" s="35" t="s">
        <v>682</v>
      </c>
      <c r="H1809" s="35" t="s">
        <v>49</v>
      </c>
      <c r="I1809" s="4"/>
    </row>
    <row r="1810" customFormat="false" ht="15" hidden="false" customHeight="false" outlineLevel="0" collapsed="false">
      <c r="A1810" s="35" t="s">
        <v>4751</v>
      </c>
      <c r="B1810" s="35" t="s">
        <v>4752</v>
      </c>
      <c r="C1810" s="35" t="s">
        <v>48</v>
      </c>
      <c r="D1810" s="35" t="s">
        <v>157</v>
      </c>
      <c r="E1810" s="35"/>
      <c r="F1810" s="35"/>
      <c r="G1810" s="35" t="s">
        <v>682</v>
      </c>
      <c r="H1810" s="35" t="s">
        <v>49</v>
      </c>
      <c r="I1810" s="4"/>
    </row>
    <row r="1811" customFormat="false" ht="15" hidden="false" customHeight="false" outlineLevel="0" collapsed="false">
      <c r="A1811" s="35" t="s">
        <v>4753</v>
      </c>
      <c r="B1811" s="35" t="s">
        <v>4754</v>
      </c>
      <c r="C1811" s="35" t="s">
        <v>48</v>
      </c>
      <c r="D1811" s="35" t="s">
        <v>157</v>
      </c>
      <c r="E1811" s="35"/>
      <c r="F1811" s="35"/>
      <c r="G1811" s="35" t="s">
        <v>682</v>
      </c>
      <c r="H1811" s="35" t="s">
        <v>49</v>
      </c>
      <c r="I1811" s="4"/>
    </row>
    <row r="1812" customFormat="false" ht="15" hidden="false" customHeight="false" outlineLevel="0" collapsed="false">
      <c r="A1812" s="35" t="s">
        <v>4755</v>
      </c>
      <c r="B1812" s="35" t="s">
        <v>4756</v>
      </c>
      <c r="C1812" s="35" t="s">
        <v>48</v>
      </c>
      <c r="D1812" s="35" t="s">
        <v>114</v>
      </c>
      <c r="E1812" s="35"/>
      <c r="F1812" s="35"/>
      <c r="G1812" s="35" t="s">
        <v>682</v>
      </c>
      <c r="H1812" s="35" t="s">
        <v>49</v>
      </c>
      <c r="I1812" s="4"/>
    </row>
    <row r="1813" customFormat="false" ht="15" hidden="false" customHeight="false" outlineLevel="0" collapsed="false">
      <c r="A1813" s="35" t="s">
        <v>4757</v>
      </c>
      <c r="B1813" s="35" t="s">
        <v>4758</v>
      </c>
      <c r="C1813" s="35" t="s">
        <v>48</v>
      </c>
      <c r="D1813" s="35" t="s">
        <v>157</v>
      </c>
      <c r="E1813" s="35"/>
      <c r="F1813" s="35"/>
      <c r="G1813" s="35" t="s">
        <v>682</v>
      </c>
      <c r="H1813" s="35" t="s">
        <v>49</v>
      </c>
      <c r="I1813" s="4"/>
    </row>
    <row r="1814" customFormat="false" ht="15" hidden="false" customHeight="false" outlineLevel="0" collapsed="false">
      <c r="A1814" s="35" t="s">
        <v>4759</v>
      </c>
      <c r="B1814" s="35" t="s">
        <v>4760</v>
      </c>
      <c r="C1814" s="35" t="s">
        <v>48</v>
      </c>
      <c r="D1814" s="35" t="s">
        <v>53</v>
      </c>
      <c r="E1814" s="35"/>
      <c r="F1814" s="35"/>
      <c r="G1814" s="35" t="s">
        <v>682</v>
      </c>
      <c r="H1814" s="35" t="s">
        <v>49</v>
      </c>
      <c r="I1814" s="4"/>
    </row>
    <row r="1815" customFormat="false" ht="15" hidden="false" customHeight="false" outlineLevel="0" collapsed="false">
      <c r="A1815" s="35" t="s">
        <v>4761</v>
      </c>
      <c r="B1815" s="35" t="s">
        <v>4762</v>
      </c>
      <c r="C1815" s="35" t="s">
        <v>48</v>
      </c>
      <c r="D1815" s="35" t="s">
        <v>157</v>
      </c>
      <c r="E1815" s="35"/>
      <c r="F1815" s="35"/>
      <c r="G1815" s="35" t="s">
        <v>682</v>
      </c>
      <c r="H1815" s="35" t="s">
        <v>49</v>
      </c>
      <c r="I1815" s="4"/>
    </row>
    <row r="1816" customFormat="false" ht="15" hidden="false" customHeight="false" outlineLevel="0" collapsed="false">
      <c r="A1816" s="35" t="s">
        <v>1592</v>
      </c>
      <c r="B1816" s="35" t="s">
        <v>4763</v>
      </c>
      <c r="C1816" s="35" t="s">
        <v>48</v>
      </c>
      <c r="D1816" s="35" t="s">
        <v>57</v>
      </c>
      <c r="E1816" s="35" t="s">
        <v>1592</v>
      </c>
      <c r="F1816" s="35"/>
      <c r="G1816" s="35" t="s">
        <v>682</v>
      </c>
      <c r="H1816" s="35" t="s">
        <v>49</v>
      </c>
      <c r="I1816" s="4"/>
    </row>
    <row r="1817" customFormat="false" ht="15" hidden="false" customHeight="false" outlineLevel="0" collapsed="false">
      <c r="A1817" s="35" t="s">
        <v>4764</v>
      </c>
      <c r="B1817" s="35" t="s">
        <v>4765</v>
      </c>
      <c r="C1817" s="35" t="s">
        <v>48</v>
      </c>
      <c r="D1817" s="35" t="s">
        <v>107</v>
      </c>
      <c r="E1817" s="35" t="s">
        <v>591</v>
      </c>
      <c r="F1817" s="35"/>
      <c r="G1817" s="35" t="s">
        <v>571</v>
      </c>
      <c r="H1817" s="35" t="s">
        <v>61</v>
      </c>
      <c r="I1817" s="4"/>
    </row>
    <row r="1818" customFormat="false" ht="15" hidden="false" customHeight="false" outlineLevel="0" collapsed="false">
      <c r="A1818" s="35" t="s">
        <v>1594</v>
      </c>
      <c r="B1818" s="35" t="s">
        <v>4766</v>
      </c>
      <c r="C1818" s="35" t="s">
        <v>48</v>
      </c>
      <c r="D1818" s="35" t="s">
        <v>107</v>
      </c>
      <c r="E1818" s="35" t="s">
        <v>1593</v>
      </c>
      <c r="F1818" s="35"/>
      <c r="G1818" s="35" t="s">
        <v>571</v>
      </c>
      <c r="H1818" s="35" t="s">
        <v>61</v>
      </c>
      <c r="I1818" s="4"/>
    </row>
    <row r="1819" customFormat="false" ht="15" hidden="false" customHeight="false" outlineLevel="0" collapsed="false">
      <c r="A1819" s="35" t="s">
        <v>4767</v>
      </c>
      <c r="B1819" s="35" t="s">
        <v>4768</v>
      </c>
      <c r="C1819" s="35" t="s">
        <v>48</v>
      </c>
      <c r="D1819" s="35" t="s">
        <v>665</v>
      </c>
      <c r="E1819" s="35"/>
      <c r="F1819" s="35"/>
      <c r="G1819" s="35" t="s">
        <v>571</v>
      </c>
      <c r="H1819" s="35" t="s">
        <v>61</v>
      </c>
      <c r="I1819" s="4"/>
    </row>
    <row r="1820" customFormat="false" ht="15" hidden="false" customHeight="false" outlineLevel="0" collapsed="false">
      <c r="A1820" s="35" t="s">
        <v>1596</v>
      </c>
      <c r="B1820" s="35" t="s">
        <v>4769</v>
      </c>
      <c r="C1820" s="35" t="s">
        <v>48</v>
      </c>
      <c r="D1820" s="35" t="s">
        <v>107</v>
      </c>
      <c r="E1820" s="35" t="s">
        <v>1595</v>
      </c>
      <c r="F1820" s="35"/>
      <c r="G1820" s="35" t="s">
        <v>571</v>
      </c>
      <c r="H1820" s="35" t="s">
        <v>61</v>
      </c>
      <c r="I1820" s="4"/>
    </row>
    <row r="1821" customFormat="false" ht="15" hidden="false" customHeight="false" outlineLevel="0" collapsed="false">
      <c r="A1821" s="35" t="s">
        <v>4770</v>
      </c>
      <c r="B1821" s="35" t="s">
        <v>4771</v>
      </c>
      <c r="C1821" s="35" t="s">
        <v>48</v>
      </c>
      <c r="D1821" s="35" t="s">
        <v>114</v>
      </c>
      <c r="E1821" s="35"/>
      <c r="F1821" s="35"/>
      <c r="G1821" s="35" t="s">
        <v>99</v>
      </c>
      <c r="H1821" s="35" t="s">
        <v>61</v>
      </c>
      <c r="I1821" s="4"/>
    </row>
    <row r="1822" customFormat="false" ht="15" hidden="false" customHeight="false" outlineLevel="0" collapsed="false">
      <c r="A1822" s="35" t="s">
        <v>4772</v>
      </c>
      <c r="B1822" s="35" t="s">
        <v>4773</v>
      </c>
      <c r="C1822" s="35" t="s">
        <v>48</v>
      </c>
      <c r="D1822" s="35" t="s">
        <v>57</v>
      </c>
      <c r="E1822" s="35" t="s">
        <v>756</v>
      </c>
      <c r="F1822" s="35"/>
      <c r="G1822" s="35" t="s">
        <v>99</v>
      </c>
      <c r="H1822" s="35" t="s">
        <v>61</v>
      </c>
      <c r="I1822" s="4"/>
    </row>
    <row r="1823" customFormat="false" ht="15" hidden="false" customHeight="false" outlineLevel="0" collapsed="false">
      <c r="A1823" s="35" t="s">
        <v>4774</v>
      </c>
      <c r="B1823" s="35" t="s">
        <v>4775</v>
      </c>
      <c r="C1823" s="35" t="s">
        <v>48</v>
      </c>
      <c r="D1823" s="35" t="s">
        <v>57</v>
      </c>
      <c r="E1823" s="35" t="s">
        <v>45</v>
      </c>
      <c r="F1823" s="35"/>
      <c r="G1823" s="35" t="s">
        <v>99</v>
      </c>
      <c r="H1823" s="35" t="s">
        <v>61</v>
      </c>
      <c r="I1823" s="4"/>
    </row>
    <row r="1824" customFormat="false" ht="15" hidden="false" customHeight="false" outlineLevel="0" collapsed="false">
      <c r="A1824" s="35" t="s">
        <v>4776</v>
      </c>
      <c r="B1824" s="35" t="s">
        <v>4777</v>
      </c>
      <c r="C1824" s="35" t="s">
        <v>48</v>
      </c>
      <c r="D1824" s="35" t="s">
        <v>53</v>
      </c>
      <c r="E1824" s="35"/>
      <c r="F1824" s="35"/>
      <c r="G1824" s="35" t="s">
        <v>444</v>
      </c>
      <c r="H1824" s="35" t="s">
        <v>61</v>
      </c>
      <c r="I1824" s="4"/>
    </row>
    <row r="1825" customFormat="false" ht="15" hidden="false" customHeight="false" outlineLevel="0" collapsed="false">
      <c r="A1825" s="35" t="s">
        <v>4778</v>
      </c>
      <c r="B1825" s="35" t="s">
        <v>4779</v>
      </c>
      <c r="C1825" s="35" t="s">
        <v>48</v>
      </c>
      <c r="D1825" s="35" t="s">
        <v>107</v>
      </c>
      <c r="E1825" s="35" t="s">
        <v>484</v>
      </c>
      <c r="F1825" s="35"/>
      <c r="G1825" s="35" t="s">
        <v>444</v>
      </c>
      <c r="H1825" s="35" t="s">
        <v>61</v>
      </c>
      <c r="I1825" s="4"/>
    </row>
    <row r="1826" customFormat="false" ht="15" hidden="false" customHeight="false" outlineLevel="0" collapsed="false">
      <c r="A1826" s="35" t="s">
        <v>1600</v>
      </c>
      <c r="B1826" s="35" t="s">
        <v>4780</v>
      </c>
      <c r="C1826" s="35" t="s">
        <v>48</v>
      </c>
      <c r="D1826" s="35" t="s">
        <v>107</v>
      </c>
      <c r="E1826" s="35" t="s">
        <v>1599</v>
      </c>
      <c r="F1826" s="35"/>
      <c r="G1826" s="35" t="s">
        <v>444</v>
      </c>
      <c r="H1826" s="35" t="s">
        <v>61</v>
      </c>
      <c r="I1826" s="4"/>
    </row>
    <row r="1827" customFormat="false" ht="15" hidden="false" customHeight="false" outlineLevel="0" collapsed="false">
      <c r="A1827" s="35" t="s">
        <v>4781</v>
      </c>
      <c r="B1827" s="35" t="s">
        <v>4782</v>
      </c>
      <c r="C1827" s="35" t="s">
        <v>48</v>
      </c>
      <c r="D1827" s="35" t="s">
        <v>53</v>
      </c>
      <c r="E1827" s="35"/>
      <c r="F1827" s="35"/>
      <c r="G1827" s="35" t="s">
        <v>87</v>
      </c>
      <c r="H1827" s="35" t="s">
        <v>61</v>
      </c>
      <c r="I1827" s="4"/>
    </row>
    <row r="1828" customFormat="false" ht="15" hidden="false" customHeight="false" outlineLevel="0" collapsed="false">
      <c r="A1828" s="35" t="s">
        <v>415</v>
      </c>
      <c r="B1828" s="35" t="s">
        <v>416</v>
      </c>
      <c r="C1828" s="35" t="s">
        <v>48</v>
      </c>
      <c r="D1828" s="35" t="s">
        <v>107</v>
      </c>
      <c r="E1828" s="35" t="s">
        <v>415</v>
      </c>
      <c r="F1828" s="35"/>
      <c r="G1828" s="35" t="s">
        <v>417</v>
      </c>
      <c r="H1828" s="35" t="s">
        <v>61</v>
      </c>
      <c r="I1828" s="4" t="s">
        <v>2025</v>
      </c>
    </row>
    <row r="1829" customFormat="false" ht="15" hidden="false" customHeight="false" outlineLevel="0" collapsed="false">
      <c r="A1829" s="35" t="s">
        <v>1602</v>
      </c>
      <c r="B1829" s="35" t="s">
        <v>4783</v>
      </c>
      <c r="C1829" s="35" t="s">
        <v>48</v>
      </c>
      <c r="D1829" s="35" t="s">
        <v>107</v>
      </c>
      <c r="E1829" s="35" t="s">
        <v>1601</v>
      </c>
      <c r="F1829" s="35"/>
      <c r="G1829" s="35" t="s">
        <v>417</v>
      </c>
      <c r="H1829" s="35" t="s">
        <v>61</v>
      </c>
      <c r="I1829" s="4"/>
    </row>
    <row r="1830" customFormat="false" ht="15" hidden="false" customHeight="false" outlineLevel="0" collapsed="false">
      <c r="A1830" s="35" t="s">
        <v>4784</v>
      </c>
      <c r="B1830" s="35" t="s">
        <v>4785</v>
      </c>
      <c r="C1830" s="35" t="s">
        <v>48</v>
      </c>
      <c r="D1830" s="35" t="s">
        <v>57</v>
      </c>
      <c r="E1830" s="35" t="s">
        <v>347</v>
      </c>
      <c r="F1830" s="35"/>
      <c r="G1830" s="35" t="s">
        <v>337</v>
      </c>
      <c r="H1830" s="35" t="s">
        <v>61</v>
      </c>
      <c r="I1830" s="4"/>
    </row>
    <row r="1831" customFormat="false" ht="15" hidden="false" customHeight="false" outlineLevel="0" collapsed="false">
      <c r="A1831" s="35" t="s">
        <v>4786</v>
      </c>
      <c r="B1831" s="35" t="s">
        <v>4787</v>
      </c>
      <c r="C1831" s="35" t="s">
        <v>48</v>
      </c>
      <c r="D1831" s="35" t="s">
        <v>53</v>
      </c>
      <c r="E1831" s="35"/>
      <c r="F1831" s="35"/>
      <c r="G1831" s="35" t="s">
        <v>337</v>
      </c>
      <c r="H1831" s="35" t="s">
        <v>61</v>
      </c>
      <c r="I1831" s="4"/>
    </row>
    <row r="1832" customFormat="false" ht="15" hidden="false" customHeight="false" outlineLevel="0" collapsed="false">
      <c r="A1832" s="35" t="s">
        <v>4788</v>
      </c>
      <c r="B1832" s="35" t="s">
        <v>4789</v>
      </c>
      <c r="C1832" s="35" t="s">
        <v>48</v>
      </c>
      <c r="D1832" s="35" t="s">
        <v>107</v>
      </c>
      <c r="E1832" s="35" t="s">
        <v>347</v>
      </c>
      <c r="F1832" s="35"/>
      <c r="G1832" s="35" t="s">
        <v>337</v>
      </c>
      <c r="H1832" s="35" t="s">
        <v>61</v>
      </c>
      <c r="I1832" s="4"/>
    </row>
    <row r="1833" customFormat="false" ht="15" hidden="false" customHeight="false" outlineLevel="0" collapsed="false">
      <c r="A1833" s="35" t="s">
        <v>4790</v>
      </c>
      <c r="B1833" s="35" t="s">
        <v>4791</v>
      </c>
      <c r="C1833" s="35" t="s">
        <v>48</v>
      </c>
      <c r="D1833" s="35" t="s">
        <v>107</v>
      </c>
      <c r="E1833" s="35" t="s">
        <v>347</v>
      </c>
      <c r="F1833" s="35"/>
      <c r="G1833" s="35" t="s">
        <v>337</v>
      </c>
      <c r="H1833" s="35" t="s">
        <v>61</v>
      </c>
      <c r="I1833" s="4"/>
    </row>
    <row r="1834" customFormat="false" ht="15" hidden="false" customHeight="false" outlineLevel="0" collapsed="false">
      <c r="A1834" s="35" t="s">
        <v>4792</v>
      </c>
      <c r="B1834" s="35" t="s">
        <v>4793</v>
      </c>
      <c r="C1834" s="35" t="s">
        <v>48</v>
      </c>
      <c r="D1834" s="35" t="s">
        <v>53</v>
      </c>
      <c r="E1834" s="35"/>
      <c r="F1834" s="35"/>
      <c r="G1834" s="35" t="s">
        <v>87</v>
      </c>
      <c r="H1834" s="35" t="s">
        <v>61</v>
      </c>
      <c r="I1834" s="4"/>
    </row>
    <row r="1835" customFormat="false" ht="15" hidden="false" customHeight="false" outlineLevel="0" collapsed="false">
      <c r="A1835" s="35" t="s">
        <v>4794</v>
      </c>
      <c r="B1835" s="35" t="s">
        <v>4795</v>
      </c>
      <c r="C1835" s="35" t="s">
        <v>48</v>
      </c>
      <c r="D1835" s="35" t="s">
        <v>53</v>
      </c>
      <c r="E1835" s="35"/>
      <c r="F1835" s="35"/>
      <c r="G1835" s="35" t="s">
        <v>680</v>
      </c>
      <c r="H1835" s="35" t="s">
        <v>61</v>
      </c>
      <c r="I1835" s="4"/>
    </row>
    <row r="1836" customFormat="false" ht="15" hidden="false" customHeight="false" outlineLevel="0" collapsed="false">
      <c r="A1836" s="35" t="s">
        <v>4796</v>
      </c>
      <c r="B1836" s="35" t="s">
        <v>4797</v>
      </c>
      <c r="C1836" s="35" t="s">
        <v>48</v>
      </c>
      <c r="D1836" s="35" t="s">
        <v>53</v>
      </c>
      <c r="E1836" s="35"/>
      <c r="F1836" s="35"/>
      <c r="G1836" s="35" t="s">
        <v>680</v>
      </c>
      <c r="H1836" s="35" t="s">
        <v>61</v>
      </c>
      <c r="I1836" s="4"/>
    </row>
    <row r="1837" customFormat="false" ht="15" hidden="false" customHeight="false" outlineLevel="0" collapsed="false">
      <c r="A1837" s="35" t="s">
        <v>4798</v>
      </c>
      <c r="B1837" s="35" t="s">
        <v>4799</v>
      </c>
      <c r="C1837" s="35" t="s">
        <v>48</v>
      </c>
      <c r="D1837" s="35" t="s">
        <v>53</v>
      </c>
      <c r="E1837" s="35"/>
      <c r="F1837" s="35"/>
      <c r="G1837" s="35" t="s">
        <v>680</v>
      </c>
      <c r="H1837" s="35" t="s">
        <v>61</v>
      </c>
      <c r="I1837" s="4"/>
    </row>
    <row r="1838" customFormat="false" ht="15" hidden="false" customHeight="false" outlineLevel="0" collapsed="false">
      <c r="A1838" s="35" t="s">
        <v>4800</v>
      </c>
      <c r="B1838" s="35" t="s">
        <v>4801</v>
      </c>
      <c r="C1838" s="35" t="s">
        <v>48</v>
      </c>
      <c r="D1838" s="35" t="s">
        <v>146</v>
      </c>
      <c r="E1838" s="35"/>
      <c r="F1838" s="35"/>
      <c r="G1838" s="35" t="s">
        <v>104</v>
      </c>
      <c r="H1838" s="35" t="s">
        <v>61</v>
      </c>
      <c r="I1838" s="4"/>
    </row>
    <row r="1839" customFormat="false" ht="15" hidden="false" customHeight="false" outlineLevel="0" collapsed="false">
      <c r="A1839" s="35" t="s">
        <v>4802</v>
      </c>
      <c r="B1839" s="35" t="s">
        <v>4803</v>
      </c>
      <c r="C1839" s="35" t="s">
        <v>48</v>
      </c>
      <c r="D1839" s="35" t="s">
        <v>114</v>
      </c>
      <c r="E1839" s="35"/>
      <c r="F1839" s="35"/>
      <c r="G1839" s="35" t="s">
        <v>104</v>
      </c>
      <c r="H1839" s="35" t="s">
        <v>61</v>
      </c>
      <c r="I1839" s="4"/>
    </row>
    <row r="1840" customFormat="false" ht="15" hidden="false" customHeight="false" outlineLevel="0" collapsed="false">
      <c r="A1840" s="35" t="s">
        <v>4804</v>
      </c>
      <c r="B1840" s="35" t="s">
        <v>4805</v>
      </c>
      <c r="C1840" s="35" t="s">
        <v>48</v>
      </c>
      <c r="D1840" s="35" t="s">
        <v>114</v>
      </c>
      <c r="E1840" s="35"/>
      <c r="F1840" s="35"/>
      <c r="G1840" s="35" t="s">
        <v>104</v>
      </c>
      <c r="H1840" s="35" t="s">
        <v>61</v>
      </c>
      <c r="I1840" s="4"/>
    </row>
    <row r="1841" customFormat="false" ht="15" hidden="false" customHeight="false" outlineLevel="0" collapsed="false">
      <c r="A1841" s="35" t="s">
        <v>4806</v>
      </c>
      <c r="B1841" s="35" t="s">
        <v>4807</v>
      </c>
      <c r="C1841" s="35" t="s">
        <v>48</v>
      </c>
      <c r="D1841" s="35" t="s">
        <v>114</v>
      </c>
      <c r="E1841" s="35"/>
      <c r="F1841" s="35"/>
      <c r="G1841" s="35" t="s">
        <v>104</v>
      </c>
      <c r="H1841" s="35" t="s">
        <v>61</v>
      </c>
      <c r="I1841" s="4"/>
    </row>
    <row r="1842" customFormat="false" ht="15" hidden="false" customHeight="false" outlineLevel="0" collapsed="false">
      <c r="A1842" s="35" t="s">
        <v>4808</v>
      </c>
      <c r="B1842" s="35" t="s">
        <v>4809</v>
      </c>
      <c r="C1842" s="35" t="s">
        <v>48</v>
      </c>
      <c r="D1842" s="35" t="s">
        <v>146</v>
      </c>
      <c r="E1842" s="35"/>
      <c r="F1842" s="35"/>
      <c r="G1842" s="35" t="s">
        <v>104</v>
      </c>
      <c r="H1842" s="35" t="s">
        <v>61</v>
      </c>
      <c r="I1842" s="4"/>
    </row>
    <row r="1843" customFormat="false" ht="15" hidden="false" customHeight="false" outlineLevel="0" collapsed="false">
      <c r="A1843" s="35" t="s">
        <v>4810</v>
      </c>
      <c r="B1843" s="35" t="s">
        <v>4811</v>
      </c>
      <c r="C1843" s="35" t="s">
        <v>48</v>
      </c>
      <c r="D1843" s="35" t="s">
        <v>146</v>
      </c>
      <c r="E1843" s="35"/>
      <c r="F1843" s="35"/>
      <c r="G1843" s="35" t="s">
        <v>104</v>
      </c>
      <c r="H1843" s="35" t="s">
        <v>61</v>
      </c>
      <c r="I1843" s="4"/>
    </row>
    <row r="1844" customFormat="false" ht="15" hidden="false" customHeight="false" outlineLevel="0" collapsed="false">
      <c r="A1844" s="35" t="s">
        <v>4812</v>
      </c>
      <c r="B1844" s="35" t="s">
        <v>4813</v>
      </c>
      <c r="C1844" s="35" t="s">
        <v>48</v>
      </c>
      <c r="D1844" s="35" t="s">
        <v>107</v>
      </c>
      <c r="E1844" s="35" t="s">
        <v>822</v>
      </c>
      <c r="F1844" s="35" t="s">
        <v>297</v>
      </c>
      <c r="G1844" s="35" t="s">
        <v>328</v>
      </c>
      <c r="H1844" s="35" t="s">
        <v>61</v>
      </c>
      <c r="I1844" s="4"/>
    </row>
    <row r="1845" customFormat="false" ht="15" hidden="false" customHeight="false" outlineLevel="0" collapsed="false">
      <c r="A1845" s="35" t="s">
        <v>4814</v>
      </c>
      <c r="B1845" s="35" t="s">
        <v>4815</v>
      </c>
      <c r="C1845" s="35" t="s">
        <v>48</v>
      </c>
      <c r="D1845" s="35" t="s">
        <v>57</v>
      </c>
      <c r="E1845" s="35" t="s">
        <v>501</v>
      </c>
      <c r="F1845" s="35"/>
      <c r="G1845" s="35" t="s">
        <v>444</v>
      </c>
      <c r="H1845" s="35" t="s">
        <v>61</v>
      </c>
      <c r="I1845" s="4"/>
    </row>
    <row r="1846" customFormat="false" ht="15" hidden="false" customHeight="false" outlineLevel="0" collapsed="false">
      <c r="A1846" s="35" t="s">
        <v>4816</v>
      </c>
      <c r="B1846" s="35" t="s">
        <v>4817</v>
      </c>
      <c r="C1846" s="35" t="s">
        <v>48</v>
      </c>
      <c r="D1846" s="35" t="s">
        <v>107</v>
      </c>
      <c r="E1846" s="35" t="s">
        <v>845</v>
      </c>
      <c r="F1846" s="35"/>
      <c r="G1846" s="35" t="s">
        <v>328</v>
      </c>
      <c r="H1846" s="35" t="s">
        <v>61</v>
      </c>
      <c r="I1846" s="4"/>
    </row>
    <row r="1847" customFormat="false" ht="15" hidden="false" customHeight="false" outlineLevel="0" collapsed="false">
      <c r="A1847" s="35" t="s">
        <v>4818</v>
      </c>
      <c r="B1847" s="35" t="s">
        <v>4819</v>
      </c>
      <c r="C1847" s="35" t="s">
        <v>48</v>
      </c>
      <c r="D1847" s="35" t="s">
        <v>57</v>
      </c>
      <c r="E1847" s="35" t="s">
        <v>978</v>
      </c>
      <c r="F1847" s="35"/>
      <c r="G1847" s="35" t="s">
        <v>433</v>
      </c>
      <c r="H1847" s="35" t="s">
        <v>61</v>
      </c>
      <c r="I1847" s="4"/>
    </row>
    <row r="1848" customFormat="false" ht="15" hidden="false" customHeight="false" outlineLevel="0" collapsed="false">
      <c r="A1848" s="35" t="s">
        <v>4820</v>
      </c>
      <c r="B1848" s="35" t="s">
        <v>4821</v>
      </c>
      <c r="C1848" s="35" t="s">
        <v>48</v>
      </c>
      <c r="D1848" s="35" t="s">
        <v>57</v>
      </c>
      <c r="E1848" s="35" t="s">
        <v>978</v>
      </c>
      <c r="F1848" s="35"/>
      <c r="G1848" s="35" t="s">
        <v>433</v>
      </c>
      <c r="H1848" s="35" t="s">
        <v>61</v>
      </c>
      <c r="I1848" s="4"/>
    </row>
    <row r="1849" customFormat="false" ht="15" hidden="false" customHeight="false" outlineLevel="0" collapsed="false">
      <c r="A1849" s="35" t="s">
        <v>4822</v>
      </c>
      <c r="B1849" s="35" t="s">
        <v>4823</v>
      </c>
      <c r="C1849" s="35" t="s">
        <v>48</v>
      </c>
      <c r="D1849" s="35" t="s">
        <v>57</v>
      </c>
      <c r="E1849" s="35" t="s">
        <v>888</v>
      </c>
      <c r="F1849" s="35"/>
      <c r="G1849" s="35" t="s">
        <v>87</v>
      </c>
      <c r="H1849" s="35" t="s">
        <v>61</v>
      </c>
      <c r="I1849" s="4"/>
    </row>
    <row r="1850" customFormat="false" ht="15" hidden="false" customHeight="false" outlineLevel="0" collapsed="false">
      <c r="A1850" s="35" t="s">
        <v>4824</v>
      </c>
      <c r="B1850" s="35" t="s">
        <v>4825</v>
      </c>
      <c r="C1850" s="35" t="s">
        <v>48</v>
      </c>
      <c r="D1850" s="35" t="s">
        <v>107</v>
      </c>
      <c r="E1850" s="35" t="s">
        <v>903</v>
      </c>
      <c r="F1850" s="35"/>
      <c r="G1850" s="35" t="s">
        <v>91</v>
      </c>
      <c r="H1850" s="35" t="s">
        <v>61</v>
      </c>
      <c r="I1850" s="4"/>
    </row>
    <row r="1851" customFormat="false" ht="15" hidden="false" customHeight="false" outlineLevel="0" collapsed="false">
      <c r="A1851" s="35" t="s">
        <v>4826</v>
      </c>
      <c r="B1851" s="35" t="s">
        <v>4827</v>
      </c>
      <c r="C1851" s="35" t="s">
        <v>48</v>
      </c>
      <c r="D1851" s="35" t="s">
        <v>146</v>
      </c>
      <c r="E1851" s="35"/>
      <c r="F1851" s="35"/>
      <c r="G1851" s="35" t="s">
        <v>421</v>
      </c>
      <c r="H1851" s="35" t="s">
        <v>61</v>
      </c>
      <c r="I1851" s="4"/>
    </row>
    <row r="1852" customFormat="false" ht="15" hidden="false" customHeight="false" outlineLevel="0" collapsed="false">
      <c r="A1852" s="35" t="s">
        <v>4828</v>
      </c>
      <c r="B1852" s="35" t="s">
        <v>4829</v>
      </c>
      <c r="C1852" s="35" t="s">
        <v>48</v>
      </c>
      <c r="D1852" s="35" t="s">
        <v>46</v>
      </c>
      <c r="E1852" s="35" t="s">
        <v>45</v>
      </c>
      <c r="F1852" s="35"/>
      <c r="G1852" s="35" t="s">
        <v>689</v>
      </c>
      <c r="H1852" s="35" t="s">
        <v>61</v>
      </c>
      <c r="I1852" s="4"/>
    </row>
    <row r="1853" customFormat="false" ht="15" hidden="false" customHeight="false" outlineLevel="0" collapsed="false">
      <c r="A1853" s="35" t="s">
        <v>1606</v>
      </c>
      <c r="B1853" s="35" t="s">
        <v>4830</v>
      </c>
      <c r="C1853" s="35" t="s">
        <v>48</v>
      </c>
      <c r="D1853" s="35" t="s">
        <v>57</v>
      </c>
      <c r="E1853" s="35" t="s">
        <v>1605</v>
      </c>
      <c r="F1853" s="35"/>
      <c r="G1853" s="35" t="s">
        <v>571</v>
      </c>
      <c r="H1853" s="35" t="s">
        <v>61</v>
      </c>
      <c r="I1853" s="4"/>
    </row>
    <row r="1854" customFormat="false" ht="15" hidden="false" customHeight="false" outlineLevel="0" collapsed="false">
      <c r="A1854" s="35" t="s">
        <v>4831</v>
      </c>
      <c r="B1854" s="35" t="s">
        <v>4832</v>
      </c>
      <c r="C1854" s="35" t="s">
        <v>48</v>
      </c>
      <c r="D1854" s="35" t="s">
        <v>53</v>
      </c>
      <c r="E1854" s="35"/>
      <c r="F1854" s="35"/>
      <c r="G1854" s="35" t="s">
        <v>60</v>
      </c>
      <c r="H1854" s="35" t="s">
        <v>61</v>
      </c>
      <c r="I1854" s="4"/>
    </row>
    <row r="1855" customFormat="false" ht="15" hidden="false" customHeight="false" outlineLevel="0" collapsed="false">
      <c r="A1855" s="35" t="s">
        <v>4833</v>
      </c>
      <c r="B1855" s="35" t="s">
        <v>4834</v>
      </c>
      <c r="C1855" s="35" t="s">
        <v>48</v>
      </c>
      <c r="D1855" s="35" t="s">
        <v>53</v>
      </c>
      <c r="E1855" s="35"/>
      <c r="F1855" s="35"/>
      <c r="G1855" s="35" t="s">
        <v>60</v>
      </c>
      <c r="H1855" s="35" t="s">
        <v>61</v>
      </c>
      <c r="I1855" s="4"/>
    </row>
    <row r="1856" customFormat="false" ht="15" hidden="false" customHeight="false" outlineLevel="0" collapsed="false">
      <c r="A1856" s="35" t="s">
        <v>4835</v>
      </c>
      <c r="B1856" s="35" t="s">
        <v>4836</v>
      </c>
      <c r="C1856" s="35" t="s">
        <v>48</v>
      </c>
      <c r="D1856" s="35" t="s">
        <v>53</v>
      </c>
      <c r="E1856" s="35"/>
      <c r="F1856" s="35"/>
      <c r="G1856" s="35" t="s">
        <v>60</v>
      </c>
      <c r="H1856" s="35" t="s">
        <v>61</v>
      </c>
      <c r="I1856" s="4"/>
    </row>
    <row r="1857" customFormat="false" ht="15" hidden="false" customHeight="false" outlineLevel="0" collapsed="false">
      <c r="A1857" s="35" t="s">
        <v>4837</v>
      </c>
      <c r="B1857" s="35" t="s">
        <v>4838</v>
      </c>
      <c r="C1857" s="35" t="s">
        <v>48</v>
      </c>
      <c r="D1857" s="35" t="s">
        <v>53</v>
      </c>
      <c r="E1857" s="35"/>
      <c r="F1857" s="35"/>
      <c r="G1857" s="35" t="s">
        <v>723</v>
      </c>
      <c r="H1857" s="35" t="s">
        <v>61</v>
      </c>
      <c r="I1857" s="4"/>
    </row>
    <row r="1858" customFormat="false" ht="15" hidden="false" customHeight="false" outlineLevel="0" collapsed="false">
      <c r="A1858" s="35" t="s">
        <v>1609</v>
      </c>
      <c r="B1858" s="35" t="s">
        <v>4839</v>
      </c>
      <c r="C1858" s="35" t="s">
        <v>48</v>
      </c>
      <c r="D1858" s="35" t="s">
        <v>107</v>
      </c>
      <c r="E1858" s="35" t="s">
        <v>1609</v>
      </c>
      <c r="F1858" s="35"/>
      <c r="G1858" s="35" t="s">
        <v>690</v>
      </c>
      <c r="H1858" s="35" t="s">
        <v>61</v>
      </c>
      <c r="I1858" s="4"/>
    </row>
    <row r="1859" customFormat="false" ht="15" hidden="false" customHeight="false" outlineLevel="0" collapsed="false">
      <c r="A1859" s="35" t="s">
        <v>427</v>
      </c>
      <c r="B1859" s="35" t="s">
        <v>429</v>
      </c>
      <c r="C1859" s="35" t="s">
        <v>48</v>
      </c>
      <c r="D1859" s="35" t="s">
        <v>107</v>
      </c>
      <c r="E1859" s="35" t="s">
        <v>428</v>
      </c>
      <c r="F1859" s="35"/>
      <c r="G1859" s="35" t="s">
        <v>99</v>
      </c>
      <c r="H1859" s="35" t="s">
        <v>61</v>
      </c>
      <c r="I1859" s="4" t="s">
        <v>2025</v>
      </c>
    </row>
    <row r="1860" customFormat="false" ht="15" hidden="false" customHeight="false" outlineLevel="0" collapsed="false">
      <c r="A1860" s="35" t="s">
        <v>4840</v>
      </c>
      <c r="B1860" s="35" t="s">
        <v>4841</v>
      </c>
      <c r="C1860" s="35" t="s">
        <v>48</v>
      </c>
      <c r="D1860" s="35" t="s">
        <v>114</v>
      </c>
      <c r="E1860" s="35"/>
      <c r="F1860" s="35"/>
      <c r="G1860" s="35" t="s">
        <v>99</v>
      </c>
      <c r="H1860" s="35" t="s">
        <v>61</v>
      </c>
      <c r="I1860" s="4"/>
    </row>
    <row r="1861" customFormat="false" ht="15" hidden="false" customHeight="false" outlineLevel="0" collapsed="false">
      <c r="A1861" s="35" t="s">
        <v>4842</v>
      </c>
      <c r="B1861" s="35" t="s">
        <v>4843</v>
      </c>
      <c r="C1861" s="35" t="s">
        <v>48</v>
      </c>
      <c r="D1861" s="35" t="s">
        <v>107</v>
      </c>
      <c r="E1861" s="35" t="s">
        <v>428</v>
      </c>
      <c r="F1861" s="35"/>
      <c r="G1861" s="35" t="s">
        <v>49</v>
      </c>
      <c r="H1861" s="35" t="s">
        <v>49</v>
      </c>
      <c r="I1861" s="4"/>
    </row>
    <row r="1862" customFormat="false" ht="15" hidden="false" customHeight="false" outlineLevel="0" collapsed="false">
      <c r="A1862" s="35" t="s">
        <v>4844</v>
      </c>
      <c r="B1862" s="35" t="s">
        <v>4845</v>
      </c>
      <c r="C1862" s="35" t="s">
        <v>48</v>
      </c>
      <c r="D1862" s="35" t="s">
        <v>107</v>
      </c>
      <c r="E1862" s="35" t="s">
        <v>850</v>
      </c>
      <c r="F1862" s="35"/>
      <c r="G1862" s="35" t="s">
        <v>433</v>
      </c>
      <c r="H1862" s="35" t="s">
        <v>245</v>
      </c>
      <c r="I1862" s="4"/>
    </row>
    <row r="1863" customFormat="false" ht="15" hidden="false" customHeight="false" outlineLevel="0" collapsed="false">
      <c r="A1863" s="35" t="s">
        <v>4846</v>
      </c>
      <c r="B1863" s="35" t="s">
        <v>4847</v>
      </c>
      <c r="C1863" s="35" t="s">
        <v>48</v>
      </c>
      <c r="D1863" s="35" t="s">
        <v>53</v>
      </c>
      <c r="E1863" s="35"/>
      <c r="F1863" s="35"/>
      <c r="G1863" s="35" t="s">
        <v>680</v>
      </c>
      <c r="H1863" s="35" t="s">
        <v>61</v>
      </c>
      <c r="I1863" s="4"/>
    </row>
    <row r="1864" customFormat="false" ht="15" hidden="false" customHeight="false" outlineLevel="0" collapsed="false">
      <c r="A1864" s="35" t="s">
        <v>4848</v>
      </c>
      <c r="B1864" s="35" t="s">
        <v>4849</v>
      </c>
      <c r="C1864" s="35" t="s">
        <v>48</v>
      </c>
      <c r="D1864" s="35" t="s">
        <v>57</v>
      </c>
      <c r="E1864" s="35" t="s">
        <v>357</v>
      </c>
      <c r="F1864" s="35"/>
      <c r="G1864" s="35" t="s">
        <v>694</v>
      </c>
      <c r="H1864" s="35" t="s">
        <v>61</v>
      </c>
      <c r="I1864" s="4"/>
    </row>
    <row r="1865" customFormat="false" ht="15" hidden="false" customHeight="false" outlineLevel="0" collapsed="false">
      <c r="A1865" s="35" t="s">
        <v>4850</v>
      </c>
      <c r="B1865" s="35" t="s">
        <v>4851</v>
      </c>
      <c r="C1865" s="35" t="s">
        <v>48</v>
      </c>
      <c r="D1865" s="35" t="s">
        <v>107</v>
      </c>
      <c r="E1865" s="35" t="s">
        <v>45</v>
      </c>
      <c r="F1865" s="35" t="s">
        <v>4852</v>
      </c>
      <c r="G1865" s="35" t="s">
        <v>262</v>
      </c>
      <c r="H1865" s="35" t="s">
        <v>4853</v>
      </c>
      <c r="I1865" s="4"/>
    </row>
    <row r="1866" customFormat="false" ht="15" hidden="false" customHeight="false" outlineLevel="0" collapsed="false">
      <c r="A1866" s="35" t="s">
        <v>4854</v>
      </c>
      <c r="B1866" s="35" t="s">
        <v>4855</v>
      </c>
      <c r="C1866" s="35" t="s">
        <v>48</v>
      </c>
      <c r="D1866" s="35" t="s">
        <v>157</v>
      </c>
      <c r="E1866" s="35"/>
      <c r="F1866" s="35"/>
      <c r="G1866" s="35" t="s">
        <v>104</v>
      </c>
      <c r="H1866" s="35" t="s">
        <v>61</v>
      </c>
      <c r="I1866" s="4"/>
    </row>
    <row r="1867" customFormat="false" ht="15" hidden="false" customHeight="false" outlineLevel="0" collapsed="false">
      <c r="A1867" s="35" t="s">
        <v>210</v>
      </c>
      <c r="B1867" s="35" t="s">
        <v>211</v>
      </c>
      <c r="C1867" s="35" t="s">
        <v>48</v>
      </c>
      <c r="D1867" s="35" t="s">
        <v>146</v>
      </c>
      <c r="E1867" s="35"/>
      <c r="F1867" s="35"/>
      <c r="G1867" s="35" t="s">
        <v>104</v>
      </c>
      <c r="H1867" s="35" t="s">
        <v>61</v>
      </c>
      <c r="I1867" s="4" t="s">
        <v>2025</v>
      </c>
    </row>
    <row r="1868" customFormat="false" ht="15" hidden="false" customHeight="false" outlineLevel="0" collapsed="false">
      <c r="A1868" s="35" t="s">
        <v>4856</v>
      </c>
      <c r="B1868" s="35" t="s">
        <v>4857</v>
      </c>
      <c r="C1868" s="35" t="s">
        <v>48</v>
      </c>
      <c r="D1868" s="35" t="s">
        <v>157</v>
      </c>
      <c r="E1868" s="35"/>
      <c r="F1868" s="35"/>
      <c r="G1868" s="35" t="s">
        <v>87</v>
      </c>
      <c r="H1868" s="35" t="s">
        <v>61</v>
      </c>
      <c r="I1868" s="4"/>
    </row>
    <row r="1869" customFormat="false" ht="15" hidden="false" customHeight="false" outlineLevel="0" collapsed="false">
      <c r="A1869" s="35" t="s">
        <v>4858</v>
      </c>
      <c r="B1869" s="35" t="s">
        <v>4859</v>
      </c>
      <c r="C1869" s="35" t="s">
        <v>48</v>
      </c>
      <c r="D1869" s="35" t="s">
        <v>157</v>
      </c>
      <c r="E1869" s="35"/>
      <c r="F1869" s="35"/>
      <c r="G1869" s="35" t="s">
        <v>444</v>
      </c>
      <c r="H1869" s="35" t="s">
        <v>61</v>
      </c>
      <c r="I1869" s="4"/>
    </row>
    <row r="1870" customFormat="false" ht="15" hidden="false" customHeight="false" outlineLevel="0" collapsed="false">
      <c r="A1870" s="35" t="s">
        <v>4860</v>
      </c>
      <c r="B1870" s="35" t="s">
        <v>4861</v>
      </c>
      <c r="C1870" s="35" t="s">
        <v>48</v>
      </c>
      <c r="D1870" s="35" t="s">
        <v>157</v>
      </c>
      <c r="E1870" s="35"/>
      <c r="F1870" s="35"/>
      <c r="G1870" s="35" t="s">
        <v>421</v>
      </c>
      <c r="H1870" s="35" t="s">
        <v>61</v>
      </c>
      <c r="I1870" s="4"/>
    </row>
    <row r="1871" customFormat="false" ht="15" hidden="false" customHeight="false" outlineLevel="0" collapsed="false">
      <c r="A1871" s="35" t="s">
        <v>4862</v>
      </c>
      <c r="B1871" s="35" t="s">
        <v>4863</v>
      </c>
      <c r="C1871" s="35" t="s">
        <v>48</v>
      </c>
      <c r="D1871" s="35" t="s">
        <v>146</v>
      </c>
      <c r="E1871" s="35"/>
      <c r="F1871" s="35"/>
      <c r="G1871" s="35" t="s">
        <v>421</v>
      </c>
      <c r="H1871" s="35" t="s">
        <v>61</v>
      </c>
      <c r="I1871" s="4"/>
    </row>
    <row r="1872" customFormat="false" ht="15" hidden="false" customHeight="false" outlineLevel="0" collapsed="false">
      <c r="A1872" s="35" t="s">
        <v>4864</v>
      </c>
      <c r="B1872" s="35" t="s">
        <v>4865</v>
      </c>
      <c r="C1872" s="35" t="s">
        <v>48</v>
      </c>
      <c r="D1872" s="35" t="s">
        <v>157</v>
      </c>
      <c r="E1872" s="35"/>
      <c r="F1872" s="35"/>
      <c r="G1872" s="35" t="s">
        <v>328</v>
      </c>
      <c r="H1872" s="35" t="s">
        <v>61</v>
      </c>
      <c r="I1872" s="4"/>
    </row>
    <row r="1873" customFormat="false" ht="15" hidden="false" customHeight="false" outlineLevel="0" collapsed="false">
      <c r="A1873" s="35" t="s">
        <v>4866</v>
      </c>
      <c r="B1873" s="35" t="s">
        <v>4867</v>
      </c>
      <c r="C1873" s="35" t="s">
        <v>48</v>
      </c>
      <c r="D1873" s="35" t="s">
        <v>157</v>
      </c>
      <c r="E1873" s="35"/>
      <c r="F1873" s="35"/>
      <c r="G1873" s="35" t="s">
        <v>328</v>
      </c>
      <c r="H1873" s="35" t="s">
        <v>61</v>
      </c>
      <c r="I1873" s="4"/>
    </row>
    <row r="1874" customFormat="false" ht="15" hidden="false" customHeight="false" outlineLevel="0" collapsed="false">
      <c r="A1874" s="35" t="s">
        <v>4868</v>
      </c>
      <c r="B1874" s="35" t="s">
        <v>4869</v>
      </c>
      <c r="C1874" s="35" t="s">
        <v>48</v>
      </c>
      <c r="D1874" s="35" t="s">
        <v>157</v>
      </c>
      <c r="E1874" s="35"/>
      <c r="F1874" s="35"/>
      <c r="G1874" s="35" t="s">
        <v>328</v>
      </c>
      <c r="H1874" s="35" t="s">
        <v>61</v>
      </c>
      <c r="I1874" s="4"/>
    </row>
    <row r="1875" customFormat="false" ht="15" hidden="false" customHeight="false" outlineLevel="0" collapsed="false">
      <c r="A1875" s="35" t="s">
        <v>4870</v>
      </c>
      <c r="B1875" s="35" t="s">
        <v>4871</v>
      </c>
      <c r="C1875" s="35" t="s">
        <v>48</v>
      </c>
      <c r="D1875" s="35" t="s">
        <v>157</v>
      </c>
      <c r="E1875" s="35"/>
      <c r="F1875" s="35"/>
      <c r="G1875" s="35" t="s">
        <v>444</v>
      </c>
      <c r="H1875" s="35" t="s">
        <v>61</v>
      </c>
      <c r="I1875" s="4"/>
    </row>
    <row r="1876" customFormat="false" ht="15" hidden="false" customHeight="false" outlineLevel="0" collapsed="false">
      <c r="A1876" s="35" t="s">
        <v>4872</v>
      </c>
      <c r="B1876" s="35" t="s">
        <v>4873</v>
      </c>
      <c r="C1876" s="35" t="s">
        <v>48</v>
      </c>
      <c r="D1876" s="35" t="s">
        <v>157</v>
      </c>
      <c r="E1876" s="35"/>
      <c r="F1876" s="35"/>
      <c r="G1876" s="35" t="s">
        <v>328</v>
      </c>
      <c r="H1876" s="35" t="s">
        <v>61</v>
      </c>
      <c r="I1876" s="4"/>
    </row>
    <row r="1877" customFormat="false" ht="15" hidden="false" customHeight="false" outlineLevel="0" collapsed="false">
      <c r="A1877" s="35" t="s">
        <v>1613</v>
      </c>
      <c r="B1877" s="35" t="s">
        <v>4874</v>
      </c>
      <c r="C1877" s="35" t="s">
        <v>48</v>
      </c>
      <c r="D1877" s="35" t="s">
        <v>107</v>
      </c>
      <c r="E1877" s="35" t="s">
        <v>1612</v>
      </c>
      <c r="F1877" s="35"/>
      <c r="G1877" s="35" t="s">
        <v>571</v>
      </c>
      <c r="H1877" s="35" t="s">
        <v>245</v>
      </c>
      <c r="I1877" s="4"/>
    </row>
    <row r="1878" customFormat="false" ht="15" hidden="false" customHeight="false" outlineLevel="0" collapsed="false">
      <c r="A1878" s="35" t="s">
        <v>4875</v>
      </c>
      <c r="B1878" s="35" t="s">
        <v>4876</v>
      </c>
      <c r="C1878" s="35" t="s">
        <v>48</v>
      </c>
      <c r="D1878" s="35" t="s">
        <v>107</v>
      </c>
      <c r="E1878" s="35" t="s">
        <v>220</v>
      </c>
      <c r="F1878" s="35"/>
      <c r="G1878" s="35" t="s">
        <v>571</v>
      </c>
      <c r="H1878" s="35" t="s">
        <v>245</v>
      </c>
      <c r="I1878" s="4"/>
    </row>
    <row r="1879" customFormat="false" ht="15" hidden="false" customHeight="false" outlineLevel="0" collapsed="false">
      <c r="A1879" s="35" t="s">
        <v>4877</v>
      </c>
      <c r="B1879" s="35" t="s">
        <v>4878</v>
      </c>
      <c r="C1879" s="35" t="s">
        <v>48</v>
      </c>
      <c r="D1879" s="35" t="s">
        <v>107</v>
      </c>
      <c r="E1879" s="35" t="s">
        <v>801</v>
      </c>
      <c r="F1879" s="35"/>
      <c r="G1879" s="35" t="s">
        <v>684</v>
      </c>
      <c r="H1879" s="35" t="s">
        <v>61</v>
      </c>
      <c r="I1879" s="4"/>
    </row>
    <row r="1880" customFormat="false" ht="15" hidden="false" customHeight="false" outlineLevel="0" collapsed="false">
      <c r="A1880" s="35" t="s">
        <v>4879</v>
      </c>
      <c r="B1880" s="35" t="s">
        <v>4880</v>
      </c>
      <c r="C1880" s="35" t="s">
        <v>48</v>
      </c>
      <c r="D1880" s="35" t="s">
        <v>107</v>
      </c>
      <c r="E1880" s="35" t="s">
        <v>801</v>
      </c>
      <c r="F1880" s="35"/>
      <c r="G1880" s="35" t="s">
        <v>684</v>
      </c>
      <c r="H1880" s="35" t="s">
        <v>61</v>
      </c>
      <c r="I1880" s="4"/>
    </row>
    <row r="1881" customFormat="false" ht="15" hidden="false" customHeight="false" outlineLevel="0" collapsed="false">
      <c r="A1881" s="35" t="s">
        <v>4881</v>
      </c>
      <c r="B1881" s="35" t="s">
        <v>4882</v>
      </c>
      <c r="C1881" s="35" t="s">
        <v>48</v>
      </c>
      <c r="D1881" s="35" t="s">
        <v>107</v>
      </c>
      <c r="E1881" s="35" t="s">
        <v>801</v>
      </c>
      <c r="F1881" s="35"/>
      <c r="G1881" s="35" t="s">
        <v>684</v>
      </c>
      <c r="H1881" s="35" t="s">
        <v>61</v>
      </c>
      <c r="I1881" s="4"/>
    </row>
    <row r="1882" customFormat="false" ht="15" hidden="false" customHeight="false" outlineLevel="0" collapsed="false">
      <c r="A1882" s="35" t="s">
        <v>4883</v>
      </c>
      <c r="B1882" s="35" t="s">
        <v>4884</v>
      </c>
      <c r="C1882" s="35" t="s">
        <v>48</v>
      </c>
      <c r="D1882" s="35" t="s">
        <v>107</v>
      </c>
      <c r="E1882" s="35" t="s">
        <v>801</v>
      </c>
      <c r="F1882" s="35"/>
      <c r="G1882" s="35" t="s">
        <v>684</v>
      </c>
      <c r="H1882" s="35" t="s">
        <v>61</v>
      </c>
      <c r="I1882" s="4"/>
    </row>
    <row r="1883" customFormat="false" ht="15" hidden="false" customHeight="false" outlineLevel="0" collapsed="false">
      <c r="A1883" s="35" t="s">
        <v>4885</v>
      </c>
      <c r="B1883" s="35" t="s">
        <v>4886</v>
      </c>
      <c r="C1883" s="35" t="s">
        <v>48</v>
      </c>
      <c r="D1883" s="35" t="s">
        <v>107</v>
      </c>
      <c r="E1883" s="35" t="s">
        <v>801</v>
      </c>
      <c r="F1883" s="35"/>
      <c r="G1883" s="35" t="s">
        <v>684</v>
      </c>
      <c r="H1883" s="35" t="s">
        <v>61</v>
      </c>
      <c r="I1883" s="4"/>
    </row>
    <row r="1884" customFormat="false" ht="15" hidden="false" customHeight="false" outlineLevel="0" collapsed="false">
      <c r="A1884" s="35" t="s">
        <v>4887</v>
      </c>
      <c r="B1884" s="35" t="s">
        <v>4888</v>
      </c>
      <c r="C1884" s="35" t="s">
        <v>48</v>
      </c>
      <c r="D1884" s="35" t="s">
        <v>107</v>
      </c>
      <c r="E1884" s="35" t="s">
        <v>801</v>
      </c>
      <c r="F1884" s="35"/>
      <c r="G1884" s="35" t="s">
        <v>684</v>
      </c>
      <c r="H1884" s="35" t="s">
        <v>61</v>
      </c>
      <c r="I1884" s="4"/>
    </row>
    <row r="1885" customFormat="false" ht="15" hidden="false" customHeight="false" outlineLevel="0" collapsed="false">
      <c r="A1885" s="35" t="s">
        <v>4889</v>
      </c>
      <c r="B1885" s="35" t="s">
        <v>4890</v>
      </c>
      <c r="C1885" s="35" t="s">
        <v>48</v>
      </c>
      <c r="D1885" s="35" t="s">
        <v>107</v>
      </c>
      <c r="E1885" s="35" t="s">
        <v>801</v>
      </c>
      <c r="F1885" s="35"/>
      <c r="G1885" s="35" t="s">
        <v>684</v>
      </c>
      <c r="H1885" s="35" t="s">
        <v>61</v>
      </c>
      <c r="I1885" s="4"/>
    </row>
    <row r="1886" customFormat="false" ht="15" hidden="false" customHeight="false" outlineLevel="0" collapsed="false">
      <c r="A1886" s="35" t="s">
        <v>4891</v>
      </c>
      <c r="B1886" s="35" t="s">
        <v>4892</v>
      </c>
      <c r="C1886" s="35" t="s">
        <v>48</v>
      </c>
      <c r="D1886" s="35" t="s">
        <v>107</v>
      </c>
      <c r="E1886" s="35" t="s">
        <v>801</v>
      </c>
      <c r="F1886" s="35"/>
      <c r="G1886" s="35" t="s">
        <v>684</v>
      </c>
      <c r="H1886" s="35" t="s">
        <v>61</v>
      </c>
      <c r="I1886" s="4"/>
    </row>
    <row r="1887" customFormat="false" ht="15" hidden="false" customHeight="false" outlineLevel="0" collapsed="false">
      <c r="A1887" s="35" t="s">
        <v>4893</v>
      </c>
      <c r="B1887" s="35" t="s">
        <v>4894</v>
      </c>
      <c r="C1887" s="35" t="s">
        <v>48</v>
      </c>
      <c r="D1887" s="35" t="s">
        <v>107</v>
      </c>
      <c r="E1887" s="35" t="s">
        <v>801</v>
      </c>
      <c r="F1887" s="35"/>
      <c r="G1887" s="35" t="s">
        <v>684</v>
      </c>
      <c r="H1887" s="35" t="s">
        <v>61</v>
      </c>
      <c r="I1887" s="4"/>
    </row>
    <row r="1888" customFormat="false" ht="15" hidden="false" customHeight="false" outlineLevel="0" collapsed="false">
      <c r="A1888" s="35" t="s">
        <v>4895</v>
      </c>
      <c r="B1888" s="35" t="s">
        <v>4896</v>
      </c>
      <c r="C1888" s="35" t="s">
        <v>48</v>
      </c>
      <c r="D1888" s="35" t="s">
        <v>107</v>
      </c>
      <c r="E1888" s="35" t="s">
        <v>801</v>
      </c>
      <c r="F1888" s="35"/>
      <c r="G1888" s="35" t="s">
        <v>684</v>
      </c>
      <c r="H1888" s="35" t="s">
        <v>61</v>
      </c>
      <c r="I1888" s="4"/>
    </row>
    <row r="1889" customFormat="false" ht="15" hidden="false" customHeight="false" outlineLevel="0" collapsed="false">
      <c r="A1889" s="35" t="s">
        <v>4897</v>
      </c>
      <c r="B1889" s="35" t="s">
        <v>4898</v>
      </c>
      <c r="C1889" s="35" t="s">
        <v>48</v>
      </c>
      <c r="D1889" s="35" t="s">
        <v>107</v>
      </c>
      <c r="E1889" s="35" t="s">
        <v>801</v>
      </c>
      <c r="F1889" s="35"/>
      <c r="G1889" s="35" t="s">
        <v>684</v>
      </c>
      <c r="H1889" s="35" t="s">
        <v>61</v>
      </c>
      <c r="I1889" s="4"/>
    </row>
    <row r="1890" customFormat="false" ht="15" hidden="false" customHeight="false" outlineLevel="0" collapsed="false">
      <c r="A1890" s="35" t="s">
        <v>4899</v>
      </c>
      <c r="B1890" s="35" t="s">
        <v>4900</v>
      </c>
      <c r="C1890" s="35" t="s">
        <v>48</v>
      </c>
      <c r="D1890" s="35" t="s">
        <v>107</v>
      </c>
      <c r="E1890" s="35" t="s">
        <v>801</v>
      </c>
      <c r="F1890" s="35"/>
      <c r="G1890" s="35" t="s">
        <v>684</v>
      </c>
      <c r="H1890" s="35" t="s">
        <v>61</v>
      </c>
      <c r="I1890" s="4"/>
    </row>
    <row r="1891" customFormat="false" ht="15" hidden="false" customHeight="false" outlineLevel="0" collapsed="false">
      <c r="A1891" s="35" t="s">
        <v>4901</v>
      </c>
      <c r="B1891" s="35" t="s">
        <v>4902</v>
      </c>
      <c r="C1891" s="35" t="s">
        <v>48</v>
      </c>
      <c r="D1891" s="35" t="s">
        <v>107</v>
      </c>
      <c r="E1891" s="35" t="s">
        <v>801</v>
      </c>
      <c r="F1891" s="35"/>
      <c r="G1891" s="35" t="s">
        <v>684</v>
      </c>
      <c r="H1891" s="35" t="s">
        <v>61</v>
      </c>
      <c r="I1891" s="4"/>
    </row>
    <row r="1892" customFormat="false" ht="15" hidden="false" customHeight="false" outlineLevel="0" collapsed="false">
      <c r="A1892" s="35" t="s">
        <v>4903</v>
      </c>
      <c r="B1892" s="35" t="s">
        <v>4904</v>
      </c>
      <c r="C1892" s="35" t="s">
        <v>48</v>
      </c>
      <c r="D1892" s="35" t="s">
        <v>107</v>
      </c>
      <c r="E1892" s="35" t="s">
        <v>801</v>
      </c>
      <c r="F1892" s="35"/>
      <c r="G1892" s="35" t="s">
        <v>684</v>
      </c>
      <c r="H1892" s="35" t="s">
        <v>61</v>
      </c>
      <c r="I1892" s="4"/>
    </row>
    <row r="1893" customFormat="false" ht="15" hidden="false" customHeight="false" outlineLevel="0" collapsed="false">
      <c r="A1893" s="35" t="s">
        <v>4905</v>
      </c>
      <c r="B1893" s="35" t="s">
        <v>4906</v>
      </c>
      <c r="C1893" s="35" t="s">
        <v>48</v>
      </c>
      <c r="D1893" s="35" t="s">
        <v>107</v>
      </c>
      <c r="E1893" s="35" t="s">
        <v>801</v>
      </c>
      <c r="F1893" s="35"/>
      <c r="G1893" s="35" t="s">
        <v>684</v>
      </c>
      <c r="H1893" s="35" t="s">
        <v>61</v>
      </c>
      <c r="I1893" s="4"/>
    </row>
    <row r="1894" customFormat="false" ht="15" hidden="false" customHeight="false" outlineLevel="0" collapsed="false">
      <c r="A1894" s="35" t="s">
        <v>4907</v>
      </c>
      <c r="B1894" s="35" t="s">
        <v>4908</v>
      </c>
      <c r="C1894" s="35" t="s">
        <v>48</v>
      </c>
      <c r="D1894" s="35" t="s">
        <v>107</v>
      </c>
      <c r="E1894" s="35" t="s">
        <v>801</v>
      </c>
      <c r="F1894" s="35"/>
      <c r="G1894" s="35" t="s">
        <v>684</v>
      </c>
      <c r="H1894" s="35" t="s">
        <v>61</v>
      </c>
      <c r="I1894" s="4"/>
    </row>
    <row r="1895" customFormat="false" ht="15" hidden="false" customHeight="false" outlineLevel="0" collapsed="false">
      <c r="A1895" s="35" t="s">
        <v>4909</v>
      </c>
      <c r="B1895" s="35" t="s">
        <v>4910</v>
      </c>
      <c r="C1895" s="35" t="s">
        <v>48</v>
      </c>
      <c r="D1895" s="35" t="s">
        <v>107</v>
      </c>
      <c r="E1895" s="35" t="s">
        <v>801</v>
      </c>
      <c r="F1895" s="35"/>
      <c r="G1895" s="35" t="s">
        <v>684</v>
      </c>
      <c r="H1895" s="35" t="s">
        <v>61</v>
      </c>
      <c r="I1895" s="4"/>
    </row>
    <row r="1896" customFormat="false" ht="15" hidden="false" customHeight="false" outlineLevel="0" collapsed="false">
      <c r="A1896" s="35" t="s">
        <v>4911</v>
      </c>
      <c r="B1896" s="35" t="s">
        <v>4912</v>
      </c>
      <c r="C1896" s="35" t="s">
        <v>48</v>
      </c>
      <c r="D1896" s="35" t="s">
        <v>107</v>
      </c>
      <c r="E1896" s="35" t="s">
        <v>801</v>
      </c>
      <c r="F1896" s="35"/>
      <c r="G1896" s="35" t="s">
        <v>684</v>
      </c>
      <c r="H1896" s="35" t="s">
        <v>61</v>
      </c>
      <c r="I1896" s="4"/>
    </row>
    <row r="1897" customFormat="false" ht="15" hidden="false" customHeight="false" outlineLevel="0" collapsed="false">
      <c r="A1897" s="35" t="s">
        <v>1385</v>
      </c>
      <c r="B1897" s="35" t="s">
        <v>4913</v>
      </c>
      <c r="C1897" s="35" t="s">
        <v>48</v>
      </c>
      <c r="D1897" s="35" t="s">
        <v>107</v>
      </c>
      <c r="E1897" s="35" t="s">
        <v>1384</v>
      </c>
      <c r="F1897" s="35"/>
      <c r="G1897" s="35" t="s">
        <v>444</v>
      </c>
      <c r="H1897" s="35" t="s">
        <v>61</v>
      </c>
      <c r="I1897" s="4"/>
    </row>
    <row r="1898" customFormat="false" ht="15" hidden="false" customHeight="false" outlineLevel="0" collapsed="false">
      <c r="A1898" s="35" t="s">
        <v>4914</v>
      </c>
      <c r="B1898" s="35" t="s">
        <v>4915</v>
      </c>
      <c r="C1898" s="35" t="s">
        <v>48</v>
      </c>
      <c r="D1898" s="35" t="s">
        <v>114</v>
      </c>
      <c r="E1898" s="35"/>
      <c r="F1898" s="35"/>
      <c r="G1898" s="35" t="s">
        <v>524</v>
      </c>
      <c r="H1898" s="35" t="s">
        <v>61</v>
      </c>
      <c r="I1898" s="4"/>
    </row>
    <row r="1899" customFormat="false" ht="15" hidden="false" customHeight="false" outlineLevel="0" collapsed="false">
      <c r="A1899" s="35" t="s">
        <v>4916</v>
      </c>
      <c r="B1899" s="35" t="s">
        <v>4917</v>
      </c>
      <c r="C1899" s="35" t="s">
        <v>48</v>
      </c>
      <c r="D1899" s="35" t="s">
        <v>107</v>
      </c>
      <c r="E1899" s="35" t="s">
        <v>45</v>
      </c>
      <c r="F1899" s="35"/>
      <c r="G1899" s="35" t="s">
        <v>45</v>
      </c>
      <c r="H1899" s="35" t="s">
        <v>61</v>
      </c>
      <c r="I1899" s="4"/>
    </row>
    <row r="1900" customFormat="false" ht="15" hidden="false" customHeight="false" outlineLevel="0" collapsed="false">
      <c r="A1900" s="35" t="s">
        <v>4918</v>
      </c>
      <c r="B1900" s="35" t="s">
        <v>4919</v>
      </c>
      <c r="C1900" s="35" t="s">
        <v>48</v>
      </c>
      <c r="D1900" s="35" t="s">
        <v>114</v>
      </c>
      <c r="E1900" s="35"/>
      <c r="F1900" s="35"/>
      <c r="G1900" s="35" t="s">
        <v>99</v>
      </c>
      <c r="H1900" s="35" t="s">
        <v>61</v>
      </c>
      <c r="I1900" s="4"/>
    </row>
    <row r="1901" customFormat="false" ht="15" hidden="false" customHeight="false" outlineLevel="0" collapsed="false">
      <c r="A1901" s="35" t="s">
        <v>4920</v>
      </c>
      <c r="B1901" s="35" t="s">
        <v>4921</v>
      </c>
      <c r="C1901" s="35" t="s">
        <v>48</v>
      </c>
      <c r="D1901" s="35" t="s">
        <v>146</v>
      </c>
      <c r="E1901" s="35"/>
      <c r="F1901" s="35"/>
      <c r="G1901" s="35" t="s">
        <v>337</v>
      </c>
      <c r="H1901" s="35" t="s">
        <v>61</v>
      </c>
      <c r="I1901" s="4"/>
    </row>
    <row r="1902" customFormat="false" ht="15" hidden="false" customHeight="false" outlineLevel="0" collapsed="false">
      <c r="A1902" s="35" t="s">
        <v>283</v>
      </c>
      <c r="B1902" s="35" t="s">
        <v>284</v>
      </c>
      <c r="C1902" s="35" t="s">
        <v>48</v>
      </c>
      <c r="D1902" s="35" t="s">
        <v>146</v>
      </c>
      <c r="E1902" s="35"/>
      <c r="F1902" s="35"/>
      <c r="G1902" s="35" t="s">
        <v>119</v>
      </c>
      <c r="H1902" s="35" t="s">
        <v>61</v>
      </c>
      <c r="I1902" s="4" t="s">
        <v>2025</v>
      </c>
    </row>
    <row r="1903" customFormat="false" ht="15" hidden="false" customHeight="false" outlineLevel="0" collapsed="false">
      <c r="A1903" s="35" t="s">
        <v>4922</v>
      </c>
      <c r="B1903" s="35" t="s">
        <v>4923</v>
      </c>
      <c r="C1903" s="35" t="s">
        <v>48</v>
      </c>
      <c r="D1903" s="35" t="s">
        <v>146</v>
      </c>
      <c r="E1903" s="35"/>
      <c r="F1903" s="35"/>
      <c r="G1903" s="35" t="s">
        <v>119</v>
      </c>
      <c r="H1903" s="35" t="s">
        <v>61</v>
      </c>
      <c r="I1903" s="4"/>
    </row>
    <row r="1904" customFormat="false" ht="15" hidden="false" customHeight="false" outlineLevel="0" collapsed="false">
      <c r="A1904" s="35" t="s">
        <v>4924</v>
      </c>
      <c r="B1904" s="35" t="s">
        <v>4925</v>
      </c>
      <c r="C1904" s="35" t="s">
        <v>48</v>
      </c>
      <c r="D1904" s="35" t="s">
        <v>146</v>
      </c>
      <c r="E1904" s="35"/>
      <c r="F1904" s="35"/>
      <c r="G1904" s="35" t="s">
        <v>119</v>
      </c>
      <c r="H1904" s="35" t="s">
        <v>61</v>
      </c>
      <c r="I1904" s="4"/>
    </row>
    <row r="1905" customFormat="false" ht="15" hidden="false" customHeight="false" outlineLevel="0" collapsed="false">
      <c r="A1905" s="35" t="s">
        <v>4926</v>
      </c>
      <c r="B1905" s="35" t="s">
        <v>4927</v>
      </c>
      <c r="C1905" s="35" t="s">
        <v>48</v>
      </c>
      <c r="D1905" s="35" t="s">
        <v>146</v>
      </c>
      <c r="E1905" s="35"/>
      <c r="F1905" s="35"/>
      <c r="G1905" s="35" t="s">
        <v>119</v>
      </c>
      <c r="H1905" s="35" t="s">
        <v>61</v>
      </c>
      <c r="I1905" s="4"/>
    </row>
    <row r="1906" customFormat="false" ht="15" hidden="false" customHeight="false" outlineLevel="0" collapsed="false">
      <c r="A1906" s="35" t="s">
        <v>4928</v>
      </c>
      <c r="B1906" s="35" t="s">
        <v>4929</v>
      </c>
      <c r="C1906" s="35" t="s">
        <v>48</v>
      </c>
      <c r="D1906" s="35" t="s">
        <v>146</v>
      </c>
      <c r="E1906" s="35"/>
      <c r="F1906" s="35"/>
      <c r="G1906" s="35" t="s">
        <v>524</v>
      </c>
      <c r="H1906" s="35" t="s">
        <v>61</v>
      </c>
      <c r="I1906" s="4"/>
    </row>
    <row r="1907" customFormat="false" ht="15" hidden="false" customHeight="false" outlineLevel="0" collapsed="false">
      <c r="A1907" s="35" t="s">
        <v>4930</v>
      </c>
      <c r="B1907" s="35" t="s">
        <v>4931</v>
      </c>
      <c r="C1907" s="35" t="s">
        <v>48</v>
      </c>
      <c r="D1907" s="35" t="s">
        <v>146</v>
      </c>
      <c r="E1907" s="35"/>
      <c r="F1907" s="35" t="s">
        <v>4932</v>
      </c>
      <c r="G1907" s="35" t="s">
        <v>421</v>
      </c>
      <c r="H1907" s="35" t="s">
        <v>61</v>
      </c>
      <c r="I1907" s="4"/>
    </row>
    <row r="1908" customFormat="false" ht="15" hidden="false" customHeight="false" outlineLevel="0" collapsed="false">
      <c r="A1908" s="35" t="s">
        <v>4933</v>
      </c>
      <c r="B1908" s="35" t="s">
        <v>4934</v>
      </c>
      <c r="C1908" s="35" t="s">
        <v>48</v>
      </c>
      <c r="D1908" s="35" t="s">
        <v>146</v>
      </c>
      <c r="E1908" s="35"/>
      <c r="F1908" s="35" t="s">
        <v>4932</v>
      </c>
      <c r="G1908" s="35" t="s">
        <v>421</v>
      </c>
      <c r="H1908" s="35" t="s">
        <v>61</v>
      </c>
      <c r="I1908" s="4"/>
    </row>
    <row r="1909" customFormat="false" ht="15" hidden="false" customHeight="false" outlineLevel="0" collapsed="false">
      <c r="A1909" s="35" t="s">
        <v>4935</v>
      </c>
      <c r="B1909" s="35" t="s">
        <v>4936</v>
      </c>
      <c r="C1909" s="35" t="s">
        <v>48</v>
      </c>
      <c r="D1909" s="35" t="s">
        <v>146</v>
      </c>
      <c r="E1909" s="35"/>
      <c r="F1909" s="35" t="s">
        <v>2147</v>
      </c>
      <c r="G1909" s="35" t="s">
        <v>689</v>
      </c>
      <c r="H1909" s="35" t="s">
        <v>61</v>
      </c>
      <c r="I1909" s="4"/>
    </row>
    <row r="1910" customFormat="false" ht="15" hidden="false" customHeight="false" outlineLevel="0" collapsed="false">
      <c r="A1910" s="35" t="s">
        <v>124</v>
      </c>
      <c r="B1910" s="35" t="s">
        <v>125</v>
      </c>
      <c r="C1910" s="35" t="s">
        <v>48</v>
      </c>
      <c r="D1910" s="35" t="s">
        <v>114</v>
      </c>
      <c r="E1910" s="35"/>
      <c r="F1910" s="35"/>
      <c r="G1910" s="35" t="s">
        <v>49</v>
      </c>
      <c r="H1910" s="35" t="s">
        <v>50</v>
      </c>
      <c r="I1910" s="4" t="s">
        <v>2025</v>
      </c>
    </row>
    <row r="1911" customFormat="false" ht="15" hidden="false" customHeight="false" outlineLevel="0" collapsed="false">
      <c r="A1911" s="35" t="s">
        <v>4937</v>
      </c>
      <c r="B1911" s="35" t="s">
        <v>4938</v>
      </c>
      <c r="C1911" s="35" t="s">
        <v>48</v>
      </c>
      <c r="D1911" s="35" t="s">
        <v>157</v>
      </c>
      <c r="E1911" s="35"/>
      <c r="F1911" s="35"/>
      <c r="G1911" s="35" t="s">
        <v>705</v>
      </c>
      <c r="H1911" s="35" t="s">
        <v>61</v>
      </c>
      <c r="I1911" s="4"/>
    </row>
    <row r="1912" customFormat="false" ht="15" hidden="false" customHeight="false" outlineLevel="0" collapsed="false">
      <c r="A1912" s="35" t="s">
        <v>4939</v>
      </c>
      <c r="B1912" s="35" t="s">
        <v>4940</v>
      </c>
      <c r="C1912" s="35" t="s">
        <v>48</v>
      </c>
      <c r="D1912" s="35" t="s">
        <v>114</v>
      </c>
      <c r="E1912" s="35"/>
      <c r="F1912" s="35"/>
      <c r="G1912" s="35" t="s">
        <v>99</v>
      </c>
      <c r="H1912" s="35" t="s">
        <v>61</v>
      </c>
      <c r="I1912" s="4"/>
    </row>
    <row r="1913" customFormat="false" ht="15" hidden="false" customHeight="false" outlineLevel="0" collapsed="false">
      <c r="A1913" s="35" t="s">
        <v>4941</v>
      </c>
      <c r="B1913" s="35" t="s">
        <v>4942</v>
      </c>
      <c r="C1913" s="35" t="s">
        <v>48</v>
      </c>
      <c r="D1913" s="35" t="s">
        <v>53</v>
      </c>
      <c r="E1913" s="35"/>
      <c r="F1913" s="35" t="s">
        <v>4943</v>
      </c>
      <c r="G1913" s="35" t="s">
        <v>421</v>
      </c>
      <c r="H1913" s="35" t="s">
        <v>61</v>
      </c>
      <c r="I1913" s="4"/>
    </row>
    <row r="1914" customFormat="false" ht="15" hidden="false" customHeight="false" outlineLevel="0" collapsed="false">
      <c r="A1914" s="35" t="s">
        <v>4944</v>
      </c>
      <c r="B1914" s="35" t="s">
        <v>4945</v>
      </c>
      <c r="C1914" s="35" t="s">
        <v>48</v>
      </c>
      <c r="D1914" s="35" t="s">
        <v>53</v>
      </c>
      <c r="E1914" s="35"/>
      <c r="F1914" s="35"/>
      <c r="G1914" s="35" t="s">
        <v>421</v>
      </c>
      <c r="H1914" s="35" t="s">
        <v>61</v>
      </c>
      <c r="I1914" s="4"/>
    </row>
    <row r="1915" customFormat="false" ht="15" hidden="false" customHeight="false" outlineLevel="0" collapsed="false">
      <c r="A1915" s="35" t="s">
        <v>4946</v>
      </c>
      <c r="B1915" s="35" t="s">
        <v>4947</v>
      </c>
      <c r="C1915" s="35" t="s">
        <v>48</v>
      </c>
      <c r="D1915" s="35" t="s">
        <v>57</v>
      </c>
      <c r="E1915" s="35" t="s">
        <v>262</v>
      </c>
      <c r="F1915" s="35" t="s">
        <v>903</v>
      </c>
      <c r="G1915" s="35" t="s">
        <v>262</v>
      </c>
      <c r="H1915" s="35" t="s">
        <v>61</v>
      </c>
      <c r="I1915" s="4"/>
    </row>
    <row r="1916" customFormat="false" ht="15" hidden="false" customHeight="false" outlineLevel="0" collapsed="false">
      <c r="A1916" s="35" t="s">
        <v>4948</v>
      </c>
      <c r="B1916" s="35" t="s">
        <v>4949</v>
      </c>
      <c r="C1916" s="35" t="s">
        <v>48</v>
      </c>
      <c r="D1916" s="35" t="s">
        <v>107</v>
      </c>
      <c r="E1916" s="35" t="s">
        <v>262</v>
      </c>
      <c r="F1916" s="35"/>
      <c r="G1916" s="35" t="s">
        <v>49</v>
      </c>
      <c r="H1916" s="35" t="s">
        <v>50</v>
      </c>
      <c r="I1916" s="4"/>
    </row>
    <row r="1917" customFormat="false" ht="15" hidden="false" customHeight="false" outlineLevel="0" collapsed="false">
      <c r="A1917" s="35" t="s">
        <v>4950</v>
      </c>
      <c r="B1917" s="35" t="s">
        <v>4951</v>
      </c>
      <c r="C1917" s="35" t="s">
        <v>48</v>
      </c>
      <c r="D1917" s="35" t="s">
        <v>107</v>
      </c>
      <c r="E1917" s="35" t="s">
        <v>1073</v>
      </c>
      <c r="F1917" s="35"/>
      <c r="G1917" s="35" t="s">
        <v>188</v>
      </c>
      <c r="H1917" s="35" t="s">
        <v>61</v>
      </c>
      <c r="I1917" s="4"/>
    </row>
    <row r="1918" customFormat="false" ht="15" hidden="false" customHeight="false" outlineLevel="0" collapsed="false">
      <c r="A1918" s="35" t="s">
        <v>4952</v>
      </c>
      <c r="B1918" s="35" t="s">
        <v>4953</v>
      </c>
      <c r="C1918" s="35" t="s">
        <v>48</v>
      </c>
      <c r="D1918" s="35" t="s">
        <v>107</v>
      </c>
      <c r="E1918" s="35" t="s">
        <v>1073</v>
      </c>
      <c r="F1918" s="35"/>
      <c r="G1918" s="35" t="s">
        <v>188</v>
      </c>
      <c r="H1918" s="35" t="s">
        <v>61</v>
      </c>
      <c r="I1918" s="4"/>
    </row>
    <row r="1919" customFormat="false" ht="15" hidden="false" customHeight="false" outlineLevel="0" collapsed="false">
      <c r="A1919" s="35" t="s">
        <v>4954</v>
      </c>
      <c r="B1919" s="35" t="s">
        <v>4955</v>
      </c>
      <c r="C1919" s="35" t="s">
        <v>48</v>
      </c>
      <c r="D1919" s="35" t="s">
        <v>107</v>
      </c>
      <c r="E1919" s="35" t="s">
        <v>262</v>
      </c>
      <c r="F1919" s="35"/>
      <c r="G1919" s="35" t="s">
        <v>262</v>
      </c>
      <c r="H1919" s="35" t="s">
        <v>61</v>
      </c>
      <c r="I1919" s="4"/>
    </row>
    <row r="1920" customFormat="false" ht="15" hidden="false" customHeight="false" outlineLevel="0" collapsed="false">
      <c r="A1920" s="35" t="s">
        <v>4956</v>
      </c>
      <c r="B1920" s="35" t="s">
        <v>4957</v>
      </c>
      <c r="C1920" s="35" t="s">
        <v>48</v>
      </c>
      <c r="D1920" s="35" t="s">
        <v>107</v>
      </c>
      <c r="E1920" s="35" t="s">
        <v>262</v>
      </c>
      <c r="F1920" s="35"/>
      <c r="G1920" s="35" t="s">
        <v>49</v>
      </c>
      <c r="H1920" s="35" t="s">
        <v>49</v>
      </c>
      <c r="I1920" s="4"/>
    </row>
    <row r="1921" customFormat="false" ht="15" hidden="false" customHeight="false" outlineLevel="0" collapsed="false">
      <c r="A1921" s="35" t="s">
        <v>4958</v>
      </c>
      <c r="B1921" s="35" t="s">
        <v>4959</v>
      </c>
      <c r="C1921" s="35" t="s">
        <v>48</v>
      </c>
      <c r="D1921" s="35" t="s">
        <v>107</v>
      </c>
      <c r="E1921" s="35" t="s">
        <v>262</v>
      </c>
      <c r="F1921" s="35"/>
      <c r="G1921" s="35" t="s">
        <v>49</v>
      </c>
      <c r="H1921" s="35" t="s">
        <v>49</v>
      </c>
      <c r="I1921" s="4"/>
    </row>
    <row r="1922" customFormat="false" ht="15" hidden="false" customHeight="false" outlineLevel="0" collapsed="false">
      <c r="A1922" s="35" t="s">
        <v>1624</v>
      </c>
      <c r="B1922" s="35" t="s">
        <v>1624</v>
      </c>
      <c r="C1922" s="35" t="s">
        <v>48</v>
      </c>
      <c r="D1922" s="35" t="s">
        <v>107</v>
      </c>
      <c r="E1922" s="35" t="s">
        <v>1623</v>
      </c>
      <c r="F1922" s="35"/>
      <c r="G1922" s="35" t="s">
        <v>571</v>
      </c>
      <c r="H1922" s="35" t="s">
        <v>61</v>
      </c>
      <c r="I1922" s="4"/>
    </row>
    <row r="1923" customFormat="false" ht="15" hidden="false" customHeight="false" outlineLevel="0" collapsed="false">
      <c r="A1923" s="35" t="s">
        <v>1626</v>
      </c>
      <c r="B1923" s="35" t="s">
        <v>4960</v>
      </c>
      <c r="C1923" s="35" t="s">
        <v>48</v>
      </c>
      <c r="D1923" s="35" t="s">
        <v>107</v>
      </c>
      <c r="E1923" s="35" t="s">
        <v>1625</v>
      </c>
      <c r="F1923" s="35"/>
      <c r="G1923" s="35" t="s">
        <v>555</v>
      </c>
      <c r="H1923" s="35" t="s">
        <v>61</v>
      </c>
      <c r="I1923" s="4"/>
    </row>
    <row r="1924" customFormat="false" ht="15" hidden="false" customHeight="false" outlineLevel="0" collapsed="false">
      <c r="A1924" s="35" t="s">
        <v>4961</v>
      </c>
      <c r="B1924" s="35" t="s">
        <v>4962</v>
      </c>
      <c r="C1924" s="35" t="s">
        <v>48</v>
      </c>
      <c r="D1924" s="35" t="s">
        <v>107</v>
      </c>
      <c r="E1924" s="35" t="s">
        <v>262</v>
      </c>
      <c r="F1924" s="35"/>
      <c r="G1924" s="35" t="s">
        <v>49</v>
      </c>
      <c r="H1924" s="35" t="s">
        <v>50</v>
      </c>
      <c r="I1924" s="4"/>
    </row>
    <row r="1925" customFormat="false" ht="15" hidden="false" customHeight="false" outlineLevel="0" collapsed="false">
      <c r="A1925" s="35" t="s">
        <v>4963</v>
      </c>
      <c r="B1925" s="35" t="s">
        <v>4964</v>
      </c>
      <c r="C1925" s="35" t="s">
        <v>48</v>
      </c>
      <c r="D1925" s="35" t="s">
        <v>107</v>
      </c>
      <c r="E1925" s="35" t="s">
        <v>1223</v>
      </c>
      <c r="F1925" s="35"/>
      <c r="G1925" s="35" t="s">
        <v>91</v>
      </c>
      <c r="H1925" s="35" t="s">
        <v>61</v>
      </c>
      <c r="I1925" s="4"/>
    </row>
    <row r="1926" customFormat="false" ht="15" hidden="false" customHeight="false" outlineLevel="0" collapsed="false">
      <c r="A1926" s="35" t="s">
        <v>4965</v>
      </c>
      <c r="B1926" s="35" t="s">
        <v>4966</v>
      </c>
      <c r="C1926" s="35" t="s">
        <v>48</v>
      </c>
      <c r="D1926" s="35" t="s">
        <v>107</v>
      </c>
      <c r="E1926" s="35" t="s">
        <v>903</v>
      </c>
      <c r="F1926" s="35"/>
      <c r="G1926" s="35" t="s">
        <v>91</v>
      </c>
      <c r="H1926" s="35" t="s">
        <v>50</v>
      </c>
      <c r="I1926" s="4"/>
    </row>
    <row r="1927" customFormat="false" ht="15" hidden="false" customHeight="false" outlineLevel="0" collapsed="false">
      <c r="A1927" s="35" t="s">
        <v>4967</v>
      </c>
      <c r="B1927" s="35" t="s">
        <v>4968</v>
      </c>
      <c r="C1927" s="35" t="s">
        <v>48</v>
      </c>
      <c r="D1927" s="35" t="s">
        <v>107</v>
      </c>
      <c r="E1927" s="35" t="s">
        <v>262</v>
      </c>
      <c r="F1927" s="35"/>
      <c r="G1927" s="35" t="s">
        <v>262</v>
      </c>
      <c r="H1927" s="35" t="s">
        <v>61</v>
      </c>
      <c r="I1927" s="4"/>
    </row>
    <row r="1928" customFormat="false" ht="15" hidden="false" customHeight="false" outlineLevel="0" collapsed="false">
      <c r="A1928" s="35" t="s">
        <v>286</v>
      </c>
      <c r="B1928" s="35" t="s">
        <v>287</v>
      </c>
      <c r="C1928" s="35" t="s">
        <v>48</v>
      </c>
      <c r="D1928" s="35" t="s">
        <v>107</v>
      </c>
      <c r="E1928" s="35" t="s">
        <v>262</v>
      </c>
      <c r="F1928" s="35"/>
      <c r="G1928" s="35" t="s">
        <v>262</v>
      </c>
      <c r="H1928" s="35" t="s">
        <v>61</v>
      </c>
      <c r="I1928" s="4" t="s">
        <v>2025</v>
      </c>
    </row>
    <row r="1929" customFormat="false" ht="15" hidden="false" customHeight="false" outlineLevel="0" collapsed="false">
      <c r="A1929" s="35" t="s">
        <v>4969</v>
      </c>
      <c r="B1929" s="35" t="s">
        <v>4970</v>
      </c>
      <c r="C1929" s="35" t="s">
        <v>48</v>
      </c>
      <c r="D1929" s="35" t="s">
        <v>107</v>
      </c>
      <c r="E1929" s="35" t="s">
        <v>262</v>
      </c>
      <c r="F1929" s="35" t="s">
        <v>4697</v>
      </c>
      <c r="G1929" s="35" t="s">
        <v>262</v>
      </c>
      <c r="H1929" s="35" t="s">
        <v>61</v>
      </c>
      <c r="I1929" s="4"/>
    </row>
    <row r="1930" customFormat="false" ht="15" hidden="false" customHeight="false" outlineLevel="0" collapsed="false">
      <c r="A1930" s="35" t="s">
        <v>4971</v>
      </c>
      <c r="B1930" s="35" t="s">
        <v>4972</v>
      </c>
      <c r="C1930" s="35" t="s">
        <v>48</v>
      </c>
      <c r="D1930" s="35" t="s">
        <v>107</v>
      </c>
      <c r="E1930" s="35" t="s">
        <v>816</v>
      </c>
      <c r="F1930" s="35"/>
      <c r="G1930" s="35" t="s">
        <v>262</v>
      </c>
      <c r="H1930" s="35" t="s">
        <v>61</v>
      </c>
      <c r="I1930" s="4"/>
    </row>
    <row r="1931" customFormat="false" ht="15" hidden="false" customHeight="false" outlineLevel="0" collapsed="false">
      <c r="A1931" s="35" t="s">
        <v>4973</v>
      </c>
      <c r="B1931" s="35" t="s">
        <v>4974</v>
      </c>
      <c r="C1931" s="35" t="s">
        <v>48</v>
      </c>
      <c r="D1931" s="35" t="s">
        <v>107</v>
      </c>
      <c r="E1931" s="35" t="s">
        <v>816</v>
      </c>
      <c r="F1931" s="35"/>
      <c r="G1931" s="35" t="s">
        <v>262</v>
      </c>
      <c r="H1931" s="35" t="s">
        <v>61</v>
      </c>
      <c r="I1931" s="4"/>
    </row>
    <row r="1932" customFormat="false" ht="15" hidden="false" customHeight="false" outlineLevel="0" collapsed="false">
      <c r="A1932" s="35" t="s">
        <v>4975</v>
      </c>
      <c r="B1932" s="35" t="s">
        <v>4976</v>
      </c>
      <c r="C1932" s="35" t="s">
        <v>48</v>
      </c>
      <c r="D1932" s="35" t="s">
        <v>107</v>
      </c>
      <c r="E1932" s="35" t="s">
        <v>262</v>
      </c>
      <c r="F1932" s="35" t="s">
        <v>4977</v>
      </c>
      <c r="G1932" s="35" t="s">
        <v>262</v>
      </c>
      <c r="H1932" s="35" t="s">
        <v>61</v>
      </c>
      <c r="I1932" s="4"/>
    </row>
    <row r="1933" customFormat="false" ht="15" hidden="false" customHeight="false" outlineLevel="0" collapsed="false">
      <c r="A1933" s="35" t="s">
        <v>160</v>
      </c>
      <c r="B1933" s="35" t="s">
        <v>161</v>
      </c>
      <c r="C1933" s="35" t="s">
        <v>48</v>
      </c>
      <c r="D1933" s="35" t="s">
        <v>157</v>
      </c>
      <c r="E1933" s="35"/>
      <c r="F1933" s="35"/>
      <c r="G1933" s="35" t="s">
        <v>49</v>
      </c>
      <c r="H1933" s="35" t="s">
        <v>49</v>
      </c>
      <c r="I1933" s="4" t="s">
        <v>2025</v>
      </c>
    </row>
    <row r="1934" customFormat="false" ht="15" hidden="false" customHeight="false" outlineLevel="0" collapsed="false">
      <c r="A1934" s="35" t="s">
        <v>4978</v>
      </c>
      <c r="B1934" s="35" t="s">
        <v>4979</v>
      </c>
      <c r="C1934" s="35" t="s">
        <v>48</v>
      </c>
      <c r="D1934" s="35" t="s">
        <v>57</v>
      </c>
      <c r="E1934" s="35" t="s">
        <v>45</v>
      </c>
      <c r="F1934" s="35"/>
      <c r="G1934" s="35" t="s">
        <v>104</v>
      </c>
      <c r="H1934" s="35" t="s">
        <v>61</v>
      </c>
      <c r="I1934" s="4"/>
    </row>
    <row r="1935" customFormat="false" ht="15" hidden="false" customHeight="false" outlineLevel="0" collapsed="false">
      <c r="A1935" s="35" t="s">
        <v>4980</v>
      </c>
      <c r="B1935" s="35" t="s">
        <v>4981</v>
      </c>
      <c r="C1935" s="35" t="s">
        <v>48</v>
      </c>
      <c r="D1935" s="35" t="s">
        <v>107</v>
      </c>
      <c r="E1935" s="35" t="s">
        <v>729</v>
      </c>
      <c r="F1935" s="35"/>
      <c r="G1935" s="35" t="s">
        <v>696</v>
      </c>
      <c r="H1935" s="35" t="s">
        <v>61</v>
      </c>
      <c r="I1935" s="4"/>
    </row>
    <row r="1936" customFormat="false" ht="15" hidden="false" customHeight="false" outlineLevel="0" collapsed="false">
      <c r="A1936" s="35" t="s">
        <v>4982</v>
      </c>
      <c r="B1936" s="35" t="s">
        <v>4983</v>
      </c>
      <c r="C1936" s="35" t="s">
        <v>48</v>
      </c>
      <c r="D1936" s="35" t="s">
        <v>114</v>
      </c>
      <c r="E1936" s="35"/>
      <c r="F1936" s="35"/>
      <c r="G1936" s="35" t="s">
        <v>681</v>
      </c>
      <c r="H1936" s="35" t="s">
        <v>61</v>
      </c>
      <c r="I1936" s="4"/>
    </row>
    <row r="1937" customFormat="false" ht="15" hidden="false" customHeight="false" outlineLevel="0" collapsed="false">
      <c r="A1937" s="35" t="s">
        <v>4984</v>
      </c>
      <c r="B1937" s="35" t="s">
        <v>4985</v>
      </c>
      <c r="C1937" s="35" t="s">
        <v>48</v>
      </c>
      <c r="D1937" s="35" t="s">
        <v>53</v>
      </c>
      <c r="E1937" s="35"/>
      <c r="F1937" s="35"/>
      <c r="G1937" s="35" t="s">
        <v>681</v>
      </c>
      <c r="H1937" s="35" t="s">
        <v>61</v>
      </c>
      <c r="I1937" s="4"/>
    </row>
    <row r="1938" customFormat="false" ht="15" hidden="false" customHeight="false" outlineLevel="0" collapsed="false">
      <c r="A1938" s="35" t="s">
        <v>4986</v>
      </c>
      <c r="B1938" s="35" t="s">
        <v>4987</v>
      </c>
      <c r="C1938" s="35" t="s">
        <v>48</v>
      </c>
      <c r="D1938" s="35" t="s">
        <v>53</v>
      </c>
      <c r="E1938" s="35"/>
      <c r="F1938" s="35"/>
      <c r="G1938" s="35" t="s">
        <v>681</v>
      </c>
      <c r="H1938" s="35" t="s">
        <v>61</v>
      </c>
      <c r="I1938" s="4"/>
    </row>
    <row r="1939" customFormat="false" ht="15" hidden="false" customHeight="false" outlineLevel="0" collapsed="false">
      <c r="A1939" s="35" t="s">
        <v>4988</v>
      </c>
      <c r="B1939" s="35" t="s">
        <v>4989</v>
      </c>
      <c r="C1939" s="35" t="s">
        <v>48</v>
      </c>
      <c r="D1939" s="35" t="s">
        <v>107</v>
      </c>
      <c r="E1939" s="35" t="s">
        <v>1109</v>
      </c>
      <c r="F1939" s="35"/>
      <c r="G1939" s="35" t="s">
        <v>49</v>
      </c>
      <c r="H1939" s="35" t="s">
        <v>49</v>
      </c>
      <c r="I1939" s="4"/>
    </row>
    <row r="1940" customFormat="false" ht="15" hidden="false" customHeight="false" outlineLevel="0" collapsed="false">
      <c r="A1940" s="35" t="s">
        <v>4990</v>
      </c>
      <c r="B1940" s="35" t="s">
        <v>4991</v>
      </c>
      <c r="C1940" s="35" t="s">
        <v>48</v>
      </c>
      <c r="D1940" s="35" t="s">
        <v>53</v>
      </c>
      <c r="E1940" s="35"/>
      <c r="F1940" s="35"/>
      <c r="G1940" s="35" t="s">
        <v>721</v>
      </c>
      <c r="H1940" s="35" t="s">
        <v>61</v>
      </c>
      <c r="I1940" s="4"/>
    </row>
    <row r="1941" customFormat="false" ht="15" hidden="false" customHeight="false" outlineLevel="0" collapsed="false">
      <c r="A1941" s="35" t="s">
        <v>4992</v>
      </c>
      <c r="B1941" s="35" t="s">
        <v>4993</v>
      </c>
      <c r="C1941" s="35" t="s">
        <v>48</v>
      </c>
      <c r="D1941" s="35" t="s">
        <v>57</v>
      </c>
      <c r="E1941" s="35" t="s">
        <v>553</v>
      </c>
      <c r="F1941" s="35"/>
      <c r="G1941" s="35" t="s">
        <v>555</v>
      </c>
      <c r="H1941" s="35" t="s">
        <v>2071</v>
      </c>
      <c r="I1941" s="4"/>
    </row>
    <row r="1942" customFormat="false" ht="15" hidden="false" customHeight="false" outlineLevel="0" collapsed="false">
      <c r="A1942" s="35" t="s">
        <v>4994</v>
      </c>
      <c r="B1942" s="35" t="s">
        <v>4995</v>
      </c>
      <c r="C1942" s="35" t="s">
        <v>48</v>
      </c>
      <c r="D1942" s="35" t="s">
        <v>53</v>
      </c>
      <c r="E1942" s="35"/>
      <c r="F1942" s="35"/>
      <c r="G1942" s="35" t="s">
        <v>680</v>
      </c>
      <c r="H1942" s="35" t="s">
        <v>61</v>
      </c>
      <c r="I1942" s="4"/>
    </row>
    <row r="1943" customFormat="false" ht="15" hidden="false" customHeight="false" outlineLevel="0" collapsed="false">
      <c r="A1943" s="35" t="s">
        <v>4996</v>
      </c>
      <c r="B1943" s="35" t="s">
        <v>4997</v>
      </c>
      <c r="C1943" s="35" t="s">
        <v>48</v>
      </c>
      <c r="D1943" s="35" t="s">
        <v>53</v>
      </c>
      <c r="E1943" s="35"/>
      <c r="F1943" s="35"/>
      <c r="G1943" s="35" t="s">
        <v>680</v>
      </c>
      <c r="H1943" s="35" t="s">
        <v>61</v>
      </c>
      <c r="I1943" s="4"/>
    </row>
    <row r="1944" customFormat="false" ht="15" hidden="false" customHeight="false" outlineLevel="0" collapsed="false">
      <c r="A1944" s="35" t="s">
        <v>4998</v>
      </c>
      <c r="B1944" s="35" t="s">
        <v>4999</v>
      </c>
      <c r="C1944" s="35" t="s">
        <v>48</v>
      </c>
      <c r="D1944" s="35" t="s">
        <v>53</v>
      </c>
      <c r="E1944" s="35"/>
      <c r="F1944" s="35"/>
      <c r="G1944" s="35" t="s">
        <v>680</v>
      </c>
      <c r="H1944" s="35" t="s">
        <v>61</v>
      </c>
      <c r="I1944" s="4"/>
    </row>
    <row r="1945" customFormat="false" ht="15" hidden="false" customHeight="false" outlineLevel="0" collapsed="false">
      <c r="A1945" s="35" t="s">
        <v>5000</v>
      </c>
      <c r="B1945" s="35" t="s">
        <v>5001</v>
      </c>
      <c r="C1945" s="35" t="s">
        <v>48</v>
      </c>
      <c r="D1945" s="35" t="s">
        <v>53</v>
      </c>
      <c r="E1945" s="35"/>
      <c r="F1945" s="35"/>
      <c r="G1945" s="35" t="s">
        <v>680</v>
      </c>
      <c r="H1945" s="35" t="s">
        <v>61</v>
      </c>
      <c r="I1945" s="4"/>
    </row>
    <row r="1946" customFormat="false" ht="15" hidden="false" customHeight="false" outlineLevel="0" collapsed="false">
      <c r="A1946" s="35" t="s">
        <v>5002</v>
      </c>
      <c r="B1946" s="35" t="s">
        <v>5003</v>
      </c>
      <c r="C1946" s="35" t="s">
        <v>48</v>
      </c>
      <c r="D1946" s="35" t="s">
        <v>53</v>
      </c>
      <c r="E1946" s="35"/>
      <c r="F1946" s="35"/>
      <c r="G1946" s="35" t="s">
        <v>680</v>
      </c>
      <c r="H1946" s="35" t="s">
        <v>61</v>
      </c>
      <c r="I1946" s="4"/>
    </row>
    <row r="1947" customFormat="false" ht="15" hidden="false" customHeight="false" outlineLevel="0" collapsed="false">
      <c r="A1947" s="35" t="s">
        <v>5004</v>
      </c>
      <c r="B1947" s="35" t="s">
        <v>5005</v>
      </c>
      <c r="C1947" s="35" t="s">
        <v>48</v>
      </c>
      <c r="D1947" s="35" t="s">
        <v>53</v>
      </c>
      <c r="E1947" s="35"/>
      <c r="F1947" s="35"/>
      <c r="G1947" s="35" t="s">
        <v>680</v>
      </c>
      <c r="H1947" s="35" t="s">
        <v>61</v>
      </c>
      <c r="I1947" s="4"/>
    </row>
    <row r="1948" customFormat="false" ht="15" hidden="false" customHeight="false" outlineLevel="0" collapsed="false">
      <c r="A1948" s="35" t="s">
        <v>5006</v>
      </c>
      <c r="B1948" s="35" t="s">
        <v>5007</v>
      </c>
      <c r="C1948" s="35" t="s">
        <v>48</v>
      </c>
      <c r="D1948" s="35" t="s">
        <v>53</v>
      </c>
      <c r="E1948" s="35"/>
      <c r="F1948" s="35"/>
      <c r="G1948" s="35" t="s">
        <v>680</v>
      </c>
      <c r="H1948" s="35" t="s">
        <v>61</v>
      </c>
      <c r="I1948" s="4"/>
    </row>
    <row r="1949" customFormat="false" ht="15" hidden="false" customHeight="false" outlineLevel="0" collapsed="false">
      <c r="A1949" s="35" t="s">
        <v>5008</v>
      </c>
      <c r="B1949" s="35" t="s">
        <v>5009</v>
      </c>
      <c r="C1949" s="35" t="s">
        <v>48</v>
      </c>
      <c r="D1949" s="35" t="s">
        <v>53</v>
      </c>
      <c r="E1949" s="35"/>
      <c r="F1949" s="35"/>
      <c r="G1949" s="35" t="s">
        <v>680</v>
      </c>
      <c r="H1949" s="35" t="s">
        <v>61</v>
      </c>
      <c r="I1949" s="4"/>
    </row>
    <row r="1950" customFormat="false" ht="15" hidden="false" customHeight="false" outlineLevel="0" collapsed="false">
      <c r="A1950" s="35" t="s">
        <v>5010</v>
      </c>
      <c r="B1950" s="35" t="s">
        <v>5011</v>
      </c>
      <c r="C1950" s="35" t="s">
        <v>48</v>
      </c>
      <c r="D1950" s="35" t="s">
        <v>53</v>
      </c>
      <c r="E1950" s="35"/>
      <c r="F1950" s="35"/>
      <c r="G1950" s="35" t="s">
        <v>680</v>
      </c>
      <c r="H1950" s="35" t="s">
        <v>61</v>
      </c>
      <c r="I1950" s="4"/>
    </row>
    <row r="1951" customFormat="false" ht="15" hidden="false" customHeight="false" outlineLevel="0" collapsed="false">
      <c r="A1951" s="35" t="s">
        <v>5012</v>
      </c>
      <c r="B1951" s="35" t="s">
        <v>5013</v>
      </c>
      <c r="C1951" s="35" t="s">
        <v>48</v>
      </c>
      <c r="D1951" s="35" t="s">
        <v>53</v>
      </c>
      <c r="E1951" s="35"/>
      <c r="F1951" s="35"/>
      <c r="G1951" s="35" t="s">
        <v>680</v>
      </c>
      <c r="H1951" s="35" t="s">
        <v>61</v>
      </c>
      <c r="I1951" s="4"/>
    </row>
    <row r="1952" customFormat="false" ht="15" hidden="false" customHeight="false" outlineLevel="0" collapsed="false">
      <c r="A1952" s="35" t="s">
        <v>5014</v>
      </c>
      <c r="B1952" s="35" t="s">
        <v>5015</v>
      </c>
      <c r="C1952" s="35" t="s">
        <v>48</v>
      </c>
      <c r="D1952" s="35" t="s">
        <v>53</v>
      </c>
      <c r="E1952" s="35"/>
      <c r="F1952" s="35"/>
      <c r="G1952" s="35" t="s">
        <v>680</v>
      </c>
      <c r="H1952" s="35" t="s">
        <v>61</v>
      </c>
      <c r="I1952" s="4"/>
    </row>
    <row r="1953" customFormat="false" ht="15" hidden="false" customHeight="false" outlineLevel="0" collapsed="false">
      <c r="A1953" s="35" t="s">
        <v>5016</v>
      </c>
      <c r="B1953" s="35" t="s">
        <v>5017</v>
      </c>
      <c r="C1953" s="35" t="s">
        <v>48</v>
      </c>
      <c r="D1953" s="35" t="s">
        <v>53</v>
      </c>
      <c r="E1953" s="35"/>
      <c r="F1953" s="35"/>
      <c r="G1953" s="35" t="s">
        <v>680</v>
      </c>
      <c r="H1953" s="35" t="s">
        <v>61</v>
      </c>
      <c r="I1953" s="4"/>
    </row>
    <row r="1954" customFormat="false" ht="15" hidden="false" customHeight="false" outlineLevel="0" collapsed="false">
      <c r="A1954" s="35" t="s">
        <v>5018</v>
      </c>
      <c r="B1954" s="35" t="s">
        <v>5019</v>
      </c>
      <c r="C1954" s="35" t="s">
        <v>48</v>
      </c>
      <c r="D1954" s="35" t="s">
        <v>53</v>
      </c>
      <c r="E1954" s="35"/>
      <c r="F1954" s="35"/>
      <c r="G1954" s="35" t="s">
        <v>680</v>
      </c>
      <c r="H1954" s="35" t="s">
        <v>61</v>
      </c>
      <c r="I1954" s="4"/>
    </row>
    <row r="1955" customFormat="false" ht="15" hidden="false" customHeight="false" outlineLevel="0" collapsed="false">
      <c r="A1955" s="35" t="s">
        <v>5020</v>
      </c>
      <c r="B1955" s="35" t="s">
        <v>5021</v>
      </c>
      <c r="C1955" s="35" t="s">
        <v>48</v>
      </c>
      <c r="D1955" s="35" t="s">
        <v>157</v>
      </c>
      <c r="E1955" s="35"/>
      <c r="F1955" s="35"/>
      <c r="G1955" s="35" t="s">
        <v>680</v>
      </c>
      <c r="H1955" s="35" t="s">
        <v>61</v>
      </c>
      <c r="I1955" s="4"/>
    </row>
    <row r="1956" customFormat="false" ht="15" hidden="false" customHeight="false" outlineLevel="0" collapsed="false">
      <c r="A1956" s="35" t="s">
        <v>5022</v>
      </c>
      <c r="B1956" s="35" t="s">
        <v>4402</v>
      </c>
      <c r="C1956" s="35" t="s">
        <v>48</v>
      </c>
      <c r="D1956" s="35" t="s">
        <v>53</v>
      </c>
      <c r="E1956" s="35"/>
      <c r="F1956" s="35"/>
      <c r="G1956" s="35" t="s">
        <v>680</v>
      </c>
      <c r="H1956" s="35" t="s">
        <v>61</v>
      </c>
      <c r="I1956" s="4"/>
    </row>
    <row r="1957" customFormat="false" ht="15" hidden="false" customHeight="false" outlineLevel="0" collapsed="false">
      <c r="A1957" s="35" t="s">
        <v>5023</v>
      </c>
      <c r="B1957" s="35" t="s">
        <v>69</v>
      </c>
      <c r="C1957" s="35" t="s">
        <v>48</v>
      </c>
      <c r="D1957" s="35" t="s">
        <v>53</v>
      </c>
      <c r="E1957" s="35"/>
      <c r="F1957" s="35"/>
      <c r="G1957" s="35" t="s">
        <v>680</v>
      </c>
      <c r="H1957" s="35" t="s">
        <v>61</v>
      </c>
      <c r="I1957" s="4"/>
    </row>
    <row r="1958" customFormat="false" ht="15" hidden="false" customHeight="false" outlineLevel="0" collapsed="false">
      <c r="A1958" s="35" t="s">
        <v>5024</v>
      </c>
      <c r="B1958" s="35" t="s">
        <v>4410</v>
      </c>
      <c r="C1958" s="35" t="s">
        <v>48</v>
      </c>
      <c r="D1958" s="35" t="s">
        <v>53</v>
      </c>
      <c r="E1958" s="35"/>
      <c r="F1958" s="35"/>
      <c r="G1958" s="35" t="s">
        <v>680</v>
      </c>
      <c r="H1958" s="35" t="s">
        <v>61</v>
      </c>
      <c r="I1958" s="4"/>
    </row>
    <row r="1959" customFormat="false" ht="15" hidden="false" customHeight="false" outlineLevel="0" collapsed="false">
      <c r="A1959" s="35" t="s">
        <v>5025</v>
      </c>
      <c r="B1959" s="35" t="s">
        <v>5026</v>
      </c>
      <c r="C1959" s="35" t="s">
        <v>48</v>
      </c>
      <c r="D1959" s="35" t="s">
        <v>53</v>
      </c>
      <c r="E1959" s="35"/>
      <c r="F1959" s="35"/>
      <c r="G1959" s="35" t="s">
        <v>680</v>
      </c>
      <c r="H1959" s="35" t="s">
        <v>61</v>
      </c>
      <c r="I1959" s="4"/>
    </row>
    <row r="1960" customFormat="false" ht="15" hidden="false" customHeight="false" outlineLevel="0" collapsed="false">
      <c r="A1960" s="35" t="s">
        <v>5027</v>
      </c>
      <c r="B1960" s="35" t="s">
        <v>5028</v>
      </c>
      <c r="C1960" s="35" t="s">
        <v>48</v>
      </c>
      <c r="D1960" s="35" t="s">
        <v>53</v>
      </c>
      <c r="E1960" s="35"/>
      <c r="F1960" s="35"/>
      <c r="G1960" s="35" t="s">
        <v>680</v>
      </c>
      <c r="H1960" s="35" t="s">
        <v>61</v>
      </c>
      <c r="I1960" s="4"/>
    </row>
    <row r="1961" customFormat="false" ht="15" hidden="false" customHeight="false" outlineLevel="0" collapsed="false">
      <c r="A1961" s="35" t="s">
        <v>5029</v>
      </c>
      <c r="B1961" s="35" t="s">
        <v>5030</v>
      </c>
      <c r="C1961" s="35" t="s">
        <v>48</v>
      </c>
      <c r="D1961" s="35" t="s">
        <v>53</v>
      </c>
      <c r="E1961" s="35"/>
      <c r="F1961" s="35"/>
      <c r="G1961" s="35" t="s">
        <v>680</v>
      </c>
      <c r="H1961" s="35" t="s">
        <v>61</v>
      </c>
      <c r="I1961" s="4"/>
    </row>
    <row r="1962" customFormat="false" ht="15" hidden="false" customHeight="false" outlineLevel="0" collapsed="false">
      <c r="A1962" s="35" t="s">
        <v>5031</v>
      </c>
      <c r="B1962" s="35" t="s">
        <v>5032</v>
      </c>
      <c r="C1962" s="35" t="s">
        <v>48</v>
      </c>
      <c r="D1962" s="35" t="s">
        <v>53</v>
      </c>
      <c r="E1962" s="35"/>
      <c r="F1962" s="35"/>
      <c r="G1962" s="35" t="s">
        <v>680</v>
      </c>
      <c r="H1962" s="35" t="s">
        <v>61</v>
      </c>
      <c r="I1962" s="4"/>
    </row>
    <row r="1963" customFormat="false" ht="15" hidden="false" customHeight="false" outlineLevel="0" collapsed="false">
      <c r="A1963" s="35" t="s">
        <v>5033</v>
      </c>
      <c r="B1963" s="35" t="s">
        <v>5034</v>
      </c>
      <c r="C1963" s="35" t="s">
        <v>48</v>
      </c>
      <c r="D1963" s="35" t="s">
        <v>53</v>
      </c>
      <c r="E1963" s="35"/>
      <c r="F1963" s="35"/>
      <c r="G1963" s="35" t="s">
        <v>680</v>
      </c>
      <c r="H1963" s="35" t="s">
        <v>61</v>
      </c>
      <c r="I1963" s="4"/>
    </row>
    <row r="1964" customFormat="false" ht="15" hidden="false" customHeight="false" outlineLevel="0" collapsed="false">
      <c r="A1964" s="35" t="s">
        <v>5035</v>
      </c>
      <c r="B1964" s="35" t="s">
        <v>5036</v>
      </c>
      <c r="C1964" s="35" t="s">
        <v>48</v>
      </c>
      <c r="D1964" s="35" t="s">
        <v>53</v>
      </c>
      <c r="E1964" s="35"/>
      <c r="F1964" s="35"/>
      <c r="G1964" s="35" t="s">
        <v>680</v>
      </c>
      <c r="H1964" s="35" t="s">
        <v>61</v>
      </c>
      <c r="I1964" s="4"/>
    </row>
    <row r="1965" customFormat="false" ht="15" hidden="false" customHeight="false" outlineLevel="0" collapsed="false">
      <c r="A1965" s="35" t="s">
        <v>5037</v>
      </c>
      <c r="B1965" s="35" t="s">
        <v>5038</v>
      </c>
      <c r="C1965" s="35" t="s">
        <v>48</v>
      </c>
      <c r="D1965" s="35" t="s">
        <v>146</v>
      </c>
      <c r="E1965" s="35"/>
      <c r="F1965" s="35"/>
      <c r="G1965" s="35" t="s">
        <v>680</v>
      </c>
      <c r="H1965" s="35" t="s">
        <v>61</v>
      </c>
      <c r="I1965" s="4"/>
    </row>
    <row r="1966" customFormat="false" ht="15" hidden="false" customHeight="false" outlineLevel="0" collapsed="false">
      <c r="A1966" s="35" t="s">
        <v>5039</v>
      </c>
      <c r="B1966" s="35" t="s">
        <v>5040</v>
      </c>
      <c r="C1966" s="35" t="s">
        <v>48</v>
      </c>
      <c r="D1966" s="35" t="s">
        <v>146</v>
      </c>
      <c r="E1966" s="35"/>
      <c r="F1966" s="35"/>
      <c r="G1966" s="35" t="s">
        <v>680</v>
      </c>
      <c r="H1966" s="35" t="s">
        <v>61</v>
      </c>
      <c r="I1966" s="4"/>
    </row>
    <row r="1967" customFormat="false" ht="15" hidden="false" customHeight="false" outlineLevel="0" collapsed="false">
      <c r="A1967" s="35" t="s">
        <v>5041</v>
      </c>
      <c r="B1967" s="35" t="s">
        <v>5042</v>
      </c>
      <c r="C1967" s="35" t="s">
        <v>48</v>
      </c>
      <c r="D1967" s="35" t="s">
        <v>447</v>
      </c>
      <c r="E1967" s="35"/>
      <c r="F1967" s="35"/>
      <c r="G1967" s="35" t="s">
        <v>680</v>
      </c>
      <c r="H1967" s="35" t="s">
        <v>61</v>
      </c>
      <c r="I1967" s="4"/>
    </row>
    <row r="1968" customFormat="false" ht="15" hidden="false" customHeight="false" outlineLevel="0" collapsed="false">
      <c r="A1968" s="35" t="s">
        <v>5043</v>
      </c>
      <c r="B1968" s="35" t="s">
        <v>5044</v>
      </c>
      <c r="C1968" s="35" t="s">
        <v>48</v>
      </c>
      <c r="D1968" s="35" t="s">
        <v>447</v>
      </c>
      <c r="E1968" s="35"/>
      <c r="F1968" s="35"/>
      <c r="G1968" s="35" t="s">
        <v>680</v>
      </c>
      <c r="H1968" s="35" t="s">
        <v>61</v>
      </c>
      <c r="I1968" s="4"/>
    </row>
    <row r="1969" customFormat="false" ht="15" hidden="false" customHeight="false" outlineLevel="0" collapsed="false">
      <c r="A1969" s="35" t="s">
        <v>5045</v>
      </c>
      <c r="B1969" s="35" t="s">
        <v>5046</v>
      </c>
      <c r="C1969" s="35" t="s">
        <v>48</v>
      </c>
      <c r="D1969" s="35" t="s">
        <v>447</v>
      </c>
      <c r="E1969" s="35"/>
      <c r="F1969" s="35"/>
      <c r="G1969" s="35" t="s">
        <v>680</v>
      </c>
      <c r="H1969" s="35" t="s">
        <v>61</v>
      </c>
      <c r="I1969" s="4"/>
    </row>
    <row r="1970" customFormat="false" ht="15" hidden="false" customHeight="false" outlineLevel="0" collapsed="false">
      <c r="A1970" s="35" t="s">
        <v>5047</v>
      </c>
      <c r="B1970" s="35" t="s">
        <v>5048</v>
      </c>
      <c r="C1970" s="35" t="s">
        <v>48</v>
      </c>
      <c r="D1970" s="35" t="s">
        <v>447</v>
      </c>
      <c r="E1970" s="35"/>
      <c r="F1970" s="35"/>
      <c r="G1970" s="35" t="s">
        <v>680</v>
      </c>
      <c r="H1970" s="35" t="s">
        <v>61</v>
      </c>
      <c r="I1970" s="4"/>
    </row>
    <row r="1971" customFormat="false" ht="15" hidden="false" customHeight="false" outlineLevel="0" collapsed="false">
      <c r="A1971" s="35" t="s">
        <v>5049</v>
      </c>
      <c r="B1971" s="35" t="s">
        <v>5050</v>
      </c>
      <c r="C1971" s="35" t="s">
        <v>48</v>
      </c>
      <c r="D1971" s="35" t="s">
        <v>53</v>
      </c>
      <c r="E1971" s="35"/>
      <c r="F1971" s="35"/>
      <c r="G1971" s="35" t="s">
        <v>680</v>
      </c>
      <c r="H1971" s="35" t="s">
        <v>61</v>
      </c>
      <c r="I1971" s="4"/>
    </row>
    <row r="1972" customFormat="false" ht="15" hidden="false" customHeight="false" outlineLevel="0" collapsed="false">
      <c r="A1972" s="35" t="s">
        <v>5051</v>
      </c>
      <c r="B1972" s="35" t="s">
        <v>5052</v>
      </c>
      <c r="C1972" s="35" t="s">
        <v>48</v>
      </c>
      <c r="D1972" s="35" t="s">
        <v>53</v>
      </c>
      <c r="E1972" s="35"/>
      <c r="F1972" s="35"/>
      <c r="G1972" s="35" t="s">
        <v>680</v>
      </c>
      <c r="H1972" s="35" t="s">
        <v>61</v>
      </c>
      <c r="I1972" s="4"/>
    </row>
    <row r="1973" customFormat="false" ht="15" hidden="false" customHeight="false" outlineLevel="0" collapsed="false">
      <c r="A1973" s="35" t="s">
        <v>5053</v>
      </c>
      <c r="B1973" s="35" t="s">
        <v>5054</v>
      </c>
      <c r="C1973" s="35" t="s">
        <v>48</v>
      </c>
      <c r="D1973" s="35" t="s">
        <v>53</v>
      </c>
      <c r="E1973" s="35"/>
      <c r="F1973" s="35"/>
      <c r="G1973" s="35" t="s">
        <v>680</v>
      </c>
      <c r="H1973" s="35" t="s">
        <v>61</v>
      </c>
      <c r="I1973" s="4"/>
    </row>
    <row r="1974" customFormat="false" ht="15" hidden="false" customHeight="false" outlineLevel="0" collapsed="false">
      <c r="A1974" s="35" t="s">
        <v>5055</v>
      </c>
      <c r="B1974" s="35" t="s">
        <v>5056</v>
      </c>
      <c r="C1974" s="35" t="s">
        <v>48</v>
      </c>
      <c r="D1974" s="35" t="s">
        <v>53</v>
      </c>
      <c r="E1974" s="35"/>
      <c r="F1974" s="35"/>
      <c r="G1974" s="35" t="s">
        <v>680</v>
      </c>
      <c r="H1974" s="35" t="s">
        <v>61</v>
      </c>
      <c r="I1974" s="4"/>
    </row>
    <row r="1975" customFormat="false" ht="15" hidden="false" customHeight="false" outlineLevel="0" collapsed="false">
      <c r="A1975" s="35" t="s">
        <v>5057</v>
      </c>
      <c r="B1975" s="35" t="s">
        <v>5058</v>
      </c>
      <c r="C1975" s="35" t="s">
        <v>48</v>
      </c>
      <c r="D1975" s="35" t="s">
        <v>146</v>
      </c>
      <c r="E1975" s="35"/>
      <c r="F1975" s="35"/>
      <c r="G1975" s="35" t="s">
        <v>49</v>
      </c>
      <c r="H1975" s="35" t="s">
        <v>49</v>
      </c>
      <c r="I1975" s="4"/>
    </row>
    <row r="1976" customFormat="false" ht="15" hidden="false" customHeight="false" outlineLevel="0" collapsed="false">
      <c r="A1976" s="35" t="s">
        <v>5059</v>
      </c>
      <c r="B1976" s="35" t="s">
        <v>5060</v>
      </c>
      <c r="C1976" s="35" t="s">
        <v>48</v>
      </c>
      <c r="D1976" s="35" t="s">
        <v>146</v>
      </c>
      <c r="E1976" s="35"/>
      <c r="F1976" s="35"/>
      <c r="G1976" s="35" t="s">
        <v>119</v>
      </c>
      <c r="H1976" s="35" t="s">
        <v>61</v>
      </c>
      <c r="I1976" s="4"/>
    </row>
    <row r="1977" customFormat="false" ht="15" hidden="false" customHeight="false" outlineLevel="0" collapsed="false">
      <c r="A1977" s="35" t="s">
        <v>5061</v>
      </c>
      <c r="B1977" s="35" t="s">
        <v>5062</v>
      </c>
      <c r="C1977" s="35" t="s">
        <v>48</v>
      </c>
      <c r="D1977" s="35" t="s">
        <v>114</v>
      </c>
      <c r="E1977" s="35"/>
      <c r="F1977" s="35"/>
      <c r="G1977" s="35" t="s">
        <v>49</v>
      </c>
      <c r="H1977" s="35" t="s">
        <v>49</v>
      </c>
      <c r="I1977" s="4"/>
    </row>
    <row r="1978" customFormat="false" ht="15" hidden="false" customHeight="false" outlineLevel="0" collapsed="false">
      <c r="A1978" s="35" t="s">
        <v>5063</v>
      </c>
      <c r="B1978" s="35" t="s">
        <v>5064</v>
      </c>
      <c r="C1978" s="35" t="s">
        <v>48</v>
      </c>
      <c r="D1978" s="35" t="s">
        <v>107</v>
      </c>
      <c r="E1978" s="35" t="s">
        <v>837</v>
      </c>
      <c r="F1978" s="35"/>
      <c r="G1978" s="35" t="s">
        <v>444</v>
      </c>
      <c r="H1978" s="35" t="s">
        <v>61</v>
      </c>
      <c r="I1978" s="4"/>
    </row>
    <row r="1979" customFormat="false" ht="15" hidden="false" customHeight="false" outlineLevel="0" collapsed="false">
      <c r="A1979" s="35" t="s">
        <v>5065</v>
      </c>
      <c r="B1979" s="35" t="s">
        <v>5066</v>
      </c>
      <c r="C1979" s="35" t="s">
        <v>48</v>
      </c>
      <c r="D1979" s="35" t="s">
        <v>57</v>
      </c>
      <c r="E1979" s="35" t="s">
        <v>853</v>
      </c>
      <c r="F1979" s="35" t="s">
        <v>5067</v>
      </c>
      <c r="G1979" s="35" t="s">
        <v>421</v>
      </c>
      <c r="H1979" s="35" t="s">
        <v>61</v>
      </c>
      <c r="I1979" s="4"/>
    </row>
    <row r="1980" customFormat="false" ht="15" hidden="false" customHeight="false" outlineLevel="0" collapsed="false">
      <c r="A1980" s="35" t="s">
        <v>1299</v>
      </c>
      <c r="B1980" s="35" t="s">
        <v>5068</v>
      </c>
      <c r="C1980" s="35" t="s">
        <v>48</v>
      </c>
      <c r="D1980" s="35" t="s">
        <v>107</v>
      </c>
      <c r="E1980" s="35" t="s">
        <v>1298</v>
      </c>
      <c r="F1980" s="35" t="s">
        <v>4146</v>
      </c>
      <c r="G1980" s="35" t="s">
        <v>421</v>
      </c>
      <c r="H1980" s="35" t="s">
        <v>61</v>
      </c>
      <c r="I1980" s="4"/>
    </row>
    <row r="1981" customFormat="false" ht="15" hidden="false" customHeight="false" outlineLevel="0" collapsed="false">
      <c r="A1981" s="35" t="s">
        <v>5069</v>
      </c>
      <c r="B1981" s="35" t="s">
        <v>5070</v>
      </c>
      <c r="C1981" s="35" t="s">
        <v>48</v>
      </c>
      <c r="D1981" s="35" t="s">
        <v>53</v>
      </c>
      <c r="E1981" s="35"/>
      <c r="F1981" s="35"/>
      <c r="G1981" s="35" t="s">
        <v>421</v>
      </c>
      <c r="H1981" s="35" t="s">
        <v>61</v>
      </c>
      <c r="I1981" s="4"/>
    </row>
    <row r="1982" customFormat="false" ht="15" hidden="false" customHeight="false" outlineLevel="0" collapsed="false">
      <c r="A1982" s="35" t="s">
        <v>5071</v>
      </c>
      <c r="B1982" s="35" t="s">
        <v>5072</v>
      </c>
      <c r="C1982" s="35" t="s">
        <v>48</v>
      </c>
      <c r="D1982" s="35" t="s">
        <v>53</v>
      </c>
      <c r="E1982" s="35"/>
      <c r="F1982" s="35"/>
      <c r="G1982" s="35" t="s">
        <v>421</v>
      </c>
      <c r="H1982" s="35" t="s">
        <v>61</v>
      </c>
      <c r="I1982" s="4"/>
    </row>
    <row r="1983" customFormat="false" ht="15" hidden="false" customHeight="false" outlineLevel="0" collapsed="false">
      <c r="A1983" s="35" t="s">
        <v>5073</v>
      </c>
      <c r="B1983" s="35" t="s">
        <v>5074</v>
      </c>
      <c r="C1983" s="35" t="s">
        <v>48</v>
      </c>
      <c r="D1983" s="35" t="s">
        <v>114</v>
      </c>
      <c r="E1983" s="35"/>
      <c r="F1983" s="35"/>
      <c r="G1983" s="35" t="s">
        <v>49</v>
      </c>
      <c r="H1983" s="35" t="s">
        <v>49</v>
      </c>
      <c r="I1983" s="4"/>
    </row>
    <row r="1984" customFormat="false" ht="15" hidden="false" customHeight="false" outlineLevel="0" collapsed="false">
      <c r="A1984" s="35" t="s">
        <v>5075</v>
      </c>
      <c r="B1984" s="35" t="s">
        <v>5076</v>
      </c>
      <c r="C1984" s="35" t="s">
        <v>48</v>
      </c>
      <c r="D1984" s="35" t="s">
        <v>157</v>
      </c>
      <c r="E1984" s="35"/>
      <c r="F1984" s="35"/>
      <c r="G1984" s="35" t="s">
        <v>49</v>
      </c>
      <c r="H1984" s="35" t="s">
        <v>49</v>
      </c>
      <c r="I1984" s="4"/>
    </row>
    <row r="1985" customFormat="false" ht="15" hidden="false" customHeight="false" outlineLevel="0" collapsed="false">
      <c r="A1985" s="35" t="s">
        <v>1629</v>
      </c>
      <c r="B1985" s="35" t="s">
        <v>5077</v>
      </c>
      <c r="C1985" s="35" t="s">
        <v>48</v>
      </c>
      <c r="D1985" s="35" t="s">
        <v>107</v>
      </c>
      <c r="E1985" s="35" t="s">
        <v>1628</v>
      </c>
      <c r="F1985" s="35"/>
      <c r="G1985" s="35" t="s">
        <v>433</v>
      </c>
      <c r="H1985" s="35" t="s">
        <v>61</v>
      </c>
      <c r="I1985" s="4"/>
    </row>
    <row r="1986" customFormat="false" ht="15" hidden="false" customHeight="false" outlineLevel="0" collapsed="false">
      <c r="A1986" s="35" t="s">
        <v>5078</v>
      </c>
      <c r="B1986" s="35" t="s">
        <v>5079</v>
      </c>
      <c r="C1986" s="35" t="s">
        <v>48</v>
      </c>
      <c r="D1986" s="35" t="s">
        <v>107</v>
      </c>
      <c r="E1986" s="35" t="s">
        <v>850</v>
      </c>
      <c r="F1986" s="35"/>
      <c r="G1986" s="35" t="s">
        <v>433</v>
      </c>
      <c r="H1986" s="35" t="s">
        <v>245</v>
      </c>
      <c r="I1986" s="4"/>
    </row>
    <row r="1987" customFormat="false" ht="15" hidden="false" customHeight="false" outlineLevel="0" collapsed="false">
      <c r="A1987" s="35" t="s">
        <v>1491</v>
      </c>
      <c r="B1987" s="35" t="s">
        <v>5080</v>
      </c>
      <c r="C1987" s="35" t="s">
        <v>48</v>
      </c>
      <c r="D1987" s="35" t="s">
        <v>107</v>
      </c>
      <c r="E1987" s="35" t="s">
        <v>1490</v>
      </c>
      <c r="F1987" s="35"/>
      <c r="G1987" s="35" t="s">
        <v>524</v>
      </c>
      <c r="H1987" s="35" t="s">
        <v>61</v>
      </c>
      <c r="I1987" s="4"/>
    </row>
    <row r="1988" customFormat="false" ht="15" hidden="false" customHeight="false" outlineLevel="0" collapsed="false">
      <c r="A1988" s="35" t="s">
        <v>5081</v>
      </c>
      <c r="B1988" s="35" t="s">
        <v>5082</v>
      </c>
      <c r="C1988" s="35" t="s">
        <v>48</v>
      </c>
      <c r="D1988" s="35" t="s">
        <v>57</v>
      </c>
      <c r="E1988" s="35" t="s">
        <v>454</v>
      </c>
      <c r="F1988" s="35"/>
      <c r="G1988" s="35" t="s">
        <v>524</v>
      </c>
      <c r="H1988" s="35" t="s">
        <v>61</v>
      </c>
      <c r="I1988" s="4"/>
    </row>
    <row r="1989" customFormat="false" ht="15" hidden="false" customHeight="false" outlineLevel="0" collapsed="false">
      <c r="A1989" s="35" t="s">
        <v>326</v>
      </c>
      <c r="B1989" s="35" t="s">
        <v>327</v>
      </c>
      <c r="C1989" s="35" t="s">
        <v>48</v>
      </c>
      <c r="D1989" s="35" t="s">
        <v>57</v>
      </c>
      <c r="E1989" s="35" t="s">
        <v>326</v>
      </c>
      <c r="F1989" s="35"/>
      <c r="G1989" s="35" t="s">
        <v>328</v>
      </c>
      <c r="H1989" s="35" t="s">
        <v>50</v>
      </c>
      <c r="I1989" s="4" t="s">
        <v>2025</v>
      </c>
    </row>
    <row r="1990" customFormat="false" ht="15" hidden="false" customHeight="false" outlineLevel="0" collapsed="false">
      <c r="A1990" s="35" t="s">
        <v>5083</v>
      </c>
      <c r="B1990" s="35" t="s">
        <v>5084</v>
      </c>
      <c r="C1990" s="35" t="s">
        <v>48</v>
      </c>
      <c r="D1990" s="35" t="s">
        <v>57</v>
      </c>
      <c r="E1990" s="35" t="s">
        <v>326</v>
      </c>
      <c r="F1990" s="35"/>
      <c r="G1990" s="35" t="s">
        <v>524</v>
      </c>
      <c r="H1990" s="35" t="s">
        <v>5085</v>
      </c>
      <c r="I1990" s="4"/>
    </row>
    <row r="1991" customFormat="false" ht="15" hidden="false" customHeight="false" outlineLevel="0" collapsed="false">
      <c r="A1991" s="35" t="s">
        <v>5086</v>
      </c>
      <c r="B1991" s="35" t="s">
        <v>5087</v>
      </c>
      <c r="C1991" s="35" t="s">
        <v>48</v>
      </c>
      <c r="D1991" s="35" t="s">
        <v>107</v>
      </c>
      <c r="E1991" s="35" t="s">
        <v>320</v>
      </c>
      <c r="F1991" s="35"/>
      <c r="G1991" s="35" t="s">
        <v>328</v>
      </c>
      <c r="H1991" s="35" t="s">
        <v>61</v>
      </c>
      <c r="I1991" s="4"/>
    </row>
    <row r="1992" customFormat="false" ht="15" hidden="false" customHeight="false" outlineLevel="0" collapsed="false">
      <c r="A1992" s="35" t="s">
        <v>5088</v>
      </c>
      <c r="B1992" s="35" t="s">
        <v>5089</v>
      </c>
      <c r="C1992" s="35" t="s">
        <v>48</v>
      </c>
      <c r="D1992" s="35" t="s">
        <v>107</v>
      </c>
      <c r="E1992" s="35" t="s">
        <v>320</v>
      </c>
      <c r="F1992" s="35"/>
      <c r="G1992" s="35" t="s">
        <v>49</v>
      </c>
      <c r="H1992" s="35" t="s">
        <v>49</v>
      </c>
      <c r="I1992" s="4"/>
    </row>
    <row r="1993" customFormat="false" ht="15" hidden="false" customHeight="false" outlineLevel="0" collapsed="false">
      <c r="A1993" s="35" t="s">
        <v>5090</v>
      </c>
      <c r="B1993" s="35" t="s">
        <v>5091</v>
      </c>
      <c r="C1993" s="35" t="s">
        <v>48</v>
      </c>
      <c r="D1993" s="35" t="s">
        <v>107</v>
      </c>
      <c r="E1993" s="35" t="s">
        <v>320</v>
      </c>
      <c r="F1993" s="35"/>
      <c r="G1993" s="35" t="s">
        <v>49</v>
      </c>
      <c r="H1993" s="35" t="s">
        <v>49</v>
      </c>
      <c r="I1993" s="4"/>
    </row>
    <row r="1994" customFormat="false" ht="15" hidden="false" customHeight="false" outlineLevel="0" collapsed="false">
      <c r="A1994" s="35" t="s">
        <v>5092</v>
      </c>
      <c r="B1994" s="35" t="s">
        <v>5093</v>
      </c>
      <c r="C1994" s="35" t="s">
        <v>48</v>
      </c>
      <c r="D1994" s="35" t="s">
        <v>146</v>
      </c>
      <c r="E1994" s="35"/>
      <c r="F1994" s="35"/>
      <c r="G1994" s="35" t="s">
        <v>444</v>
      </c>
      <c r="H1994" s="35" t="s">
        <v>61</v>
      </c>
      <c r="I1994" s="4"/>
    </row>
    <row r="1995" customFormat="false" ht="15" hidden="false" customHeight="false" outlineLevel="0" collapsed="false">
      <c r="A1995" s="35" t="s">
        <v>473</v>
      </c>
      <c r="B1995" s="35" t="s">
        <v>474</v>
      </c>
      <c r="C1995" s="35" t="s">
        <v>48</v>
      </c>
      <c r="D1995" s="35" t="s">
        <v>146</v>
      </c>
      <c r="E1995" s="35"/>
      <c r="F1995" s="35"/>
      <c r="G1995" s="35" t="s">
        <v>444</v>
      </c>
      <c r="H1995" s="35" t="s">
        <v>61</v>
      </c>
      <c r="I1995" s="4" t="s">
        <v>2025</v>
      </c>
    </row>
    <row r="1996" customFormat="false" ht="15" hidden="false" customHeight="false" outlineLevel="0" collapsed="false">
      <c r="A1996" s="35" t="s">
        <v>1632</v>
      </c>
      <c r="B1996" s="35" t="s">
        <v>5094</v>
      </c>
      <c r="C1996" s="35" t="s">
        <v>48</v>
      </c>
      <c r="D1996" s="35" t="s">
        <v>57</v>
      </c>
      <c r="E1996" s="35" t="s">
        <v>1632</v>
      </c>
      <c r="F1996" s="35"/>
      <c r="G1996" s="35" t="s">
        <v>444</v>
      </c>
      <c r="H1996" s="35" t="s">
        <v>61</v>
      </c>
      <c r="I1996" s="4"/>
    </row>
    <row r="1997" customFormat="false" ht="15" hidden="false" customHeight="false" outlineLevel="0" collapsed="false">
      <c r="A1997" s="35" t="s">
        <v>139</v>
      </c>
      <c r="B1997" s="35" t="s">
        <v>140</v>
      </c>
      <c r="C1997" s="35" t="s">
        <v>48</v>
      </c>
      <c r="D1997" s="35" t="s">
        <v>57</v>
      </c>
      <c r="E1997" s="35" t="s">
        <v>139</v>
      </c>
      <c r="F1997" s="35"/>
      <c r="G1997" s="35" t="s">
        <v>49</v>
      </c>
      <c r="H1997" s="35" t="s">
        <v>50</v>
      </c>
      <c r="I1997" s="4" t="s">
        <v>2025</v>
      </c>
    </row>
    <row r="1998" customFormat="false" ht="15" hidden="false" customHeight="false" outlineLevel="0" collapsed="false">
      <c r="A1998" s="35" t="s">
        <v>5095</v>
      </c>
      <c r="B1998" s="35" t="s">
        <v>5096</v>
      </c>
      <c r="C1998" s="35" t="s">
        <v>48</v>
      </c>
      <c r="D1998" s="35" t="s">
        <v>107</v>
      </c>
      <c r="E1998" s="35" t="s">
        <v>139</v>
      </c>
      <c r="F1998" s="35"/>
      <c r="G1998" s="35" t="s">
        <v>49</v>
      </c>
      <c r="H1998" s="35" t="s">
        <v>49</v>
      </c>
      <c r="I1998" s="4"/>
    </row>
    <row r="1999" customFormat="false" ht="15" hidden="false" customHeight="false" outlineLevel="0" collapsed="false">
      <c r="A1999" s="35" t="s">
        <v>522</v>
      </c>
      <c r="B1999" s="35" t="s">
        <v>523</v>
      </c>
      <c r="C1999" s="35" t="s">
        <v>48</v>
      </c>
      <c r="D1999" s="35" t="s">
        <v>157</v>
      </c>
      <c r="E1999" s="35"/>
      <c r="F1999" s="35"/>
      <c r="G1999" s="35" t="s">
        <v>524</v>
      </c>
      <c r="H1999" s="35" t="s">
        <v>61</v>
      </c>
      <c r="I1999" s="4" t="s">
        <v>2025</v>
      </c>
    </row>
    <row r="2000" customFormat="false" ht="15" hidden="false" customHeight="false" outlineLevel="0" collapsed="false">
      <c r="A2000" s="35" t="s">
        <v>5097</v>
      </c>
      <c r="B2000" s="35" t="s">
        <v>5098</v>
      </c>
      <c r="C2000" s="35" t="s">
        <v>48</v>
      </c>
      <c r="D2000" s="35" t="s">
        <v>157</v>
      </c>
      <c r="E2000" s="35"/>
      <c r="F2000" s="35"/>
      <c r="G2000" s="35" t="s">
        <v>328</v>
      </c>
      <c r="H2000" s="35" t="s">
        <v>61</v>
      </c>
      <c r="I2000" s="4"/>
    </row>
    <row r="2001" customFormat="false" ht="15" hidden="false" customHeight="false" outlineLevel="0" collapsed="false">
      <c r="A2001" s="35" t="s">
        <v>5099</v>
      </c>
      <c r="B2001" s="35" t="s">
        <v>5100</v>
      </c>
      <c r="C2001" s="35" t="s">
        <v>48</v>
      </c>
      <c r="D2001" s="35" t="s">
        <v>157</v>
      </c>
      <c r="E2001" s="35"/>
      <c r="F2001" s="35"/>
      <c r="G2001" s="35" t="s">
        <v>328</v>
      </c>
      <c r="H2001" s="35" t="s">
        <v>61</v>
      </c>
      <c r="I2001" s="4"/>
    </row>
    <row r="2002" customFormat="false" ht="15" hidden="false" customHeight="false" outlineLevel="0" collapsed="false">
      <c r="A2002" s="35" t="s">
        <v>5101</v>
      </c>
      <c r="B2002" s="35" t="s">
        <v>5102</v>
      </c>
      <c r="C2002" s="35" t="s">
        <v>48</v>
      </c>
      <c r="D2002" s="35" t="s">
        <v>157</v>
      </c>
      <c r="E2002" s="35"/>
      <c r="F2002" s="35"/>
      <c r="G2002" s="35" t="s">
        <v>524</v>
      </c>
      <c r="H2002" s="35" t="s">
        <v>61</v>
      </c>
      <c r="I2002" s="4"/>
    </row>
    <row r="2003" customFormat="false" ht="15" hidden="false" customHeight="false" outlineLevel="0" collapsed="false">
      <c r="A2003" s="35" t="s">
        <v>5103</v>
      </c>
      <c r="B2003" s="35" t="s">
        <v>5104</v>
      </c>
      <c r="C2003" s="35" t="s">
        <v>48</v>
      </c>
      <c r="D2003" s="35" t="s">
        <v>107</v>
      </c>
      <c r="E2003" s="35" t="s">
        <v>1178</v>
      </c>
      <c r="F2003" s="35"/>
      <c r="G2003" s="35" t="s">
        <v>702</v>
      </c>
      <c r="H2003" s="35" t="s">
        <v>61</v>
      </c>
      <c r="I2003" s="4"/>
    </row>
    <row r="2004" customFormat="false" ht="15" hidden="false" customHeight="false" outlineLevel="0" collapsed="false">
      <c r="A2004" s="35" t="s">
        <v>5105</v>
      </c>
      <c r="B2004" s="35" t="s">
        <v>5106</v>
      </c>
      <c r="C2004" s="35" t="s">
        <v>48</v>
      </c>
      <c r="D2004" s="35" t="s">
        <v>107</v>
      </c>
      <c r="E2004" s="35" t="s">
        <v>1178</v>
      </c>
      <c r="F2004" s="35"/>
      <c r="G2004" s="35" t="s">
        <v>702</v>
      </c>
      <c r="H2004" s="35" t="s">
        <v>61</v>
      </c>
      <c r="I2004" s="4"/>
    </row>
    <row r="2005" customFormat="false" ht="15" hidden="false" customHeight="false" outlineLevel="0" collapsed="false">
      <c r="A2005" s="35" t="s">
        <v>5107</v>
      </c>
      <c r="B2005" s="35" t="s">
        <v>5108</v>
      </c>
      <c r="C2005" s="35" t="s">
        <v>48</v>
      </c>
      <c r="D2005" s="35" t="s">
        <v>57</v>
      </c>
      <c r="E2005" s="35" t="s">
        <v>351</v>
      </c>
      <c r="F2005" s="35"/>
      <c r="G2005" s="35" t="s">
        <v>337</v>
      </c>
      <c r="H2005" s="35" t="s">
        <v>61</v>
      </c>
      <c r="I2005" s="4"/>
    </row>
    <row r="2006" customFormat="false" ht="15" hidden="false" customHeight="false" outlineLevel="0" collapsed="false">
      <c r="A2006" s="35" t="s">
        <v>1319</v>
      </c>
      <c r="B2006" s="35" t="s">
        <v>5109</v>
      </c>
      <c r="C2006" s="35" t="s">
        <v>48</v>
      </c>
      <c r="D2006" s="35" t="s">
        <v>107</v>
      </c>
      <c r="E2006" s="35" t="s">
        <v>1318</v>
      </c>
      <c r="F2006" s="35"/>
      <c r="G2006" s="35" t="s">
        <v>740</v>
      </c>
      <c r="H2006" s="35" t="s">
        <v>61</v>
      </c>
      <c r="I2006" s="4"/>
    </row>
    <row r="2007" customFormat="false" ht="15" hidden="false" customHeight="false" outlineLevel="0" collapsed="false">
      <c r="A2007" s="35" t="s">
        <v>5110</v>
      </c>
      <c r="B2007" s="35" t="s">
        <v>5111</v>
      </c>
      <c r="C2007" s="35" t="s">
        <v>48</v>
      </c>
      <c r="D2007" s="35" t="s">
        <v>53</v>
      </c>
      <c r="E2007" s="35"/>
      <c r="F2007" s="35"/>
      <c r="G2007" s="35" t="s">
        <v>337</v>
      </c>
      <c r="H2007" s="35" t="s">
        <v>61</v>
      </c>
      <c r="I2007" s="4"/>
    </row>
    <row r="2008" customFormat="false" ht="15" hidden="false" customHeight="false" outlineLevel="0" collapsed="false">
      <c r="A2008" s="35" t="s">
        <v>5112</v>
      </c>
      <c r="B2008" s="35" t="s">
        <v>5113</v>
      </c>
      <c r="C2008" s="35" t="s">
        <v>48</v>
      </c>
      <c r="D2008" s="35" t="s">
        <v>53</v>
      </c>
      <c r="E2008" s="35"/>
      <c r="F2008" s="35"/>
      <c r="G2008" s="35" t="s">
        <v>328</v>
      </c>
      <c r="H2008" s="35" t="s">
        <v>61</v>
      </c>
      <c r="I2008" s="4"/>
    </row>
    <row r="2009" customFormat="false" ht="15" hidden="false" customHeight="false" outlineLevel="0" collapsed="false">
      <c r="A2009" s="35" t="s">
        <v>5114</v>
      </c>
      <c r="B2009" s="35" t="s">
        <v>5115</v>
      </c>
      <c r="C2009" s="35" t="s">
        <v>48</v>
      </c>
      <c r="D2009" s="35" t="s">
        <v>57</v>
      </c>
      <c r="E2009" s="35" t="s">
        <v>320</v>
      </c>
      <c r="F2009" s="35"/>
      <c r="G2009" s="35" t="s">
        <v>702</v>
      </c>
      <c r="H2009" s="35" t="s">
        <v>61</v>
      </c>
      <c r="I2009" s="4"/>
    </row>
    <row r="2010" customFormat="false" ht="15" hidden="false" customHeight="false" outlineLevel="0" collapsed="false">
      <c r="A2010" s="35" t="s">
        <v>5116</v>
      </c>
      <c r="B2010" s="35" t="s">
        <v>5117</v>
      </c>
      <c r="C2010" s="35" t="s">
        <v>48</v>
      </c>
      <c r="D2010" s="35" t="s">
        <v>57</v>
      </c>
      <c r="E2010" s="35" t="s">
        <v>447</v>
      </c>
      <c r="F2010" s="35"/>
      <c r="G2010" s="35" t="s">
        <v>702</v>
      </c>
      <c r="H2010" s="35" t="s">
        <v>61</v>
      </c>
      <c r="I2010" s="4"/>
    </row>
    <row r="2011" customFormat="false" ht="15" hidden="false" customHeight="false" outlineLevel="0" collapsed="false">
      <c r="A2011" s="35" t="s">
        <v>1639</v>
      </c>
      <c r="B2011" s="35" t="s">
        <v>5118</v>
      </c>
      <c r="C2011" s="35" t="s">
        <v>48</v>
      </c>
      <c r="D2011" s="35" t="s">
        <v>57</v>
      </c>
      <c r="E2011" s="35" t="s">
        <v>1639</v>
      </c>
      <c r="F2011" s="35"/>
      <c r="G2011" s="35" t="s">
        <v>702</v>
      </c>
      <c r="H2011" s="35" t="s">
        <v>61</v>
      </c>
      <c r="I2011" s="4"/>
    </row>
    <row r="2012" customFormat="false" ht="15" hidden="false" customHeight="false" outlineLevel="0" collapsed="false">
      <c r="A2012" s="35" t="s">
        <v>1634</v>
      </c>
      <c r="B2012" s="35" t="s">
        <v>5119</v>
      </c>
      <c r="C2012" s="35" t="s">
        <v>48</v>
      </c>
      <c r="D2012" s="35" t="s">
        <v>107</v>
      </c>
      <c r="E2012" s="35" t="s">
        <v>1633</v>
      </c>
      <c r="F2012" s="35"/>
      <c r="G2012" s="35" t="s">
        <v>702</v>
      </c>
      <c r="H2012" s="35" t="s">
        <v>61</v>
      </c>
      <c r="I2012" s="4"/>
    </row>
    <row r="2013" customFormat="false" ht="15" hidden="false" customHeight="false" outlineLevel="0" collapsed="false">
      <c r="A2013" s="35" t="s">
        <v>5120</v>
      </c>
      <c r="B2013" s="35" t="s">
        <v>5121</v>
      </c>
      <c r="C2013" s="35" t="s">
        <v>48</v>
      </c>
      <c r="D2013" s="35" t="s">
        <v>107</v>
      </c>
      <c r="E2013" s="35" t="s">
        <v>1176</v>
      </c>
      <c r="F2013" s="35"/>
      <c r="G2013" s="35" t="s">
        <v>702</v>
      </c>
      <c r="H2013" s="35" t="s">
        <v>61</v>
      </c>
      <c r="I2013" s="4"/>
    </row>
    <row r="2014" customFormat="false" ht="15" hidden="false" customHeight="false" outlineLevel="0" collapsed="false">
      <c r="A2014" s="35" t="s">
        <v>5122</v>
      </c>
      <c r="B2014" s="35" t="s">
        <v>5123</v>
      </c>
      <c r="C2014" s="35" t="s">
        <v>48</v>
      </c>
      <c r="D2014" s="35" t="s">
        <v>107</v>
      </c>
      <c r="E2014" s="35" t="s">
        <v>1176</v>
      </c>
      <c r="F2014" s="35"/>
      <c r="G2014" s="35" t="s">
        <v>702</v>
      </c>
      <c r="H2014" s="35" t="s">
        <v>61</v>
      </c>
      <c r="I2014" s="4"/>
    </row>
    <row r="2015" customFormat="false" ht="15" hidden="false" customHeight="false" outlineLevel="0" collapsed="false">
      <c r="A2015" s="35" t="s">
        <v>1495</v>
      </c>
      <c r="B2015" s="35" t="s">
        <v>5124</v>
      </c>
      <c r="C2015" s="35" t="s">
        <v>48</v>
      </c>
      <c r="D2015" s="35" t="s">
        <v>57</v>
      </c>
      <c r="E2015" s="35" t="s">
        <v>1494</v>
      </c>
      <c r="F2015" s="35"/>
      <c r="G2015" s="35" t="s">
        <v>524</v>
      </c>
      <c r="H2015" s="35" t="s">
        <v>61</v>
      </c>
      <c r="I2015" s="4"/>
    </row>
    <row r="2016" customFormat="false" ht="15" hidden="false" customHeight="false" outlineLevel="0" collapsed="false">
      <c r="A2016" s="35" t="s">
        <v>5125</v>
      </c>
      <c r="B2016" s="35" t="s">
        <v>5126</v>
      </c>
      <c r="C2016" s="35" t="s">
        <v>48</v>
      </c>
      <c r="D2016" s="35" t="s">
        <v>107</v>
      </c>
      <c r="E2016" s="35" t="s">
        <v>822</v>
      </c>
      <c r="F2016" s="35"/>
      <c r="G2016" s="35" t="s">
        <v>545</v>
      </c>
      <c r="H2016" s="35" t="s">
        <v>61</v>
      </c>
      <c r="I2016" s="4"/>
    </row>
    <row r="2017" customFormat="false" ht="15" hidden="false" customHeight="false" outlineLevel="0" collapsed="false">
      <c r="A2017" s="35" t="s">
        <v>5127</v>
      </c>
      <c r="B2017" s="35" t="s">
        <v>5128</v>
      </c>
      <c r="C2017" s="35" t="s">
        <v>48</v>
      </c>
      <c r="D2017" s="35" t="s">
        <v>107</v>
      </c>
      <c r="E2017" s="35" t="s">
        <v>822</v>
      </c>
      <c r="F2017" s="35"/>
      <c r="G2017" s="35" t="s">
        <v>545</v>
      </c>
      <c r="H2017" s="35" t="s">
        <v>61</v>
      </c>
      <c r="I2017" s="4"/>
    </row>
    <row r="2018" customFormat="false" ht="15" hidden="false" customHeight="false" outlineLevel="0" collapsed="false">
      <c r="A2018" s="35" t="s">
        <v>1004</v>
      </c>
      <c r="B2018" s="35" t="s">
        <v>5129</v>
      </c>
      <c r="C2018" s="35" t="s">
        <v>48</v>
      </c>
      <c r="D2018" s="35" t="s">
        <v>53</v>
      </c>
      <c r="E2018" s="35"/>
      <c r="F2018" s="35"/>
      <c r="G2018" s="35" t="s">
        <v>680</v>
      </c>
      <c r="H2018" s="35" t="s">
        <v>61</v>
      </c>
      <c r="I2018" s="4"/>
    </row>
    <row r="2019" customFormat="false" ht="15" hidden="false" customHeight="false" outlineLevel="0" collapsed="false">
      <c r="A2019" s="35" t="s">
        <v>5130</v>
      </c>
      <c r="B2019" s="35" t="s">
        <v>5131</v>
      </c>
      <c r="C2019" s="35" t="s">
        <v>48</v>
      </c>
      <c r="D2019" s="35" t="s">
        <v>107</v>
      </c>
      <c r="E2019" s="35" t="s">
        <v>936</v>
      </c>
      <c r="F2019" s="35" t="s">
        <v>2603</v>
      </c>
      <c r="G2019" s="35" t="s">
        <v>328</v>
      </c>
      <c r="H2019" s="35" t="s">
        <v>61</v>
      </c>
      <c r="I2019" s="4"/>
    </row>
    <row r="2020" customFormat="false" ht="15" hidden="false" customHeight="false" outlineLevel="0" collapsed="false">
      <c r="A2020" s="35" t="s">
        <v>5132</v>
      </c>
      <c r="B2020" s="35" t="s">
        <v>5133</v>
      </c>
      <c r="C2020" s="35" t="s">
        <v>48</v>
      </c>
      <c r="D2020" s="35" t="s">
        <v>57</v>
      </c>
      <c r="E2020" s="35" t="s">
        <v>980</v>
      </c>
      <c r="F2020" s="35"/>
      <c r="G2020" s="35" t="s">
        <v>524</v>
      </c>
      <c r="H2020" s="35" t="s">
        <v>61</v>
      </c>
      <c r="I2020" s="4"/>
    </row>
    <row r="2021" customFormat="false" ht="15" hidden="false" customHeight="false" outlineLevel="0" collapsed="false">
      <c r="A2021" s="35" t="s">
        <v>1659</v>
      </c>
      <c r="B2021" s="35" t="s">
        <v>5134</v>
      </c>
      <c r="C2021" s="35" t="s">
        <v>48</v>
      </c>
      <c r="D2021" s="35" t="s">
        <v>107</v>
      </c>
      <c r="E2021" s="35" t="s">
        <v>1658</v>
      </c>
      <c r="F2021" s="35"/>
      <c r="G2021" s="35" t="s">
        <v>328</v>
      </c>
      <c r="H2021" s="35" t="s">
        <v>61</v>
      </c>
      <c r="I2021" s="4"/>
    </row>
    <row r="2022" customFormat="false" ht="15" hidden="false" customHeight="false" outlineLevel="0" collapsed="false">
      <c r="A2022" s="35" t="s">
        <v>1661</v>
      </c>
      <c r="B2022" s="35" t="s">
        <v>5135</v>
      </c>
      <c r="C2022" s="35" t="s">
        <v>48</v>
      </c>
      <c r="D2022" s="35" t="s">
        <v>107</v>
      </c>
      <c r="E2022" s="35" t="s">
        <v>1660</v>
      </c>
      <c r="F2022" s="35"/>
      <c r="G2022" s="35" t="s">
        <v>328</v>
      </c>
      <c r="H2022" s="35" t="s">
        <v>61</v>
      </c>
      <c r="I2022" s="4"/>
    </row>
    <row r="2023" customFormat="false" ht="15" hidden="false" customHeight="false" outlineLevel="0" collapsed="false">
      <c r="A2023" s="35" t="s">
        <v>5136</v>
      </c>
      <c r="B2023" s="35" t="s">
        <v>5137</v>
      </c>
      <c r="C2023" s="35" t="s">
        <v>48</v>
      </c>
      <c r="D2023" s="35" t="s">
        <v>107</v>
      </c>
      <c r="E2023" s="35" t="s">
        <v>822</v>
      </c>
      <c r="F2023" s="35"/>
      <c r="G2023" s="35" t="s">
        <v>328</v>
      </c>
      <c r="H2023" s="35" t="s">
        <v>61</v>
      </c>
      <c r="I2023" s="4"/>
    </row>
    <row r="2024" customFormat="false" ht="15" hidden="false" customHeight="false" outlineLevel="0" collapsed="false">
      <c r="A2024" s="35" t="s">
        <v>5138</v>
      </c>
      <c r="B2024" s="35" t="s">
        <v>5139</v>
      </c>
      <c r="C2024" s="35" t="s">
        <v>48</v>
      </c>
      <c r="D2024" s="35" t="s">
        <v>107</v>
      </c>
      <c r="E2024" s="35" t="s">
        <v>822</v>
      </c>
      <c r="F2024" s="35"/>
      <c r="G2024" s="35" t="s">
        <v>328</v>
      </c>
      <c r="H2024" s="35" t="s">
        <v>61</v>
      </c>
      <c r="I2024" s="4"/>
    </row>
    <row r="2025" customFormat="false" ht="15" hidden="false" customHeight="false" outlineLevel="0" collapsed="false">
      <c r="A2025" s="35" t="s">
        <v>5140</v>
      </c>
      <c r="B2025" s="35" t="s">
        <v>5141</v>
      </c>
      <c r="C2025" s="35" t="s">
        <v>48</v>
      </c>
      <c r="D2025" s="35" t="s">
        <v>107</v>
      </c>
      <c r="E2025" s="35" t="s">
        <v>822</v>
      </c>
      <c r="F2025" s="35" t="s">
        <v>5142</v>
      </c>
      <c r="G2025" s="35" t="s">
        <v>328</v>
      </c>
      <c r="H2025" s="35" t="s">
        <v>61</v>
      </c>
      <c r="I2025" s="4"/>
    </row>
    <row r="2026" customFormat="false" ht="15" hidden="false" customHeight="false" outlineLevel="0" collapsed="false">
      <c r="A2026" s="35" t="s">
        <v>5143</v>
      </c>
      <c r="B2026" s="35" t="s">
        <v>5144</v>
      </c>
      <c r="C2026" s="35" t="s">
        <v>48</v>
      </c>
      <c r="D2026" s="35" t="s">
        <v>107</v>
      </c>
      <c r="E2026" s="35" t="s">
        <v>822</v>
      </c>
      <c r="F2026" s="35" t="s">
        <v>5142</v>
      </c>
      <c r="G2026" s="35" t="s">
        <v>328</v>
      </c>
      <c r="H2026" s="35" t="s">
        <v>61</v>
      </c>
      <c r="I2026" s="4"/>
    </row>
    <row r="2027" customFormat="false" ht="15" hidden="false" customHeight="false" outlineLevel="0" collapsed="false">
      <c r="A2027" s="35" t="s">
        <v>5145</v>
      </c>
      <c r="B2027" s="35" t="s">
        <v>5146</v>
      </c>
      <c r="C2027" s="35" t="s">
        <v>48</v>
      </c>
      <c r="D2027" s="35" t="s">
        <v>157</v>
      </c>
      <c r="E2027" s="35"/>
      <c r="F2027" s="35" t="s">
        <v>2534</v>
      </c>
      <c r="G2027" s="35" t="s">
        <v>328</v>
      </c>
      <c r="H2027" s="35" t="s">
        <v>61</v>
      </c>
      <c r="I2027" s="4"/>
    </row>
    <row r="2028" customFormat="false" ht="15" hidden="false" customHeight="false" outlineLevel="0" collapsed="false">
      <c r="A2028" s="35" t="s">
        <v>5147</v>
      </c>
      <c r="B2028" s="35" t="s">
        <v>5148</v>
      </c>
      <c r="C2028" s="35" t="s">
        <v>48</v>
      </c>
      <c r="D2028" s="35" t="s">
        <v>107</v>
      </c>
      <c r="E2028" s="35" t="s">
        <v>845</v>
      </c>
      <c r="F2028" s="35"/>
      <c r="G2028" s="35" t="s">
        <v>328</v>
      </c>
      <c r="H2028" s="35" t="s">
        <v>61</v>
      </c>
      <c r="I2028" s="4"/>
    </row>
    <row r="2029" customFormat="false" ht="15" hidden="false" customHeight="false" outlineLevel="0" collapsed="false">
      <c r="A2029" s="35" t="s">
        <v>5149</v>
      </c>
      <c r="B2029" s="35" t="s">
        <v>5150</v>
      </c>
      <c r="C2029" s="35" t="s">
        <v>48</v>
      </c>
      <c r="D2029" s="35" t="s">
        <v>107</v>
      </c>
      <c r="E2029" s="35" t="s">
        <v>845</v>
      </c>
      <c r="F2029" s="35"/>
      <c r="G2029" s="35" t="s">
        <v>328</v>
      </c>
      <c r="H2029" s="35" t="s">
        <v>61</v>
      </c>
      <c r="I2029" s="4"/>
    </row>
    <row r="2030" customFormat="false" ht="15" hidden="false" customHeight="false" outlineLevel="0" collapsed="false">
      <c r="A2030" s="35" t="s">
        <v>5151</v>
      </c>
      <c r="B2030" s="35" t="s">
        <v>5152</v>
      </c>
      <c r="C2030" s="35" t="s">
        <v>48</v>
      </c>
      <c r="D2030" s="35" t="s">
        <v>107</v>
      </c>
      <c r="E2030" s="35" t="s">
        <v>845</v>
      </c>
      <c r="F2030" s="35"/>
      <c r="G2030" s="35" t="s">
        <v>328</v>
      </c>
      <c r="H2030" s="35" t="s">
        <v>61</v>
      </c>
      <c r="I2030" s="4"/>
    </row>
    <row r="2031" customFormat="false" ht="15" hidden="false" customHeight="false" outlineLevel="0" collapsed="false">
      <c r="A2031" s="35" t="s">
        <v>5153</v>
      </c>
      <c r="B2031" s="35" t="s">
        <v>5154</v>
      </c>
      <c r="C2031" s="35" t="s">
        <v>48</v>
      </c>
      <c r="D2031" s="35" t="s">
        <v>107</v>
      </c>
      <c r="E2031" s="35" t="s">
        <v>845</v>
      </c>
      <c r="F2031" s="35"/>
      <c r="G2031" s="35" t="s">
        <v>328</v>
      </c>
      <c r="H2031" s="35" t="s">
        <v>61</v>
      </c>
      <c r="I2031" s="4"/>
    </row>
    <row r="2032" customFormat="false" ht="15" hidden="false" customHeight="false" outlineLevel="0" collapsed="false">
      <c r="A2032" s="35" t="s">
        <v>5155</v>
      </c>
      <c r="B2032" s="35" t="s">
        <v>5156</v>
      </c>
      <c r="C2032" s="35" t="s">
        <v>48</v>
      </c>
      <c r="D2032" s="35" t="s">
        <v>107</v>
      </c>
      <c r="E2032" s="35" t="s">
        <v>822</v>
      </c>
      <c r="F2032" s="35"/>
      <c r="G2032" s="35" t="s">
        <v>545</v>
      </c>
      <c r="H2032" s="35" t="s">
        <v>61</v>
      </c>
      <c r="I2032" s="4"/>
    </row>
    <row r="2033" customFormat="false" ht="15" hidden="false" customHeight="false" outlineLevel="0" collapsed="false">
      <c r="A2033" s="35" t="s">
        <v>5157</v>
      </c>
      <c r="B2033" s="35" t="s">
        <v>5158</v>
      </c>
      <c r="C2033" s="35" t="s">
        <v>48</v>
      </c>
      <c r="D2033" s="35" t="s">
        <v>107</v>
      </c>
      <c r="E2033" s="35" t="s">
        <v>822</v>
      </c>
      <c r="F2033" s="35"/>
      <c r="G2033" s="35" t="s">
        <v>545</v>
      </c>
      <c r="H2033" s="35" t="s">
        <v>61</v>
      </c>
      <c r="I2033" s="4"/>
    </row>
    <row r="2034" customFormat="false" ht="15" hidden="false" customHeight="false" outlineLevel="0" collapsed="false">
      <c r="A2034" s="35" t="s">
        <v>1663</v>
      </c>
      <c r="B2034" s="35" t="s">
        <v>5159</v>
      </c>
      <c r="C2034" s="35" t="s">
        <v>48</v>
      </c>
      <c r="D2034" s="35" t="s">
        <v>57</v>
      </c>
      <c r="E2034" s="35" t="s">
        <v>1662</v>
      </c>
      <c r="F2034" s="35"/>
      <c r="G2034" s="35" t="s">
        <v>328</v>
      </c>
      <c r="H2034" s="35" t="s">
        <v>61</v>
      </c>
      <c r="I2034" s="4"/>
    </row>
    <row r="2035" customFormat="false" ht="15" hidden="false" customHeight="false" outlineLevel="0" collapsed="false">
      <c r="A2035" s="35" t="s">
        <v>5160</v>
      </c>
      <c r="B2035" s="35" t="s">
        <v>5161</v>
      </c>
      <c r="C2035" s="35" t="s">
        <v>48</v>
      </c>
      <c r="D2035" s="35" t="s">
        <v>146</v>
      </c>
      <c r="E2035" s="35"/>
      <c r="F2035" s="35"/>
      <c r="G2035" s="35" t="s">
        <v>697</v>
      </c>
      <c r="H2035" s="35" t="s">
        <v>61</v>
      </c>
      <c r="I2035" s="4"/>
    </row>
    <row r="2036" customFormat="false" ht="15" hidden="false" customHeight="false" outlineLevel="0" collapsed="false">
      <c r="A2036" s="35" t="s">
        <v>5162</v>
      </c>
      <c r="B2036" s="35" t="s">
        <v>5163</v>
      </c>
      <c r="C2036" s="35" t="s">
        <v>48</v>
      </c>
      <c r="D2036" s="35" t="s">
        <v>107</v>
      </c>
      <c r="E2036" s="35" t="s">
        <v>560</v>
      </c>
      <c r="F2036" s="35"/>
      <c r="G2036" s="35" t="s">
        <v>555</v>
      </c>
      <c r="H2036" s="35" t="s">
        <v>61</v>
      </c>
      <c r="I2036" s="4"/>
    </row>
    <row r="2037" customFormat="false" ht="15" hidden="false" customHeight="false" outlineLevel="0" collapsed="false">
      <c r="A2037" s="35" t="s">
        <v>5164</v>
      </c>
      <c r="B2037" s="35" t="s">
        <v>5165</v>
      </c>
      <c r="C2037" s="35" t="s">
        <v>48</v>
      </c>
      <c r="D2037" s="35" t="s">
        <v>57</v>
      </c>
      <c r="E2037" s="35" t="s">
        <v>553</v>
      </c>
      <c r="F2037" s="35"/>
      <c r="G2037" s="35" t="s">
        <v>555</v>
      </c>
      <c r="H2037" s="35" t="s">
        <v>61</v>
      </c>
      <c r="I2037" s="4"/>
    </row>
    <row r="2038" customFormat="false" ht="15" hidden="false" customHeight="false" outlineLevel="0" collapsed="false">
      <c r="A2038" s="35" t="s">
        <v>5166</v>
      </c>
      <c r="B2038" s="35" t="s">
        <v>5167</v>
      </c>
      <c r="C2038" s="35" t="s">
        <v>48</v>
      </c>
      <c r="D2038" s="35" t="s">
        <v>57</v>
      </c>
      <c r="E2038" s="35" t="s">
        <v>553</v>
      </c>
      <c r="F2038" s="35" t="s">
        <v>2534</v>
      </c>
      <c r="G2038" s="35" t="s">
        <v>555</v>
      </c>
      <c r="H2038" s="35" t="s">
        <v>61</v>
      </c>
      <c r="I2038" s="4"/>
    </row>
    <row r="2039" customFormat="false" ht="15" hidden="false" customHeight="false" outlineLevel="0" collapsed="false">
      <c r="A2039" s="35" t="s">
        <v>5168</v>
      </c>
      <c r="B2039" s="35" t="s">
        <v>5169</v>
      </c>
      <c r="C2039" s="35" t="s">
        <v>48</v>
      </c>
      <c r="D2039" s="35" t="s">
        <v>57</v>
      </c>
      <c r="E2039" s="35" t="s">
        <v>553</v>
      </c>
      <c r="F2039" s="35" t="s">
        <v>2534</v>
      </c>
      <c r="G2039" s="35" t="s">
        <v>555</v>
      </c>
      <c r="H2039" s="35" t="s">
        <v>61</v>
      </c>
      <c r="I2039" s="4"/>
    </row>
    <row r="2040" customFormat="false" ht="15" hidden="false" customHeight="false" outlineLevel="0" collapsed="false">
      <c r="A2040" s="35" t="s">
        <v>5170</v>
      </c>
      <c r="B2040" s="35" t="s">
        <v>5171</v>
      </c>
      <c r="C2040" s="35" t="s">
        <v>48</v>
      </c>
      <c r="D2040" s="35" t="s">
        <v>57</v>
      </c>
      <c r="E2040" s="35" t="s">
        <v>1006</v>
      </c>
      <c r="F2040" s="35"/>
      <c r="G2040" s="35" t="s">
        <v>555</v>
      </c>
      <c r="H2040" s="35" t="s">
        <v>61</v>
      </c>
      <c r="I2040" s="4"/>
    </row>
    <row r="2041" customFormat="false" ht="15" hidden="false" customHeight="false" outlineLevel="0" collapsed="false">
      <c r="A2041" s="35" t="s">
        <v>5172</v>
      </c>
      <c r="B2041" s="35" t="s">
        <v>5173</v>
      </c>
      <c r="C2041" s="35" t="s">
        <v>48</v>
      </c>
      <c r="D2041" s="35" t="s">
        <v>57</v>
      </c>
      <c r="E2041" s="35" t="s">
        <v>1006</v>
      </c>
      <c r="F2041" s="35"/>
      <c r="G2041" s="35" t="s">
        <v>555</v>
      </c>
      <c r="H2041" s="35" t="s">
        <v>61</v>
      </c>
      <c r="I2041" s="4"/>
    </row>
    <row r="2042" customFormat="false" ht="15" hidden="false" customHeight="false" outlineLevel="0" collapsed="false">
      <c r="A2042" s="35" t="s">
        <v>5174</v>
      </c>
      <c r="B2042" s="35" t="s">
        <v>5175</v>
      </c>
      <c r="C2042" s="35" t="s">
        <v>48</v>
      </c>
      <c r="D2042" s="35" t="s">
        <v>107</v>
      </c>
      <c r="E2042" s="35" t="s">
        <v>1006</v>
      </c>
      <c r="F2042" s="35"/>
      <c r="G2042" s="35" t="s">
        <v>555</v>
      </c>
      <c r="H2042" s="35" t="s">
        <v>61</v>
      </c>
      <c r="I2042" s="4"/>
    </row>
    <row r="2043" customFormat="false" ht="15" hidden="false" customHeight="false" outlineLevel="0" collapsed="false">
      <c r="A2043" s="35" t="s">
        <v>5176</v>
      </c>
      <c r="B2043" s="35" t="s">
        <v>5177</v>
      </c>
      <c r="C2043" s="35" t="s">
        <v>48</v>
      </c>
      <c r="D2043" s="35" t="s">
        <v>114</v>
      </c>
      <c r="E2043" s="35"/>
      <c r="F2043" s="35"/>
      <c r="G2043" s="35" t="s">
        <v>571</v>
      </c>
      <c r="H2043" s="35" t="s">
        <v>61</v>
      </c>
      <c r="I2043" s="4"/>
    </row>
    <row r="2044" customFormat="false" ht="15" hidden="false" customHeight="false" outlineLevel="0" collapsed="false">
      <c r="A2044" s="35" t="s">
        <v>5178</v>
      </c>
      <c r="B2044" s="35" t="s">
        <v>5179</v>
      </c>
      <c r="C2044" s="35" t="s">
        <v>48</v>
      </c>
      <c r="D2044" s="35" t="s">
        <v>107</v>
      </c>
      <c r="E2044" s="35" t="s">
        <v>1188</v>
      </c>
      <c r="F2044" s="35"/>
      <c r="G2044" s="35" t="s">
        <v>745</v>
      </c>
      <c r="H2044" s="35" t="s">
        <v>61</v>
      </c>
      <c r="I2044" s="4"/>
    </row>
    <row r="2045" customFormat="false" ht="15" hidden="false" customHeight="false" outlineLevel="0" collapsed="false">
      <c r="A2045" s="35" t="s">
        <v>5180</v>
      </c>
      <c r="B2045" s="35" t="s">
        <v>5181</v>
      </c>
      <c r="C2045" s="35" t="s">
        <v>48</v>
      </c>
      <c r="D2045" s="35" t="s">
        <v>157</v>
      </c>
      <c r="E2045" s="35"/>
      <c r="F2045" s="35"/>
      <c r="G2045" s="35" t="s">
        <v>545</v>
      </c>
      <c r="H2045" s="35" t="s">
        <v>369</v>
      </c>
      <c r="I2045" s="4"/>
    </row>
    <row r="2046" customFormat="false" ht="15" hidden="false" customHeight="false" outlineLevel="0" collapsed="false">
      <c r="A2046" s="35" t="s">
        <v>5182</v>
      </c>
      <c r="B2046" s="35" t="s">
        <v>5183</v>
      </c>
      <c r="C2046" s="35" t="s">
        <v>48</v>
      </c>
      <c r="D2046" s="35" t="s">
        <v>157</v>
      </c>
      <c r="E2046" s="35"/>
      <c r="F2046" s="35"/>
      <c r="G2046" s="35" t="s">
        <v>545</v>
      </c>
      <c r="H2046" s="35" t="s">
        <v>61</v>
      </c>
      <c r="I2046" s="4"/>
    </row>
    <row r="2047" customFormat="false" ht="15" hidden="false" customHeight="false" outlineLevel="0" collapsed="false">
      <c r="A2047" s="35" t="s">
        <v>5184</v>
      </c>
      <c r="B2047" s="35" t="s">
        <v>5185</v>
      </c>
      <c r="C2047" s="35" t="s">
        <v>48</v>
      </c>
      <c r="D2047" s="35" t="s">
        <v>157</v>
      </c>
      <c r="E2047" s="35"/>
      <c r="F2047" s="35"/>
      <c r="G2047" s="35" t="s">
        <v>545</v>
      </c>
      <c r="H2047" s="35" t="s">
        <v>61</v>
      </c>
      <c r="I2047" s="4"/>
    </row>
    <row r="2048" customFormat="false" ht="15" hidden="false" customHeight="false" outlineLevel="0" collapsed="false">
      <c r="A2048" s="35" t="s">
        <v>5186</v>
      </c>
      <c r="B2048" s="35" t="s">
        <v>5187</v>
      </c>
      <c r="C2048" s="35" t="s">
        <v>48</v>
      </c>
      <c r="D2048" s="35" t="s">
        <v>53</v>
      </c>
      <c r="E2048" s="35"/>
      <c r="F2048" s="35"/>
      <c r="G2048" s="35" t="s">
        <v>444</v>
      </c>
      <c r="H2048" s="35" t="s">
        <v>61</v>
      </c>
      <c r="I2048" s="4"/>
    </row>
    <row r="2049" customFormat="false" ht="15" hidden="false" customHeight="false" outlineLevel="0" collapsed="false">
      <c r="A2049" s="35" t="s">
        <v>5188</v>
      </c>
      <c r="B2049" s="35" t="s">
        <v>5189</v>
      </c>
      <c r="C2049" s="35" t="s">
        <v>48</v>
      </c>
      <c r="D2049" s="35" t="s">
        <v>107</v>
      </c>
      <c r="E2049" s="35" t="s">
        <v>484</v>
      </c>
      <c r="F2049" s="35"/>
      <c r="G2049" s="35" t="s">
        <v>444</v>
      </c>
      <c r="H2049" s="35" t="s">
        <v>61</v>
      </c>
      <c r="I2049" s="4"/>
    </row>
    <row r="2050" customFormat="false" ht="15" hidden="false" customHeight="false" outlineLevel="0" collapsed="false">
      <c r="A2050" s="35" t="s">
        <v>1008</v>
      </c>
      <c r="B2050" s="35" t="s">
        <v>5190</v>
      </c>
      <c r="C2050" s="35" t="s">
        <v>48</v>
      </c>
      <c r="D2050" s="35" t="s">
        <v>57</v>
      </c>
      <c r="E2050" s="35" t="s">
        <v>1008</v>
      </c>
      <c r="F2050" s="35"/>
      <c r="G2050" s="35" t="s">
        <v>328</v>
      </c>
      <c r="H2050" s="35" t="s">
        <v>61</v>
      </c>
      <c r="I2050" s="4"/>
    </row>
    <row r="2051" customFormat="false" ht="15" hidden="false" customHeight="false" outlineLevel="0" collapsed="false">
      <c r="A2051" s="35" t="s">
        <v>5191</v>
      </c>
      <c r="B2051" s="35" t="s">
        <v>5192</v>
      </c>
      <c r="C2051" s="35" t="s">
        <v>48</v>
      </c>
      <c r="D2051" s="35" t="s">
        <v>157</v>
      </c>
      <c r="E2051" s="35"/>
      <c r="F2051" s="35"/>
      <c r="G2051" s="35" t="s">
        <v>545</v>
      </c>
      <c r="H2051" s="35" t="s">
        <v>369</v>
      </c>
      <c r="I2051" s="4"/>
    </row>
    <row r="2052" customFormat="false" ht="15" hidden="false" customHeight="false" outlineLevel="0" collapsed="false">
      <c r="A2052" s="35" t="s">
        <v>5193</v>
      </c>
      <c r="B2052" s="35" t="s">
        <v>5194</v>
      </c>
      <c r="C2052" s="35" t="s">
        <v>48</v>
      </c>
      <c r="D2052" s="35" t="s">
        <v>107</v>
      </c>
      <c r="E2052" s="35" t="s">
        <v>885</v>
      </c>
      <c r="F2052" s="35" t="s">
        <v>2147</v>
      </c>
      <c r="G2052" s="35" t="s">
        <v>737</v>
      </c>
      <c r="H2052" s="35" t="s">
        <v>61</v>
      </c>
      <c r="I2052" s="4"/>
    </row>
    <row r="2053" customFormat="false" ht="15" hidden="false" customHeight="false" outlineLevel="0" collapsed="false">
      <c r="A2053" s="35" t="s">
        <v>5195</v>
      </c>
      <c r="B2053" s="35" t="s">
        <v>5196</v>
      </c>
      <c r="C2053" s="35" t="s">
        <v>48</v>
      </c>
      <c r="D2053" s="35" t="s">
        <v>57</v>
      </c>
      <c r="E2053" s="35" t="s">
        <v>861</v>
      </c>
      <c r="F2053" s="35"/>
      <c r="G2053" s="35" t="s">
        <v>681</v>
      </c>
      <c r="H2053" s="35" t="s">
        <v>61</v>
      </c>
      <c r="I2053" s="4"/>
    </row>
    <row r="2054" customFormat="false" ht="15" hidden="false" customHeight="false" outlineLevel="0" collapsed="false">
      <c r="A2054" s="35" t="s">
        <v>89</v>
      </c>
      <c r="B2054" s="35" t="s">
        <v>90</v>
      </c>
      <c r="C2054" s="35" t="s">
        <v>48</v>
      </c>
      <c r="D2054" s="35" t="s">
        <v>57</v>
      </c>
      <c r="E2054" s="35" t="s">
        <v>89</v>
      </c>
      <c r="F2054" s="35"/>
      <c r="G2054" s="35" t="s">
        <v>91</v>
      </c>
      <c r="H2054" s="35" t="s">
        <v>61</v>
      </c>
      <c r="I2054" s="4" t="s">
        <v>2025</v>
      </c>
    </row>
    <row r="2055" customFormat="false" ht="15" hidden="false" customHeight="false" outlineLevel="0" collapsed="false">
      <c r="A2055" s="35" t="s">
        <v>5197</v>
      </c>
      <c r="B2055" s="35" t="s">
        <v>5198</v>
      </c>
      <c r="C2055" s="35" t="s">
        <v>48</v>
      </c>
      <c r="D2055" s="35" t="s">
        <v>107</v>
      </c>
      <c r="E2055" s="35" t="s">
        <v>89</v>
      </c>
      <c r="F2055" s="35" t="s">
        <v>5199</v>
      </c>
      <c r="G2055" s="35" t="s">
        <v>777</v>
      </c>
      <c r="H2055" s="35" t="s">
        <v>61</v>
      </c>
      <c r="I2055" s="4"/>
    </row>
    <row r="2056" customFormat="false" ht="15" hidden="false" customHeight="false" outlineLevel="0" collapsed="false">
      <c r="A2056" s="35" t="s">
        <v>5200</v>
      </c>
      <c r="B2056" s="35" t="s">
        <v>5201</v>
      </c>
      <c r="C2056" s="35" t="s">
        <v>48</v>
      </c>
      <c r="D2056" s="35" t="s">
        <v>114</v>
      </c>
      <c r="E2056" s="35"/>
      <c r="F2056" s="35"/>
      <c r="G2056" s="35" t="s">
        <v>421</v>
      </c>
      <c r="H2056" s="35" t="s">
        <v>61</v>
      </c>
      <c r="I2056" s="4"/>
    </row>
    <row r="2057" customFormat="false" ht="15" hidden="false" customHeight="false" outlineLevel="0" collapsed="false">
      <c r="A2057" s="35" t="s">
        <v>5202</v>
      </c>
      <c r="B2057" s="35" t="s">
        <v>5203</v>
      </c>
      <c r="C2057" s="35" t="s">
        <v>48</v>
      </c>
      <c r="D2057" s="35" t="s">
        <v>114</v>
      </c>
      <c r="E2057" s="35"/>
      <c r="F2057" s="35"/>
      <c r="G2057" s="35" t="s">
        <v>99</v>
      </c>
      <c r="H2057" s="35" t="s">
        <v>61</v>
      </c>
      <c r="I2057" s="4"/>
    </row>
    <row r="2058" customFormat="false" ht="15" hidden="false" customHeight="false" outlineLevel="0" collapsed="false">
      <c r="A2058" s="35" t="s">
        <v>5204</v>
      </c>
      <c r="B2058" s="35" t="s">
        <v>5205</v>
      </c>
      <c r="C2058" s="35" t="s">
        <v>48</v>
      </c>
      <c r="D2058" s="35" t="s">
        <v>57</v>
      </c>
      <c r="E2058" s="35" t="s">
        <v>320</v>
      </c>
      <c r="F2058" s="35"/>
      <c r="G2058" s="35" t="s">
        <v>421</v>
      </c>
      <c r="H2058" s="35" t="s">
        <v>61</v>
      </c>
      <c r="I2058" s="4"/>
    </row>
    <row r="2059" customFormat="false" ht="15" hidden="false" customHeight="false" outlineLevel="0" collapsed="false">
      <c r="A2059" s="35" t="s">
        <v>1010</v>
      </c>
      <c r="B2059" s="35" t="s">
        <v>5206</v>
      </c>
      <c r="C2059" s="35" t="s">
        <v>48</v>
      </c>
      <c r="D2059" s="35" t="s">
        <v>57</v>
      </c>
      <c r="E2059" s="35" t="s">
        <v>1010</v>
      </c>
      <c r="F2059" s="35" t="s">
        <v>320</v>
      </c>
      <c r="G2059" s="35" t="s">
        <v>684</v>
      </c>
      <c r="H2059" s="35" t="s">
        <v>61</v>
      </c>
      <c r="I2059" s="4"/>
    </row>
    <row r="2060" customFormat="false" ht="15" hidden="false" customHeight="false" outlineLevel="0" collapsed="false">
      <c r="A2060" s="35" t="s">
        <v>5207</v>
      </c>
      <c r="B2060" s="35" t="s">
        <v>5208</v>
      </c>
      <c r="C2060" s="35" t="s">
        <v>48</v>
      </c>
      <c r="D2060" s="35" t="s">
        <v>57</v>
      </c>
      <c r="E2060" s="35" t="s">
        <v>1010</v>
      </c>
      <c r="F2060" s="35"/>
      <c r="G2060" s="35" t="s">
        <v>684</v>
      </c>
      <c r="H2060" s="35" t="s">
        <v>61</v>
      </c>
      <c r="I2060" s="4"/>
    </row>
    <row r="2061" customFormat="false" ht="15" hidden="false" customHeight="false" outlineLevel="0" collapsed="false">
      <c r="A2061" s="35" t="s">
        <v>1667</v>
      </c>
      <c r="B2061" s="35" t="s">
        <v>5209</v>
      </c>
      <c r="C2061" s="35" t="s">
        <v>48</v>
      </c>
      <c r="D2061" s="35" t="s">
        <v>107</v>
      </c>
      <c r="E2061" s="35" t="s">
        <v>1666</v>
      </c>
      <c r="F2061" s="35"/>
      <c r="G2061" s="35" t="s">
        <v>571</v>
      </c>
      <c r="H2061" s="35" t="s">
        <v>61</v>
      </c>
      <c r="I2061" s="4"/>
    </row>
    <row r="2062" customFormat="false" ht="15" hidden="false" customHeight="false" outlineLevel="0" collapsed="false">
      <c r="A2062" s="35" t="s">
        <v>5210</v>
      </c>
      <c r="B2062" s="35" t="s">
        <v>5211</v>
      </c>
      <c r="C2062" s="35" t="s">
        <v>48</v>
      </c>
      <c r="D2062" s="35" t="s">
        <v>53</v>
      </c>
      <c r="E2062" s="35"/>
      <c r="F2062" s="35"/>
      <c r="G2062" s="35" t="s">
        <v>694</v>
      </c>
      <c r="H2062" s="35" t="s">
        <v>61</v>
      </c>
      <c r="I2062" s="4"/>
    </row>
    <row r="2063" customFormat="false" ht="15" hidden="false" customHeight="false" outlineLevel="0" collapsed="false">
      <c r="A2063" s="35" t="s">
        <v>5212</v>
      </c>
      <c r="B2063" s="35" t="s">
        <v>5213</v>
      </c>
      <c r="C2063" s="35" t="s">
        <v>48</v>
      </c>
      <c r="D2063" s="35" t="s">
        <v>53</v>
      </c>
      <c r="E2063" s="35"/>
      <c r="F2063" s="35"/>
      <c r="G2063" s="35" t="s">
        <v>694</v>
      </c>
      <c r="H2063" s="35" t="s">
        <v>61</v>
      </c>
      <c r="I2063" s="4"/>
    </row>
    <row r="2064" customFormat="false" ht="15" hidden="false" customHeight="false" outlineLevel="0" collapsed="false">
      <c r="A2064" s="35" t="s">
        <v>5214</v>
      </c>
      <c r="B2064" s="35" t="s">
        <v>5215</v>
      </c>
      <c r="C2064" s="35" t="s">
        <v>48</v>
      </c>
      <c r="D2064" s="35" t="s">
        <v>57</v>
      </c>
      <c r="E2064" s="35" t="s">
        <v>869</v>
      </c>
      <c r="F2064" s="35"/>
      <c r="G2064" s="35" t="s">
        <v>262</v>
      </c>
      <c r="H2064" s="35" t="s">
        <v>61</v>
      </c>
      <c r="I2064" s="4"/>
    </row>
    <row r="2065" customFormat="false" ht="15" hidden="false" customHeight="false" outlineLevel="0" collapsed="false">
      <c r="A2065" s="35" t="s">
        <v>5216</v>
      </c>
      <c r="B2065" s="35" t="s">
        <v>5217</v>
      </c>
      <c r="C2065" s="35" t="s">
        <v>48</v>
      </c>
      <c r="D2065" s="35" t="s">
        <v>114</v>
      </c>
      <c r="E2065" s="35"/>
      <c r="F2065" s="35"/>
      <c r="G2065" s="35" t="s">
        <v>60</v>
      </c>
      <c r="H2065" s="35" t="s">
        <v>61</v>
      </c>
      <c r="I2065" s="4"/>
    </row>
    <row r="2066" customFormat="false" ht="15" hidden="false" customHeight="false" outlineLevel="0" collapsed="false">
      <c r="A2066" s="35" t="s">
        <v>344</v>
      </c>
      <c r="B2066" s="35" t="s">
        <v>345</v>
      </c>
      <c r="C2066" s="35" t="s">
        <v>48</v>
      </c>
      <c r="D2066" s="35" t="s">
        <v>53</v>
      </c>
      <c r="E2066" s="35"/>
      <c r="F2066" s="35"/>
      <c r="G2066" s="35" t="s">
        <v>337</v>
      </c>
      <c r="H2066" s="35" t="s">
        <v>61</v>
      </c>
      <c r="I2066" s="4" t="s">
        <v>2025</v>
      </c>
    </row>
    <row r="2067" customFormat="false" ht="15" hidden="false" customHeight="false" outlineLevel="0" collapsed="false">
      <c r="A2067" s="35" t="s">
        <v>342</v>
      </c>
      <c r="B2067" s="35" t="s">
        <v>343</v>
      </c>
      <c r="C2067" s="35" t="s">
        <v>48</v>
      </c>
      <c r="D2067" s="35" t="s">
        <v>53</v>
      </c>
      <c r="E2067" s="35"/>
      <c r="F2067" s="35"/>
      <c r="G2067" s="35" t="s">
        <v>337</v>
      </c>
      <c r="H2067" s="35" t="s">
        <v>61</v>
      </c>
      <c r="I2067" s="4" t="s">
        <v>2025</v>
      </c>
    </row>
    <row r="2068" customFormat="false" ht="15" hidden="false" customHeight="false" outlineLevel="0" collapsed="false">
      <c r="A2068" s="35" t="s">
        <v>1669</v>
      </c>
      <c r="B2068" s="35" t="s">
        <v>5218</v>
      </c>
      <c r="C2068" s="35" t="s">
        <v>48</v>
      </c>
      <c r="D2068" s="35" t="s">
        <v>57</v>
      </c>
      <c r="E2068" s="35" t="s">
        <v>1668</v>
      </c>
      <c r="F2068" s="35"/>
      <c r="G2068" s="35" t="s">
        <v>337</v>
      </c>
      <c r="H2068" s="35" t="s">
        <v>61</v>
      </c>
      <c r="I2068" s="4"/>
    </row>
    <row r="2069" customFormat="false" ht="15" hidden="false" customHeight="false" outlineLevel="0" collapsed="false">
      <c r="A2069" s="35" t="s">
        <v>5219</v>
      </c>
      <c r="B2069" s="35" t="s">
        <v>5220</v>
      </c>
      <c r="C2069" s="35" t="s">
        <v>48</v>
      </c>
      <c r="D2069" s="35" t="s">
        <v>53</v>
      </c>
      <c r="E2069" s="35"/>
      <c r="F2069" s="35"/>
      <c r="G2069" s="35" t="s">
        <v>337</v>
      </c>
      <c r="H2069" s="35" t="s">
        <v>61</v>
      </c>
      <c r="I2069" s="4"/>
    </row>
    <row r="2070" customFormat="false" ht="15" hidden="false" customHeight="false" outlineLevel="0" collapsed="false">
      <c r="A2070" s="35" t="s">
        <v>5221</v>
      </c>
      <c r="B2070" s="35" t="s">
        <v>5222</v>
      </c>
      <c r="C2070" s="35" t="s">
        <v>48</v>
      </c>
      <c r="D2070" s="35" t="s">
        <v>53</v>
      </c>
      <c r="E2070" s="35"/>
      <c r="F2070" s="35"/>
      <c r="G2070" s="35" t="s">
        <v>337</v>
      </c>
      <c r="H2070" s="35" t="s">
        <v>61</v>
      </c>
      <c r="I2070" s="4"/>
    </row>
    <row r="2071" customFormat="false" ht="15" hidden="false" customHeight="false" outlineLevel="0" collapsed="false">
      <c r="A2071" s="35" t="s">
        <v>5223</v>
      </c>
      <c r="B2071" s="35" t="s">
        <v>5224</v>
      </c>
      <c r="C2071" s="35" t="s">
        <v>48</v>
      </c>
      <c r="D2071" s="35" t="s">
        <v>53</v>
      </c>
      <c r="E2071" s="35"/>
      <c r="F2071" s="35"/>
      <c r="G2071" s="35" t="s">
        <v>337</v>
      </c>
      <c r="H2071" s="35" t="s">
        <v>61</v>
      </c>
      <c r="I2071" s="4"/>
    </row>
    <row r="2072" customFormat="false" ht="15" hidden="false" customHeight="false" outlineLevel="0" collapsed="false">
      <c r="A2072" s="35" t="s">
        <v>5225</v>
      </c>
      <c r="B2072" s="35" t="s">
        <v>5226</v>
      </c>
      <c r="C2072" s="35" t="s">
        <v>48</v>
      </c>
      <c r="D2072" s="35" t="s">
        <v>53</v>
      </c>
      <c r="E2072" s="35"/>
      <c r="F2072" s="35"/>
      <c r="G2072" s="35" t="s">
        <v>337</v>
      </c>
      <c r="H2072" s="35" t="s">
        <v>61</v>
      </c>
      <c r="I2072" s="4"/>
    </row>
    <row r="2073" customFormat="false" ht="15" hidden="false" customHeight="false" outlineLevel="0" collapsed="false">
      <c r="A2073" s="35" t="s">
        <v>5227</v>
      </c>
      <c r="B2073" s="35" t="s">
        <v>5228</v>
      </c>
      <c r="C2073" s="35" t="s">
        <v>48</v>
      </c>
      <c r="D2073" s="35" t="s">
        <v>53</v>
      </c>
      <c r="E2073" s="35"/>
      <c r="F2073" s="35"/>
      <c r="G2073" s="35" t="s">
        <v>337</v>
      </c>
      <c r="H2073" s="35" t="s">
        <v>61</v>
      </c>
      <c r="I2073" s="4"/>
    </row>
    <row r="2074" customFormat="false" ht="15" hidden="false" customHeight="false" outlineLevel="0" collapsed="false">
      <c r="A2074" s="35" t="s">
        <v>346</v>
      </c>
      <c r="B2074" s="35" t="s">
        <v>348</v>
      </c>
      <c r="C2074" s="35" t="s">
        <v>48</v>
      </c>
      <c r="D2074" s="35" t="s">
        <v>107</v>
      </c>
      <c r="E2074" s="35" t="s">
        <v>347</v>
      </c>
      <c r="F2074" s="35"/>
      <c r="G2074" s="35" t="s">
        <v>337</v>
      </c>
      <c r="H2074" s="35" t="s">
        <v>61</v>
      </c>
      <c r="I2074" s="4" t="s">
        <v>2025</v>
      </c>
    </row>
    <row r="2075" customFormat="false" ht="15" hidden="false" customHeight="false" outlineLevel="0" collapsed="false">
      <c r="A2075" s="35" t="s">
        <v>5229</v>
      </c>
      <c r="B2075" s="35" t="s">
        <v>5230</v>
      </c>
      <c r="C2075" s="35" t="s">
        <v>48</v>
      </c>
      <c r="D2075" s="35" t="s">
        <v>114</v>
      </c>
      <c r="E2075" s="35"/>
      <c r="F2075" s="35"/>
      <c r="G2075" s="35" t="s">
        <v>60</v>
      </c>
      <c r="H2075" s="35" t="s">
        <v>61</v>
      </c>
      <c r="I2075" s="4"/>
    </row>
    <row r="2076" customFormat="false" ht="15" hidden="false" customHeight="false" outlineLevel="0" collapsed="false">
      <c r="A2076" s="35" t="s">
        <v>5231</v>
      </c>
      <c r="B2076" s="35" t="s">
        <v>5232</v>
      </c>
      <c r="C2076" s="35" t="s">
        <v>48</v>
      </c>
      <c r="D2076" s="35" t="s">
        <v>53</v>
      </c>
      <c r="E2076" s="35"/>
      <c r="F2076" s="35"/>
      <c r="G2076" s="35" t="s">
        <v>60</v>
      </c>
      <c r="H2076" s="35" t="s">
        <v>61</v>
      </c>
      <c r="I2076" s="4"/>
    </row>
    <row r="2077" customFormat="false" ht="15" hidden="false" customHeight="false" outlineLevel="0" collapsed="false">
      <c r="A2077" s="35" t="s">
        <v>93</v>
      </c>
      <c r="B2077" s="35" t="s">
        <v>95</v>
      </c>
      <c r="C2077" s="35" t="s">
        <v>48</v>
      </c>
      <c r="D2077" s="35" t="s">
        <v>57</v>
      </c>
      <c r="E2077" s="35" t="s">
        <v>94</v>
      </c>
      <c r="F2077" s="35"/>
      <c r="G2077" s="35" t="s">
        <v>87</v>
      </c>
      <c r="H2077" s="35" t="s">
        <v>61</v>
      </c>
      <c r="I2077" s="4" t="s">
        <v>2025</v>
      </c>
    </row>
    <row r="2078" customFormat="false" ht="15" hidden="false" customHeight="false" outlineLevel="0" collapsed="false">
      <c r="A2078" s="35" t="s">
        <v>1327</v>
      </c>
      <c r="B2078" s="35" t="s">
        <v>5233</v>
      </c>
      <c r="C2078" s="35" t="s">
        <v>48</v>
      </c>
      <c r="D2078" s="35" t="s">
        <v>46</v>
      </c>
      <c r="E2078" s="35" t="s">
        <v>1326</v>
      </c>
      <c r="F2078" s="35"/>
      <c r="G2078" s="35" t="s">
        <v>683</v>
      </c>
      <c r="H2078" s="35" t="s">
        <v>61</v>
      </c>
      <c r="I2078" s="4"/>
    </row>
    <row r="2079" customFormat="false" ht="15" hidden="false" customHeight="false" outlineLevel="0" collapsed="false">
      <c r="A2079" s="35" t="s">
        <v>1350</v>
      </c>
      <c r="B2079" s="35" t="s">
        <v>5234</v>
      </c>
      <c r="C2079" s="35" t="s">
        <v>48</v>
      </c>
      <c r="D2079" s="35" t="s">
        <v>46</v>
      </c>
      <c r="E2079" s="35" t="s">
        <v>1349</v>
      </c>
      <c r="F2079" s="35"/>
      <c r="G2079" s="35" t="s">
        <v>683</v>
      </c>
      <c r="H2079" s="35" t="s">
        <v>61</v>
      </c>
      <c r="I2079" s="4"/>
    </row>
    <row r="2080" customFormat="false" ht="15" hidden="false" customHeight="false" outlineLevel="0" collapsed="false">
      <c r="A2080" s="35" t="s">
        <v>5235</v>
      </c>
      <c r="B2080" s="35" t="s">
        <v>5236</v>
      </c>
      <c r="C2080" s="35" t="s">
        <v>48</v>
      </c>
      <c r="D2080" s="35" t="s">
        <v>46</v>
      </c>
      <c r="E2080" s="35" t="s">
        <v>310</v>
      </c>
      <c r="F2080" s="35"/>
      <c r="G2080" s="35" t="s">
        <v>683</v>
      </c>
      <c r="H2080" s="35" t="s">
        <v>61</v>
      </c>
      <c r="I2080" s="4"/>
    </row>
    <row r="2081" customFormat="false" ht="15" hidden="false" customHeight="false" outlineLevel="0" collapsed="false">
      <c r="A2081" s="35" t="s">
        <v>1354</v>
      </c>
      <c r="B2081" s="35" t="s">
        <v>5237</v>
      </c>
      <c r="C2081" s="35" t="s">
        <v>48</v>
      </c>
      <c r="D2081" s="35" t="s">
        <v>46</v>
      </c>
      <c r="E2081" s="35" t="s">
        <v>1353</v>
      </c>
      <c r="F2081" s="35"/>
      <c r="G2081" s="35" t="s">
        <v>698</v>
      </c>
      <c r="H2081" s="35" t="s">
        <v>61</v>
      </c>
      <c r="I2081" s="4"/>
    </row>
    <row r="2082" customFormat="false" ht="15" hidden="false" customHeight="false" outlineLevel="0" collapsed="false">
      <c r="A2082" s="35" t="s">
        <v>5238</v>
      </c>
      <c r="B2082" s="35" t="s">
        <v>5239</v>
      </c>
      <c r="C2082" s="35" t="s">
        <v>48</v>
      </c>
      <c r="D2082" s="35" t="s">
        <v>46</v>
      </c>
      <c r="E2082" s="35" t="s">
        <v>297</v>
      </c>
      <c r="F2082" s="35"/>
      <c r="G2082" s="35" t="s">
        <v>683</v>
      </c>
      <c r="H2082" s="35" t="s">
        <v>61</v>
      </c>
      <c r="I2082" s="4"/>
    </row>
    <row r="2083" customFormat="false" ht="15" hidden="false" customHeight="false" outlineLevel="0" collapsed="false">
      <c r="A2083" s="35" t="s">
        <v>1382</v>
      </c>
      <c r="B2083" s="35" t="s">
        <v>5240</v>
      </c>
      <c r="C2083" s="35" t="s">
        <v>48</v>
      </c>
      <c r="D2083" s="35" t="s">
        <v>46</v>
      </c>
      <c r="E2083" s="35" t="s">
        <v>1381</v>
      </c>
      <c r="F2083" s="35"/>
      <c r="G2083" s="35" t="s">
        <v>698</v>
      </c>
      <c r="H2083" s="35" t="s">
        <v>61</v>
      </c>
      <c r="I2083" s="4"/>
    </row>
    <row r="2084" customFormat="false" ht="15" hidden="false" customHeight="false" outlineLevel="0" collapsed="false">
      <c r="A2084" s="35" t="s">
        <v>5241</v>
      </c>
      <c r="B2084" s="35" t="s">
        <v>5242</v>
      </c>
      <c r="C2084" s="35" t="s">
        <v>48</v>
      </c>
      <c r="D2084" s="35" t="s">
        <v>46</v>
      </c>
      <c r="E2084" s="35" t="s">
        <v>1101</v>
      </c>
      <c r="F2084" s="35"/>
      <c r="G2084" s="35" t="s">
        <v>683</v>
      </c>
      <c r="H2084" s="35" t="s">
        <v>61</v>
      </c>
      <c r="I2084" s="4"/>
    </row>
    <row r="2085" customFormat="false" ht="15" hidden="false" customHeight="false" outlineLevel="0" collapsed="false">
      <c r="A2085" s="35" t="s">
        <v>5243</v>
      </c>
      <c r="B2085" s="35" t="s">
        <v>5244</v>
      </c>
      <c r="C2085" s="35" t="s">
        <v>48</v>
      </c>
      <c r="D2085" s="35" t="s">
        <v>46</v>
      </c>
      <c r="E2085" s="35" t="s">
        <v>436</v>
      </c>
      <c r="F2085" s="35"/>
      <c r="G2085" s="35" t="s">
        <v>683</v>
      </c>
      <c r="H2085" s="35" t="s">
        <v>61</v>
      </c>
      <c r="I2085" s="4"/>
    </row>
    <row r="2086" customFormat="false" ht="15" hidden="false" customHeight="false" outlineLevel="0" collapsed="false">
      <c r="A2086" s="35" t="s">
        <v>5245</v>
      </c>
      <c r="B2086" s="35" t="s">
        <v>5246</v>
      </c>
      <c r="C2086" s="35" t="s">
        <v>48</v>
      </c>
      <c r="D2086" s="35" t="s">
        <v>46</v>
      </c>
      <c r="E2086" s="35" t="s">
        <v>1105</v>
      </c>
      <c r="F2086" s="35"/>
      <c r="G2086" s="35" t="s">
        <v>683</v>
      </c>
      <c r="H2086" s="35" t="s">
        <v>61</v>
      </c>
      <c r="I2086" s="4"/>
    </row>
    <row r="2087" customFormat="false" ht="15" hidden="false" customHeight="false" outlineLevel="0" collapsed="false">
      <c r="A2087" s="35" t="s">
        <v>5247</v>
      </c>
      <c r="B2087" s="35" t="s">
        <v>5248</v>
      </c>
      <c r="C2087" s="35" t="s">
        <v>48</v>
      </c>
      <c r="D2087" s="35" t="s">
        <v>46</v>
      </c>
      <c r="E2087" s="35" t="s">
        <v>110</v>
      </c>
      <c r="F2087" s="35"/>
      <c r="G2087" s="35" t="s">
        <v>683</v>
      </c>
      <c r="H2087" s="35" t="s">
        <v>61</v>
      </c>
      <c r="I2087" s="4"/>
    </row>
    <row r="2088" customFormat="false" ht="15" hidden="false" customHeight="false" outlineLevel="0" collapsed="false">
      <c r="A2088" s="35" t="s">
        <v>5249</v>
      </c>
      <c r="B2088" s="35" t="s">
        <v>5250</v>
      </c>
      <c r="C2088" s="35" t="s">
        <v>48</v>
      </c>
      <c r="D2088" s="35" t="s">
        <v>46</v>
      </c>
      <c r="E2088" s="35" t="s">
        <v>289</v>
      </c>
      <c r="F2088" s="35"/>
      <c r="G2088" s="35" t="s">
        <v>683</v>
      </c>
      <c r="H2088" s="35" t="s">
        <v>61</v>
      </c>
      <c r="I2088" s="4"/>
    </row>
    <row r="2089" customFormat="false" ht="15" hidden="false" customHeight="false" outlineLevel="0" collapsed="false">
      <c r="A2089" s="35" t="s">
        <v>1403</v>
      </c>
      <c r="B2089" s="35" t="s">
        <v>5251</v>
      </c>
      <c r="C2089" s="35" t="s">
        <v>48</v>
      </c>
      <c r="D2089" s="35" t="s">
        <v>46</v>
      </c>
      <c r="E2089" s="35" t="s">
        <v>1402</v>
      </c>
      <c r="F2089" s="35"/>
      <c r="G2089" s="35" t="s">
        <v>698</v>
      </c>
      <c r="H2089" s="35" t="s">
        <v>61</v>
      </c>
      <c r="I2089" s="4"/>
    </row>
    <row r="2090" customFormat="false" ht="15" hidden="false" customHeight="false" outlineLevel="0" collapsed="false">
      <c r="A2090" s="35" t="s">
        <v>5252</v>
      </c>
      <c r="B2090" s="35" t="s">
        <v>5253</v>
      </c>
      <c r="C2090" s="35" t="s">
        <v>48</v>
      </c>
      <c r="D2090" s="35" t="s">
        <v>46</v>
      </c>
      <c r="E2090" s="35" t="s">
        <v>320</v>
      </c>
      <c r="F2090" s="35"/>
      <c r="G2090" s="35" t="s">
        <v>683</v>
      </c>
      <c r="H2090" s="35" t="s">
        <v>61</v>
      </c>
      <c r="I2090" s="4"/>
    </row>
    <row r="2091" customFormat="false" ht="15" hidden="false" customHeight="false" outlineLevel="0" collapsed="false">
      <c r="A2091" s="35" t="s">
        <v>5254</v>
      </c>
      <c r="B2091" s="35" t="s">
        <v>5255</v>
      </c>
      <c r="C2091" s="35" t="s">
        <v>48</v>
      </c>
      <c r="D2091" s="35" t="s">
        <v>46</v>
      </c>
      <c r="E2091" s="35" t="s">
        <v>869</v>
      </c>
      <c r="F2091" s="35"/>
      <c r="G2091" s="35" t="s">
        <v>262</v>
      </c>
      <c r="H2091" s="35" t="s">
        <v>61</v>
      </c>
      <c r="I2091" s="4"/>
    </row>
    <row r="2092" customFormat="false" ht="15" hidden="false" customHeight="false" outlineLevel="0" collapsed="false">
      <c r="A2092" s="35" t="s">
        <v>1430</v>
      </c>
      <c r="B2092" s="35" t="s">
        <v>5256</v>
      </c>
      <c r="C2092" s="35" t="s">
        <v>48</v>
      </c>
      <c r="D2092" s="35" t="s">
        <v>46</v>
      </c>
      <c r="E2092" s="35" t="s">
        <v>1429</v>
      </c>
      <c r="F2092" s="35"/>
      <c r="G2092" s="35" t="s">
        <v>683</v>
      </c>
      <c r="H2092" s="35" t="s">
        <v>61</v>
      </c>
      <c r="I2092" s="4"/>
    </row>
    <row r="2093" customFormat="false" ht="15" hidden="false" customHeight="false" outlineLevel="0" collapsed="false">
      <c r="A2093" s="35" t="s">
        <v>1432</v>
      </c>
      <c r="B2093" s="35" t="s">
        <v>5257</v>
      </c>
      <c r="C2093" s="35" t="s">
        <v>48</v>
      </c>
      <c r="D2093" s="35" t="s">
        <v>46</v>
      </c>
      <c r="E2093" s="35" t="s">
        <v>1431</v>
      </c>
      <c r="F2093" s="35"/>
      <c r="G2093" s="35" t="s">
        <v>683</v>
      </c>
      <c r="H2093" s="35" t="s">
        <v>61</v>
      </c>
      <c r="I2093" s="4"/>
    </row>
    <row r="2094" customFormat="false" ht="15" hidden="false" customHeight="false" outlineLevel="0" collapsed="false">
      <c r="A2094" s="35" t="s">
        <v>5258</v>
      </c>
      <c r="B2094" s="35" t="s">
        <v>5259</v>
      </c>
      <c r="C2094" s="35" t="s">
        <v>48</v>
      </c>
      <c r="D2094" s="35" t="s">
        <v>46</v>
      </c>
      <c r="E2094" s="35" t="s">
        <v>971</v>
      </c>
      <c r="F2094" s="35"/>
      <c r="G2094" s="35" t="s">
        <v>683</v>
      </c>
      <c r="H2094" s="35" t="s">
        <v>61</v>
      </c>
      <c r="I2094" s="4"/>
    </row>
    <row r="2095" customFormat="false" ht="15" hidden="false" customHeight="false" outlineLevel="0" collapsed="false">
      <c r="A2095" s="35" t="s">
        <v>1483</v>
      </c>
      <c r="B2095" s="35" t="s">
        <v>5260</v>
      </c>
      <c r="C2095" s="35" t="s">
        <v>48</v>
      </c>
      <c r="D2095" s="35" t="s">
        <v>46</v>
      </c>
      <c r="E2095" s="35" t="s">
        <v>1482</v>
      </c>
      <c r="F2095" s="35"/>
      <c r="G2095" s="35" t="s">
        <v>683</v>
      </c>
      <c r="H2095" s="35" t="s">
        <v>61</v>
      </c>
      <c r="I2095" s="4"/>
    </row>
    <row r="2096" customFormat="false" ht="15" hidden="false" customHeight="false" outlineLevel="0" collapsed="false">
      <c r="A2096" s="35" t="s">
        <v>5261</v>
      </c>
      <c r="B2096" s="35" t="s">
        <v>5262</v>
      </c>
      <c r="C2096" s="35" t="s">
        <v>48</v>
      </c>
      <c r="D2096" s="35" t="s">
        <v>46</v>
      </c>
      <c r="E2096" s="35" t="s">
        <v>1143</v>
      </c>
      <c r="F2096" s="35"/>
      <c r="G2096" s="35" t="s">
        <v>683</v>
      </c>
      <c r="H2096" s="35" t="s">
        <v>61</v>
      </c>
      <c r="I2096" s="4"/>
    </row>
    <row r="2097" customFormat="false" ht="15" hidden="false" customHeight="false" outlineLevel="0" collapsed="false">
      <c r="A2097" s="35" t="s">
        <v>1516</v>
      </c>
      <c r="B2097" s="35" t="s">
        <v>5263</v>
      </c>
      <c r="C2097" s="35" t="s">
        <v>48</v>
      </c>
      <c r="D2097" s="35" t="s">
        <v>46</v>
      </c>
      <c r="E2097" s="35" t="s">
        <v>1515</v>
      </c>
      <c r="F2097" s="35"/>
      <c r="G2097" s="35" t="s">
        <v>698</v>
      </c>
      <c r="H2097" s="35" t="s">
        <v>61</v>
      </c>
      <c r="I2097" s="4"/>
    </row>
    <row r="2098" customFormat="false" ht="15" hidden="false" customHeight="false" outlineLevel="0" collapsed="false">
      <c r="A2098" s="35" t="s">
        <v>5264</v>
      </c>
      <c r="B2098" s="35" t="s">
        <v>5265</v>
      </c>
      <c r="C2098" s="35" t="s">
        <v>48</v>
      </c>
      <c r="D2098" s="35" t="s">
        <v>46</v>
      </c>
      <c r="E2098" s="35" t="s">
        <v>1145</v>
      </c>
      <c r="F2098" s="35"/>
      <c r="G2098" s="35" t="s">
        <v>683</v>
      </c>
      <c r="H2098" s="35" t="s">
        <v>61</v>
      </c>
      <c r="I2098" s="4"/>
    </row>
    <row r="2099" customFormat="false" ht="15" hidden="false" customHeight="false" outlineLevel="0" collapsed="false">
      <c r="A2099" s="35" t="s">
        <v>1522</v>
      </c>
      <c r="B2099" s="35" t="s">
        <v>5266</v>
      </c>
      <c r="C2099" s="35" t="s">
        <v>48</v>
      </c>
      <c r="D2099" s="35" t="s">
        <v>46</v>
      </c>
      <c r="E2099" s="35" t="s">
        <v>1521</v>
      </c>
      <c r="F2099" s="35"/>
      <c r="G2099" s="35" t="s">
        <v>698</v>
      </c>
      <c r="H2099" s="35" t="s">
        <v>61</v>
      </c>
      <c r="I2099" s="4"/>
    </row>
    <row r="2100" customFormat="false" ht="15" hidden="false" customHeight="false" outlineLevel="0" collapsed="false">
      <c r="A2100" s="35" t="s">
        <v>5267</v>
      </c>
      <c r="B2100" s="35" t="s">
        <v>5268</v>
      </c>
      <c r="C2100" s="35" t="s">
        <v>48</v>
      </c>
      <c r="D2100" s="35" t="s">
        <v>46</v>
      </c>
      <c r="E2100" s="35" t="s">
        <v>1148</v>
      </c>
      <c r="F2100" s="35"/>
      <c r="G2100" s="35" t="s">
        <v>683</v>
      </c>
      <c r="H2100" s="35" t="s">
        <v>61</v>
      </c>
      <c r="I2100" s="4"/>
    </row>
    <row r="2101" customFormat="false" ht="15" hidden="false" customHeight="false" outlineLevel="0" collapsed="false">
      <c r="A2101" s="35" t="s">
        <v>1529</v>
      </c>
      <c r="B2101" s="35" t="s">
        <v>5269</v>
      </c>
      <c r="C2101" s="35" t="s">
        <v>48</v>
      </c>
      <c r="D2101" s="35" t="s">
        <v>46</v>
      </c>
      <c r="E2101" s="35" t="s">
        <v>1528</v>
      </c>
      <c r="F2101" s="35"/>
      <c r="G2101" s="35" t="s">
        <v>698</v>
      </c>
      <c r="H2101" s="35" t="s">
        <v>61</v>
      </c>
      <c r="I2101" s="4"/>
    </row>
    <row r="2102" customFormat="false" ht="15" hidden="false" customHeight="false" outlineLevel="0" collapsed="false">
      <c r="A2102" s="35" t="s">
        <v>1547</v>
      </c>
      <c r="B2102" s="35" t="s">
        <v>5270</v>
      </c>
      <c r="C2102" s="35" t="s">
        <v>48</v>
      </c>
      <c r="D2102" s="35" t="s">
        <v>46</v>
      </c>
      <c r="E2102" s="35" t="s">
        <v>1546</v>
      </c>
      <c r="F2102" s="35"/>
      <c r="G2102" s="35" t="s">
        <v>683</v>
      </c>
      <c r="H2102" s="35" t="s">
        <v>61</v>
      </c>
      <c r="I2102" s="4"/>
    </row>
    <row r="2103" customFormat="false" ht="15" hidden="false" customHeight="false" outlineLevel="0" collapsed="false">
      <c r="A2103" s="35" t="s">
        <v>1551</v>
      </c>
      <c r="B2103" s="35" t="s">
        <v>5271</v>
      </c>
      <c r="C2103" s="35" t="s">
        <v>48</v>
      </c>
      <c r="D2103" s="35" t="s">
        <v>46</v>
      </c>
      <c r="E2103" s="35" t="s">
        <v>1550</v>
      </c>
      <c r="F2103" s="35"/>
      <c r="G2103" s="35" t="s">
        <v>421</v>
      </c>
      <c r="H2103" s="35" t="s">
        <v>61</v>
      </c>
      <c r="I2103" s="4"/>
    </row>
    <row r="2104" customFormat="false" ht="15" hidden="false" customHeight="false" outlineLevel="0" collapsed="false">
      <c r="A2104" s="35" t="s">
        <v>5272</v>
      </c>
      <c r="B2104" s="35" t="s">
        <v>5273</v>
      </c>
      <c r="C2104" s="35" t="s">
        <v>48</v>
      </c>
      <c r="D2104" s="35" t="s">
        <v>46</v>
      </c>
      <c r="E2104" s="35" t="s">
        <v>232</v>
      </c>
      <c r="F2104" s="35"/>
      <c r="G2104" s="35" t="s">
        <v>683</v>
      </c>
      <c r="H2104" s="35" t="s">
        <v>61</v>
      </c>
      <c r="I2104" s="4"/>
    </row>
    <row r="2105" customFormat="false" ht="15" hidden="false" customHeight="false" outlineLevel="0" collapsed="false">
      <c r="A2105" s="35" t="s">
        <v>5274</v>
      </c>
      <c r="B2105" s="35" t="s">
        <v>5275</v>
      </c>
      <c r="C2105" s="35" t="s">
        <v>48</v>
      </c>
      <c r="D2105" s="35" t="s">
        <v>46</v>
      </c>
      <c r="E2105" s="35" t="s">
        <v>226</v>
      </c>
      <c r="F2105" s="35"/>
      <c r="G2105" s="35" t="s">
        <v>683</v>
      </c>
      <c r="H2105" s="35" t="s">
        <v>61</v>
      </c>
      <c r="I2105" s="4"/>
    </row>
    <row r="2106" customFormat="false" ht="15" hidden="false" customHeight="false" outlineLevel="0" collapsed="false">
      <c r="A2106" s="35" t="s">
        <v>5276</v>
      </c>
      <c r="B2106" s="35" t="s">
        <v>5277</v>
      </c>
      <c r="C2106" s="35" t="s">
        <v>48</v>
      </c>
      <c r="D2106" s="35" t="s">
        <v>46</v>
      </c>
      <c r="E2106" s="35" t="s">
        <v>236</v>
      </c>
      <c r="F2106" s="35"/>
      <c r="G2106" s="35" t="s">
        <v>683</v>
      </c>
      <c r="H2106" s="35" t="s">
        <v>61</v>
      </c>
      <c r="I2106" s="4"/>
    </row>
    <row r="2107" customFormat="false" ht="15" hidden="false" customHeight="false" outlineLevel="0" collapsed="false">
      <c r="A2107" s="35" t="s">
        <v>5278</v>
      </c>
      <c r="B2107" s="35" t="s">
        <v>5279</v>
      </c>
      <c r="C2107" s="35" t="s">
        <v>48</v>
      </c>
      <c r="D2107" s="35" t="s">
        <v>46</v>
      </c>
      <c r="E2107" s="35" t="s">
        <v>220</v>
      </c>
      <c r="F2107" s="35"/>
      <c r="G2107" s="35" t="s">
        <v>683</v>
      </c>
      <c r="H2107" s="35" t="s">
        <v>61</v>
      </c>
      <c r="I2107" s="4"/>
    </row>
    <row r="2108" customFormat="false" ht="15" hidden="false" customHeight="false" outlineLevel="0" collapsed="false">
      <c r="A2108" s="35" t="s">
        <v>5280</v>
      </c>
      <c r="B2108" s="35" t="s">
        <v>5281</v>
      </c>
      <c r="C2108" s="35" t="s">
        <v>48</v>
      </c>
      <c r="D2108" s="35" t="s">
        <v>46</v>
      </c>
      <c r="E2108" s="35" t="s">
        <v>758</v>
      </c>
      <c r="F2108" s="35"/>
      <c r="G2108" s="35" t="s">
        <v>683</v>
      </c>
      <c r="H2108" s="35" t="s">
        <v>61</v>
      </c>
      <c r="I2108" s="4"/>
    </row>
    <row r="2109" customFormat="false" ht="15" hidden="false" customHeight="false" outlineLevel="0" collapsed="false">
      <c r="A2109" s="35" t="s">
        <v>5282</v>
      </c>
      <c r="B2109" s="35" t="s">
        <v>5283</v>
      </c>
      <c r="C2109" s="35" t="s">
        <v>48</v>
      </c>
      <c r="D2109" s="35" t="s">
        <v>46</v>
      </c>
      <c r="E2109" s="35" t="s">
        <v>313</v>
      </c>
      <c r="F2109" s="35"/>
      <c r="G2109" s="35" t="s">
        <v>683</v>
      </c>
      <c r="H2109" s="35" t="s">
        <v>61</v>
      </c>
      <c r="I2109" s="4"/>
    </row>
    <row r="2110" customFormat="false" ht="15" hidden="false" customHeight="false" outlineLevel="0" collapsed="false">
      <c r="A2110" s="35" t="s">
        <v>5284</v>
      </c>
      <c r="B2110" s="35" t="s">
        <v>5285</v>
      </c>
      <c r="C2110" s="35" t="s">
        <v>48</v>
      </c>
      <c r="D2110" s="35" t="s">
        <v>46</v>
      </c>
      <c r="E2110" s="35" t="s">
        <v>323</v>
      </c>
      <c r="F2110" s="35"/>
      <c r="G2110" s="35" t="s">
        <v>698</v>
      </c>
      <c r="H2110" s="35" t="s">
        <v>61</v>
      </c>
      <c r="I2110" s="4"/>
    </row>
    <row r="2111" customFormat="false" ht="15" hidden="false" customHeight="false" outlineLevel="0" collapsed="false">
      <c r="A2111" s="35" t="s">
        <v>5286</v>
      </c>
      <c r="B2111" s="35" t="s">
        <v>5287</v>
      </c>
      <c r="C2111" s="35" t="s">
        <v>48</v>
      </c>
      <c r="D2111" s="35" t="s">
        <v>46</v>
      </c>
      <c r="E2111" s="35" t="s">
        <v>239</v>
      </c>
      <c r="F2111" s="35"/>
      <c r="G2111" s="35" t="s">
        <v>683</v>
      </c>
      <c r="H2111" s="35" t="s">
        <v>61</v>
      </c>
      <c r="I2111" s="4"/>
    </row>
    <row r="2112" customFormat="false" ht="15" hidden="false" customHeight="false" outlineLevel="0" collapsed="false">
      <c r="A2112" s="35" t="s">
        <v>1618</v>
      </c>
      <c r="B2112" s="35" t="s">
        <v>5288</v>
      </c>
      <c r="C2112" s="35" t="s">
        <v>48</v>
      </c>
      <c r="D2112" s="35" t="s">
        <v>46</v>
      </c>
      <c r="E2112" s="35" t="s">
        <v>1617</v>
      </c>
      <c r="F2112" s="35"/>
      <c r="G2112" s="35" t="s">
        <v>683</v>
      </c>
      <c r="H2112" s="35" t="s">
        <v>61</v>
      </c>
      <c r="I2112" s="4"/>
    </row>
    <row r="2113" customFormat="false" ht="15" hidden="false" customHeight="false" outlineLevel="0" collapsed="false">
      <c r="A2113" s="35" t="s">
        <v>1622</v>
      </c>
      <c r="B2113" s="35" t="s">
        <v>5289</v>
      </c>
      <c r="C2113" s="35" t="s">
        <v>48</v>
      </c>
      <c r="D2113" s="35" t="s">
        <v>46</v>
      </c>
      <c r="E2113" s="35" t="s">
        <v>1621</v>
      </c>
      <c r="F2113" s="35"/>
      <c r="G2113" s="35" t="s">
        <v>421</v>
      </c>
      <c r="H2113" s="35" t="s">
        <v>61</v>
      </c>
      <c r="I2113" s="4"/>
    </row>
    <row r="2114" customFormat="false" ht="15" hidden="false" customHeight="false" outlineLevel="0" collapsed="false">
      <c r="A2114" s="35" t="s">
        <v>1631</v>
      </c>
      <c r="B2114" s="35" t="s">
        <v>5290</v>
      </c>
      <c r="C2114" s="35" t="s">
        <v>48</v>
      </c>
      <c r="D2114" s="35" t="s">
        <v>46</v>
      </c>
      <c r="E2114" s="35" t="s">
        <v>1630</v>
      </c>
      <c r="F2114" s="35"/>
      <c r="G2114" s="35" t="s">
        <v>683</v>
      </c>
      <c r="H2114" s="35" t="s">
        <v>61</v>
      </c>
      <c r="I2114" s="4"/>
    </row>
    <row r="2115" customFormat="false" ht="15" hidden="false" customHeight="false" outlineLevel="0" collapsed="false">
      <c r="A2115" s="35" t="s">
        <v>5291</v>
      </c>
      <c r="B2115" s="35" t="s">
        <v>5292</v>
      </c>
      <c r="C2115" s="35" t="s">
        <v>48</v>
      </c>
      <c r="D2115" s="35" t="s">
        <v>46</v>
      </c>
      <c r="E2115" s="35" t="s">
        <v>326</v>
      </c>
      <c r="F2115" s="35"/>
      <c r="G2115" s="35" t="s">
        <v>683</v>
      </c>
      <c r="H2115" s="35" t="s">
        <v>61</v>
      </c>
      <c r="I2115" s="4"/>
    </row>
    <row r="2116" customFormat="false" ht="15" hidden="false" customHeight="false" outlineLevel="0" collapsed="false">
      <c r="A2116" s="35" t="s">
        <v>5293</v>
      </c>
      <c r="B2116" s="35" t="s">
        <v>5294</v>
      </c>
      <c r="C2116" s="35" t="s">
        <v>48</v>
      </c>
      <c r="D2116" s="35" t="s">
        <v>46</v>
      </c>
      <c r="E2116" s="35" t="s">
        <v>139</v>
      </c>
      <c r="F2116" s="35"/>
      <c r="G2116" s="35" t="s">
        <v>683</v>
      </c>
      <c r="H2116" s="35" t="s">
        <v>61</v>
      </c>
      <c r="I2116" s="4"/>
    </row>
    <row r="2117" customFormat="false" ht="15" hidden="false" customHeight="false" outlineLevel="0" collapsed="false">
      <c r="A2117" s="35" t="s">
        <v>1196</v>
      </c>
      <c r="B2117" s="35" t="s">
        <v>5295</v>
      </c>
      <c r="C2117" s="35" t="s">
        <v>48</v>
      </c>
      <c r="D2117" s="35" t="s">
        <v>46</v>
      </c>
      <c r="E2117" s="35" t="s">
        <v>1195</v>
      </c>
      <c r="F2117" s="35"/>
      <c r="G2117" s="35" t="s">
        <v>683</v>
      </c>
      <c r="H2117" s="35" t="s">
        <v>61</v>
      </c>
      <c r="I2117" s="4"/>
    </row>
    <row r="2118" customFormat="false" ht="15" hidden="false" customHeight="false" outlineLevel="0" collapsed="false">
      <c r="A2118" s="35" t="s">
        <v>1677</v>
      </c>
      <c r="B2118" s="35" t="s">
        <v>5296</v>
      </c>
      <c r="C2118" s="35" t="s">
        <v>48</v>
      </c>
      <c r="D2118" s="35" t="s">
        <v>46</v>
      </c>
      <c r="E2118" s="35" t="s">
        <v>1676</v>
      </c>
      <c r="F2118" s="35"/>
      <c r="G2118" s="35" t="s">
        <v>683</v>
      </c>
      <c r="H2118" s="35" t="s">
        <v>61</v>
      </c>
      <c r="I2118" s="4"/>
    </row>
    <row r="2119" customFormat="false" ht="15" hidden="false" customHeight="false" outlineLevel="0" collapsed="false">
      <c r="A2119" s="35" t="s">
        <v>5297</v>
      </c>
      <c r="B2119" s="35" t="s">
        <v>5298</v>
      </c>
      <c r="C2119" s="35" t="s">
        <v>48</v>
      </c>
      <c r="D2119" s="35" t="s">
        <v>46</v>
      </c>
      <c r="E2119" s="35" t="s">
        <v>1202</v>
      </c>
      <c r="F2119" s="35"/>
      <c r="G2119" s="35" t="s">
        <v>683</v>
      </c>
      <c r="H2119" s="35" t="s">
        <v>61</v>
      </c>
      <c r="I2119" s="4"/>
    </row>
    <row r="2120" customFormat="false" ht="15" hidden="false" customHeight="false" outlineLevel="0" collapsed="false">
      <c r="A2120" s="35" t="s">
        <v>1683</v>
      </c>
      <c r="B2120" s="35" t="s">
        <v>5299</v>
      </c>
      <c r="C2120" s="35" t="s">
        <v>48</v>
      </c>
      <c r="D2120" s="35" t="s">
        <v>46</v>
      </c>
      <c r="E2120" s="35" t="s">
        <v>1682</v>
      </c>
      <c r="F2120" s="35"/>
      <c r="G2120" s="35" t="s">
        <v>698</v>
      </c>
      <c r="H2120" s="35" t="s">
        <v>61</v>
      </c>
      <c r="I2120" s="4"/>
    </row>
    <row r="2121" customFormat="false" ht="15" hidden="false" customHeight="false" outlineLevel="0" collapsed="false">
      <c r="A2121" s="35" t="s">
        <v>5300</v>
      </c>
      <c r="B2121" s="35" t="s">
        <v>5301</v>
      </c>
      <c r="C2121" s="35" t="s">
        <v>48</v>
      </c>
      <c r="D2121" s="35" t="s">
        <v>46</v>
      </c>
      <c r="E2121" s="35" t="s">
        <v>689</v>
      </c>
      <c r="F2121" s="35"/>
      <c r="G2121" s="35" t="s">
        <v>683</v>
      </c>
      <c r="H2121" s="35" t="s">
        <v>61</v>
      </c>
      <c r="I2121" s="4"/>
    </row>
    <row r="2122" customFormat="false" ht="15" hidden="false" customHeight="false" outlineLevel="0" collapsed="false">
      <c r="A2122" s="35" t="s">
        <v>5302</v>
      </c>
      <c r="B2122" s="35" t="s">
        <v>5303</v>
      </c>
      <c r="C2122" s="35" t="s">
        <v>48</v>
      </c>
      <c r="D2122" s="35" t="s">
        <v>46</v>
      </c>
      <c r="E2122" s="35" t="s">
        <v>1204</v>
      </c>
      <c r="F2122" s="35"/>
      <c r="G2122" s="35" t="s">
        <v>698</v>
      </c>
      <c r="H2122" s="35" t="s">
        <v>61</v>
      </c>
      <c r="I2122" s="4"/>
    </row>
    <row r="2123" customFormat="false" ht="15" hidden="false" customHeight="false" outlineLevel="0" collapsed="false">
      <c r="A2123" s="35" t="s">
        <v>1691</v>
      </c>
      <c r="B2123" s="35" t="s">
        <v>5304</v>
      </c>
      <c r="C2123" s="35" t="s">
        <v>48</v>
      </c>
      <c r="D2123" s="35" t="s">
        <v>46</v>
      </c>
      <c r="E2123" s="35" t="s">
        <v>1690</v>
      </c>
      <c r="F2123" s="35"/>
      <c r="G2123" s="35" t="s">
        <v>683</v>
      </c>
      <c r="H2123" s="35" t="s">
        <v>61</v>
      </c>
      <c r="I2123" s="4"/>
    </row>
    <row r="2124" customFormat="false" ht="15" hidden="false" customHeight="false" outlineLevel="0" collapsed="false">
      <c r="A2124" s="35" t="s">
        <v>5305</v>
      </c>
      <c r="B2124" s="35" t="s">
        <v>5306</v>
      </c>
      <c r="C2124" s="35" t="s">
        <v>48</v>
      </c>
      <c r="D2124" s="35" t="s">
        <v>46</v>
      </c>
      <c r="E2124" s="35" t="s">
        <v>1016</v>
      </c>
      <c r="F2124" s="35"/>
      <c r="G2124" s="35" t="s">
        <v>683</v>
      </c>
      <c r="H2124" s="35" t="s">
        <v>61</v>
      </c>
      <c r="I2124" s="4"/>
    </row>
    <row r="2125" customFormat="false" ht="15" hidden="false" customHeight="false" outlineLevel="0" collapsed="false">
      <c r="A2125" s="35" t="s">
        <v>1693</v>
      </c>
      <c r="B2125" s="35" t="s">
        <v>5307</v>
      </c>
      <c r="C2125" s="35" t="s">
        <v>48</v>
      </c>
      <c r="D2125" s="35" t="s">
        <v>46</v>
      </c>
      <c r="E2125" s="35" t="s">
        <v>1692</v>
      </c>
      <c r="F2125" s="35"/>
      <c r="G2125" s="35" t="s">
        <v>683</v>
      </c>
      <c r="H2125" s="35" t="s">
        <v>61</v>
      </c>
      <c r="I2125" s="4"/>
    </row>
    <row r="2126" customFormat="false" ht="15" hidden="false" customHeight="false" outlineLevel="0" collapsed="false">
      <c r="A2126" s="35" t="s">
        <v>5308</v>
      </c>
      <c r="B2126" s="35" t="s">
        <v>5309</v>
      </c>
      <c r="C2126" s="35" t="s">
        <v>48</v>
      </c>
      <c r="D2126" s="35" t="s">
        <v>46</v>
      </c>
      <c r="E2126" s="35" t="s">
        <v>725</v>
      </c>
      <c r="F2126" s="35"/>
      <c r="G2126" s="35" t="s">
        <v>421</v>
      </c>
      <c r="H2126" s="35" t="s">
        <v>61</v>
      </c>
      <c r="I2126" s="4"/>
    </row>
    <row r="2127" customFormat="false" ht="15" hidden="false" customHeight="false" outlineLevel="0" collapsed="false">
      <c r="A2127" s="35" t="s">
        <v>5310</v>
      </c>
      <c r="B2127" s="35" t="s">
        <v>5311</v>
      </c>
      <c r="C2127" s="35" t="s">
        <v>48</v>
      </c>
      <c r="D2127" s="35" t="s">
        <v>46</v>
      </c>
      <c r="E2127" s="35" t="s">
        <v>302</v>
      </c>
      <c r="F2127" s="35"/>
      <c r="G2127" s="35" t="s">
        <v>683</v>
      </c>
      <c r="H2127" s="35" t="s">
        <v>61</v>
      </c>
      <c r="I2127" s="4"/>
    </row>
    <row r="2128" customFormat="false" ht="15" hidden="false" customHeight="false" outlineLevel="0" collapsed="false">
      <c r="A2128" s="35" t="s">
        <v>1732</v>
      </c>
      <c r="B2128" s="35" t="s">
        <v>5312</v>
      </c>
      <c r="C2128" s="35" t="s">
        <v>48</v>
      </c>
      <c r="D2128" s="35" t="s">
        <v>46</v>
      </c>
      <c r="E2128" s="35" t="s">
        <v>1731</v>
      </c>
      <c r="F2128" s="35"/>
      <c r="G2128" s="35" t="s">
        <v>698</v>
      </c>
      <c r="H2128" s="35" t="s">
        <v>61</v>
      </c>
      <c r="I2128" s="4"/>
    </row>
    <row r="2129" customFormat="false" ht="15" hidden="false" customHeight="false" outlineLevel="0" collapsed="false">
      <c r="A2129" s="35" t="s">
        <v>1745</v>
      </c>
      <c r="B2129" s="35" t="s">
        <v>5313</v>
      </c>
      <c r="C2129" s="35" t="s">
        <v>48</v>
      </c>
      <c r="D2129" s="35" t="s">
        <v>46</v>
      </c>
      <c r="E2129" s="35" t="s">
        <v>1744</v>
      </c>
      <c r="F2129" s="35"/>
      <c r="G2129" s="35" t="s">
        <v>683</v>
      </c>
      <c r="H2129" s="35" t="s">
        <v>61</v>
      </c>
      <c r="I2129" s="4"/>
    </row>
    <row r="2130" customFormat="false" ht="15" hidden="false" customHeight="false" outlineLevel="0" collapsed="false">
      <c r="A2130" s="35" t="s">
        <v>1747</v>
      </c>
      <c r="B2130" s="35" t="s">
        <v>5314</v>
      </c>
      <c r="C2130" s="35" t="s">
        <v>48</v>
      </c>
      <c r="D2130" s="35" t="s">
        <v>46</v>
      </c>
      <c r="E2130" s="35" t="s">
        <v>1746</v>
      </c>
      <c r="F2130" s="35"/>
      <c r="G2130" s="35" t="s">
        <v>698</v>
      </c>
      <c r="H2130" s="35" t="s">
        <v>61</v>
      </c>
      <c r="I2130" s="4"/>
    </row>
    <row r="2131" customFormat="false" ht="15" hidden="false" customHeight="false" outlineLevel="0" collapsed="false">
      <c r="A2131" s="35" t="s">
        <v>1753</v>
      </c>
      <c r="B2131" s="35" t="s">
        <v>5315</v>
      </c>
      <c r="C2131" s="35" t="s">
        <v>48</v>
      </c>
      <c r="D2131" s="35" t="s">
        <v>46</v>
      </c>
      <c r="E2131" s="35" t="s">
        <v>1752</v>
      </c>
      <c r="F2131" s="35"/>
      <c r="G2131" s="35" t="s">
        <v>683</v>
      </c>
      <c r="H2131" s="35" t="s">
        <v>61</v>
      </c>
      <c r="I2131" s="4"/>
    </row>
    <row r="2132" customFormat="false" ht="15" hidden="false" customHeight="false" outlineLevel="0" collapsed="false">
      <c r="A2132" s="35" t="s">
        <v>1781</v>
      </c>
      <c r="B2132" s="35" t="s">
        <v>5316</v>
      </c>
      <c r="C2132" s="35" t="s">
        <v>48</v>
      </c>
      <c r="D2132" s="35" t="s">
        <v>46</v>
      </c>
      <c r="E2132" s="35" t="s">
        <v>1780</v>
      </c>
      <c r="F2132" s="35"/>
      <c r="G2132" s="35" t="s">
        <v>683</v>
      </c>
      <c r="H2132" s="35" t="s">
        <v>61</v>
      </c>
      <c r="I2132" s="4"/>
    </row>
    <row r="2133" customFormat="false" ht="15" hidden="false" customHeight="false" outlineLevel="0" collapsed="false">
      <c r="A2133" s="35" t="s">
        <v>1783</v>
      </c>
      <c r="B2133" s="35" t="s">
        <v>5317</v>
      </c>
      <c r="C2133" s="35" t="s">
        <v>48</v>
      </c>
      <c r="D2133" s="35" t="s">
        <v>46</v>
      </c>
      <c r="E2133" s="35" t="s">
        <v>1782</v>
      </c>
      <c r="F2133" s="35"/>
      <c r="G2133" s="35" t="s">
        <v>698</v>
      </c>
      <c r="H2133" s="35" t="s">
        <v>61</v>
      </c>
      <c r="I2133" s="4"/>
    </row>
    <row r="2134" customFormat="false" ht="15" hidden="false" customHeight="false" outlineLevel="0" collapsed="false">
      <c r="A2134" s="35" t="s">
        <v>1787</v>
      </c>
      <c r="B2134" s="35" t="s">
        <v>5318</v>
      </c>
      <c r="C2134" s="35" t="s">
        <v>48</v>
      </c>
      <c r="D2134" s="35" t="s">
        <v>46</v>
      </c>
      <c r="E2134" s="35" t="s">
        <v>1786</v>
      </c>
      <c r="F2134" s="35"/>
      <c r="G2134" s="35" t="s">
        <v>421</v>
      </c>
      <c r="H2134" s="35" t="s">
        <v>61</v>
      </c>
      <c r="I2134" s="4"/>
    </row>
    <row r="2135" customFormat="false" ht="15" hidden="false" customHeight="false" outlineLevel="0" collapsed="false">
      <c r="A2135" s="35" t="s">
        <v>5319</v>
      </c>
      <c r="B2135" s="35" t="s">
        <v>5320</v>
      </c>
      <c r="C2135" s="35" t="s">
        <v>48</v>
      </c>
      <c r="D2135" s="35" t="s">
        <v>46</v>
      </c>
      <c r="E2135" s="35" t="s">
        <v>261</v>
      </c>
      <c r="F2135" s="35"/>
      <c r="G2135" s="35" t="s">
        <v>683</v>
      </c>
      <c r="H2135" s="35" t="s">
        <v>61</v>
      </c>
      <c r="I2135" s="4"/>
    </row>
    <row r="2136" customFormat="false" ht="15" hidden="false" customHeight="false" outlineLevel="0" collapsed="false">
      <c r="A2136" s="35" t="s">
        <v>5321</v>
      </c>
      <c r="B2136" s="35" t="s">
        <v>5322</v>
      </c>
      <c r="C2136" s="35" t="s">
        <v>48</v>
      </c>
      <c r="D2136" s="35" t="s">
        <v>46</v>
      </c>
      <c r="E2136" s="35" t="s">
        <v>1239</v>
      </c>
      <c r="F2136" s="35"/>
      <c r="G2136" s="35" t="s">
        <v>683</v>
      </c>
      <c r="H2136" s="35" t="s">
        <v>61</v>
      </c>
      <c r="I2136" s="4"/>
    </row>
    <row r="2137" customFormat="false" ht="15" hidden="false" customHeight="false" outlineLevel="0" collapsed="false">
      <c r="A2137" s="35" t="s">
        <v>5323</v>
      </c>
      <c r="B2137" s="35" t="s">
        <v>5324</v>
      </c>
      <c r="C2137" s="35" t="s">
        <v>48</v>
      </c>
      <c r="D2137" s="35" t="s">
        <v>46</v>
      </c>
      <c r="E2137" s="35" t="s">
        <v>136</v>
      </c>
      <c r="F2137" s="35"/>
      <c r="G2137" s="35" t="s">
        <v>683</v>
      </c>
      <c r="H2137" s="35" t="s">
        <v>61</v>
      </c>
      <c r="I2137" s="4"/>
    </row>
    <row r="2138" customFormat="false" ht="15" hidden="false" customHeight="false" outlineLevel="0" collapsed="false">
      <c r="A2138" s="35" t="s">
        <v>5325</v>
      </c>
      <c r="B2138" s="35" t="s">
        <v>5326</v>
      </c>
      <c r="C2138" s="35" t="s">
        <v>48</v>
      </c>
      <c r="D2138" s="35" t="s">
        <v>46</v>
      </c>
      <c r="E2138" s="35" t="s">
        <v>953</v>
      </c>
      <c r="F2138" s="35"/>
      <c r="G2138" s="35" t="s">
        <v>683</v>
      </c>
      <c r="H2138" s="35" t="s">
        <v>61</v>
      </c>
      <c r="I2138" s="4"/>
    </row>
    <row r="2139" customFormat="false" ht="15" hidden="false" customHeight="false" outlineLevel="0" collapsed="false">
      <c r="A2139" s="35" t="s">
        <v>5327</v>
      </c>
      <c r="B2139" s="35" t="s">
        <v>5328</v>
      </c>
      <c r="C2139" s="35" t="s">
        <v>48</v>
      </c>
      <c r="D2139" s="35" t="s">
        <v>46</v>
      </c>
      <c r="E2139" s="35" t="s">
        <v>938</v>
      </c>
      <c r="F2139" s="35"/>
      <c r="G2139" s="35" t="s">
        <v>683</v>
      </c>
      <c r="H2139" s="35" t="s">
        <v>61</v>
      </c>
      <c r="I2139" s="4"/>
    </row>
    <row r="2140" customFormat="false" ht="15" hidden="false" customHeight="false" outlineLevel="0" collapsed="false">
      <c r="A2140" s="35" t="s">
        <v>5329</v>
      </c>
      <c r="B2140" s="35" t="s">
        <v>5330</v>
      </c>
      <c r="C2140" s="35" t="s">
        <v>48</v>
      </c>
      <c r="D2140" s="35" t="s">
        <v>46</v>
      </c>
      <c r="E2140" s="35" t="s">
        <v>102</v>
      </c>
      <c r="F2140" s="35"/>
      <c r="G2140" s="35" t="s">
        <v>683</v>
      </c>
      <c r="H2140" s="35" t="s">
        <v>61</v>
      </c>
      <c r="I2140" s="4"/>
    </row>
    <row r="2141" customFormat="false" ht="15" hidden="false" customHeight="false" outlineLevel="0" collapsed="false">
      <c r="A2141" s="35" t="s">
        <v>5331</v>
      </c>
      <c r="B2141" s="35" t="s">
        <v>5332</v>
      </c>
      <c r="C2141" s="35" t="s">
        <v>48</v>
      </c>
      <c r="D2141" s="35" t="s">
        <v>146</v>
      </c>
      <c r="E2141" s="35"/>
      <c r="F2141" s="35"/>
      <c r="G2141" s="35" t="s">
        <v>444</v>
      </c>
      <c r="H2141" s="35" t="s">
        <v>61</v>
      </c>
      <c r="I2141" s="4"/>
    </row>
    <row r="2142" customFormat="false" ht="15" hidden="false" customHeight="false" outlineLevel="0" collapsed="false">
      <c r="A2142" s="35" t="s">
        <v>5333</v>
      </c>
      <c r="B2142" s="35" t="s">
        <v>5334</v>
      </c>
      <c r="C2142" s="35" t="s">
        <v>48</v>
      </c>
      <c r="D2142" s="35" t="s">
        <v>57</v>
      </c>
      <c r="E2142" s="35" t="s">
        <v>874</v>
      </c>
      <c r="F2142" s="35"/>
      <c r="G2142" s="35" t="s">
        <v>87</v>
      </c>
      <c r="H2142" s="35" t="s">
        <v>61</v>
      </c>
      <c r="I2142" s="4"/>
    </row>
    <row r="2143" customFormat="false" ht="15" hidden="false" customHeight="false" outlineLevel="0" collapsed="false">
      <c r="A2143" s="35" t="s">
        <v>5335</v>
      </c>
      <c r="B2143" s="35" t="s">
        <v>5336</v>
      </c>
      <c r="C2143" s="35" t="s">
        <v>48</v>
      </c>
      <c r="D2143" s="35" t="s">
        <v>57</v>
      </c>
      <c r="E2143" s="35" t="s">
        <v>874</v>
      </c>
      <c r="F2143" s="35"/>
      <c r="G2143" s="35" t="s">
        <v>87</v>
      </c>
      <c r="H2143" s="35" t="s">
        <v>61</v>
      </c>
      <c r="I2143" s="4"/>
    </row>
    <row r="2144" customFormat="false" ht="15" hidden="false" customHeight="false" outlineLevel="0" collapsed="false">
      <c r="A2144" s="35" t="s">
        <v>5337</v>
      </c>
      <c r="B2144" s="35" t="s">
        <v>5338</v>
      </c>
      <c r="C2144" s="35" t="s">
        <v>48</v>
      </c>
      <c r="D2144" s="35" t="s">
        <v>57</v>
      </c>
      <c r="E2144" s="35" t="s">
        <v>874</v>
      </c>
      <c r="F2144" s="35"/>
      <c r="G2144" s="35" t="s">
        <v>87</v>
      </c>
      <c r="H2144" s="35" t="s">
        <v>61</v>
      </c>
      <c r="I2144" s="4"/>
    </row>
    <row r="2145" customFormat="false" ht="15" hidden="false" customHeight="false" outlineLevel="0" collapsed="false">
      <c r="A2145" s="35" t="s">
        <v>5339</v>
      </c>
      <c r="B2145" s="35" t="s">
        <v>5340</v>
      </c>
      <c r="C2145" s="35" t="s">
        <v>48</v>
      </c>
      <c r="D2145" s="35" t="s">
        <v>57</v>
      </c>
      <c r="E2145" s="35" t="s">
        <v>874</v>
      </c>
      <c r="F2145" s="35"/>
      <c r="G2145" s="35" t="s">
        <v>87</v>
      </c>
      <c r="H2145" s="35" t="s">
        <v>61</v>
      </c>
      <c r="I2145" s="4"/>
    </row>
    <row r="2146" customFormat="false" ht="15" hidden="false" customHeight="false" outlineLevel="0" collapsed="false">
      <c r="A2146" s="35" t="s">
        <v>247</v>
      </c>
      <c r="B2146" s="35" t="s">
        <v>248</v>
      </c>
      <c r="C2146" s="35" t="s">
        <v>48</v>
      </c>
      <c r="D2146" s="35" t="s">
        <v>57</v>
      </c>
      <c r="E2146" s="35" t="s">
        <v>247</v>
      </c>
      <c r="F2146" s="35"/>
      <c r="G2146" s="35" t="s">
        <v>119</v>
      </c>
      <c r="H2146" s="35" t="s">
        <v>61</v>
      </c>
      <c r="I2146" s="4" t="s">
        <v>2025</v>
      </c>
    </row>
    <row r="2147" customFormat="false" ht="15" hidden="false" customHeight="false" outlineLevel="0" collapsed="false">
      <c r="A2147" s="35" t="s">
        <v>250</v>
      </c>
      <c r="B2147" s="35" t="s">
        <v>251</v>
      </c>
      <c r="C2147" s="35" t="s">
        <v>48</v>
      </c>
      <c r="D2147" s="35" t="s">
        <v>53</v>
      </c>
      <c r="E2147" s="35"/>
      <c r="F2147" s="35"/>
      <c r="G2147" s="35" t="s">
        <v>119</v>
      </c>
      <c r="H2147" s="35" t="s">
        <v>61</v>
      </c>
      <c r="I2147" s="4" t="s">
        <v>2025</v>
      </c>
    </row>
    <row r="2148" customFormat="false" ht="15" hidden="false" customHeight="false" outlineLevel="0" collapsed="false">
      <c r="A2148" s="35" t="s">
        <v>5341</v>
      </c>
      <c r="B2148" s="35" t="s">
        <v>5342</v>
      </c>
      <c r="C2148" s="35" t="s">
        <v>48</v>
      </c>
      <c r="D2148" s="35" t="s">
        <v>107</v>
      </c>
      <c r="E2148" s="35" t="s">
        <v>136</v>
      </c>
      <c r="F2148" s="35"/>
      <c r="G2148" s="35" t="s">
        <v>49</v>
      </c>
      <c r="H2148" s="35" t="s">
        <v>49</v>
      </c>
      <c r="I2148" s="4"/>
    </row>
    <row r="2149" customFormat="false" ht="15" hidden="false" customHeight="false" outlineLevel="0" collapsed="false">
      <c r="A2149" s="35" t="s">
        <v>5343</v>
      </c>
      <c r="B2149" s="35" t="s">
        <v>5344</v>
      </c>
      <c r="C2149" s="35" t="s">
        <v>48</v>
      </c>
      <c r="D2149" s="35" t="s">
        <v>107</v>
      </c>
      <c r="E2149" s="35" t="s">
        <v>136</v>
      </c>
      <c r="F2149" s="35"/>
      <c r="G2149" s="35" t="s">
        <v>49</v>
      </c>
      <c r="H2149" s="35" t="s">
        <v>49</v>
      </c>
      <c r="I2149" s="4"/>
    </row>
    <row r="2150" customFormat="false" ht="15" hidden="false" customHeight="false" outlineLevel="0" collapsed="false">
      <c r="A2150" s="35" t="s">
        <v>938</v>
      </c>
      <c r="B2150" s="35" t="s">
        <v>5345</v>
      </c>
      <c r="C2150" s="35" t="s">
        <v>48</v>
      </c>
      <c r="D2150" s="35" t="s">
        <v>57</v>
      </c>
      <c r="E2150" s="35" t="s">
        <v>938</v>
      </c>
      <c r="F2150" s="35"/>
      <c r="G2150" s="35" t="s">
        <v>119</v>
      </c>
      <c r="H2150" s="35" t="s">
        <v>61</v>
      </c>
      <c r="I2150" s="4"/>
    </row>
    <row r="2151" customFormat="false" ht="15" hidden="false" customHeight="false" outlineLevel="0" collapsed="false">
      <c r="A2151" s="35" t="s">
        <v>5346</v>
      </c>
      <c r="B2151" s="35" t="s">
        <v>5347</v>
      </c>
      <c r="C2151" s="35" t="s">
        <v>48</v>
      </c>
      <c r="D2151" s="35" t="s">
        <v>107</v>
      </c>
      <c r="E2151" s="35" t="s">
        <v>247</v>
      </c>
      <c r="F2151" s="35" t="s">
        <v>3604</v>
      </c>
      <c r="G2151" s="35" t="s">
        <v>685</v>
      </c>
      <c r="H2151" s="35" t="s">
        <v>61</v>
      </c>
      <c r="I2151" s="4"/>
    </row>
    <row r="2152" customFormat="false" ht="15" hidden="false" customHeight="false" outlineLevel="0" collapsed="false">
      <c r="A2152" s="35" t="s">
        <v>5348</v>
      </c>
      <c r="B2152" s="35" t="s">
        <v>5349</v>
      </c>
      <c r="C2152" s="35" t="s">
        <v>48</v>
      </c>
      <c r="D2152" s="35" t="s">
        <v>107</v>
      </c>
      <c r="E2152" s="35" t="s">
        <v>247</v>
      </c>
      <c r="F2152" s="35" t="s">
        <v>2147</v>
      </c>
      <c r="G2152" s="35" t="s">
        <v>697</v>
      </c>
      <c r="H2152" s="35" t="s">
        <v>61</v>
      </c>
      <c r="I2152" s="4"/>
    </row>
    <row r="2153" customFormat="false" ht="15" hidden="false" customHeight="false" outlineLevel="0" collapsed="false">
      <c r="A2153" s="35" t="s">
        <v>5350</v>
      </c>
      <c r="B2153" s="35" t="s">
        <v>5351</v>
      </c>
      <c r="C2153" s="35" t="s">
        <v>48</v>
      </c>
      <c r="D2153" s="35" t="s">
        <v>107</v>
      </c>
      <c r="E2153" s="35" t="s">
        <v>1197</v>
      </c>
      <c r="F2153" s="35"/>
      <c r="G2153" s="35" t="s">
        <v>49</v>
      </c>
      <c r="H2153" s="35" t="s">
        <v>49</v>
      </c>
      <c r="I2153" s="4"/>
    </row>
    <row r="2154" customFormat="false" ht="15" hidden="false" customHeight="false" outlineLevel="0" collapsed="false">
      <c r="A2154" s="35" t="s">
        <v>5352</v>
      </c>
      <c r="B2154" s="35" t="s">
        <v>5353</v>
      </c>
      <c r="C2154" s="35" t="s">
        <v>48</v>
      </c>
      <c r="D2154" s="35" t="s">
        <v>107</v>
      </c>
      <c r="E2154" s="35" t="s">
        <v>1197</v>
      </c>
      <c r="F2154" s="35"/>
      <c r="G2154" s="35" t="s">
        <v>49</v>
      </c>
      <c r="H2154" s="35" t="s">
        <v>49</v>
      </c>
      <c r="I2154" s="4"/>
    </row>
    <row r="2155" customFormat="false" ht="15" hidden="false" customHeight="false" outlineLevel="0" collapsed="false">
      <c r="A2155" s="35" t="s">
        <v>568</v>
      </c>
      <c r="B2155" s="35" t="s">
        <v>570</v>
      </c>
      <c r="C2155" s="35" t="s">
        <v>48</v>
      </c>
      <c r="D2155" s="35" t="s">
        <v>57</v>
      </c>
      <c r="E2155" s="35" t="s">
        <v>569</v>
      </c>
      <c r="F2155" s="35"/>
      <c r="G2155" s="35" t="s">
        <v>571</v>
      </c>
      <c r="H2155" s="35" t="s">
        <v>245</v>
      </c>
      <c r="I2155" s="4" t="s">
        <v>2025</v>
      </c>
    </row>
    <row r="2156" customFormat="false" ht="15" hidden="false" customHeight="false" outlineLevel="0" collapsed="false">
      <c r="A2156" s="35" t="s">
        <v>5354</v>
      </c>
      <c r="B2156" s="35" t="s">
        <v>5355</v>
      </c>
      <c r="C2156" s="35" t="s">
        <v>48</v>
      </c>
      <c r="D2156" s="35" t="s">
        <v>57</v>
      </c>
      <c r="E2156" s="35" t="s">
        <v>569</v>
      </c>
      <c r="F2156" s="35"/>
      <c r="G2156" s="35" t="s">
        <v>555</v>
      </c>
      <c r="H2156" s="35" t="s">
        <v>61</v>
      </c>
      <c r="I2156" s="4"/>
    </row>
    <row r="2157" customFormat="false" ht="15" hidden="false" customHeight="false" outlineLevel="0" collapsed="false">
      <c r="A2157" s="35" t="s">
        <v>5356</v>
      </c>
      <c r="B2157" s="35" t="s">
        <v>5357</v>
      </c>
      <c r="C2157" s="35" t="s">
        <v>48</v>
      </c>
      <c r="D2157" s="35" t="s">
        <v>57</v>
      </c>
      <c r="E2157" s="35" t="s">
        <v>569</v>
      </c>
      <c r="F2157" s="35"/>
      <c r="G2157" s="35" t="s">
        <v>555</v>
      </c>
      <c r="H2157" s="35" t="s">
        <v>61</v>
      </c>
      <c r="I2157" s="4"/>
    </row>
    <row r="2158" customFormat="false" ht="15" hidden="false" customHeight="false" outlineLevel="0" collapsed="false">
      <c r="A2158" s="35" t="s">
        <v>5358</v>
      </c>
      <c r="B2158" s="35" t="s">
        <v>5359</v>
      </c>
      <c r="C2158" s="35" t="s">
        <v>48</v>
      </c>
      <c r="D2158" s="35" t="s">
        <v>57</v>
      </c>
      <c r="E2158" s="35" t="s">
        <v>973</v>
      </c>
      <c r="F2158" s="35"/>
      <c r="G2158" s="35" t="s">
        <v>571</v>
      </c>
      <c r="H2158" s="35" t="s">
        <v>61</v>
      </c>
      <c r="I2158" s="4"/>
    </row>
    <row r="2159" customFormat="false" ht="15" hidden="false" customHeight="false" outlineLevel="0" collapsed="false">
      <c r="A2159" s="35" t="s">
        <v>5360</v>
      </c>
      <c r="B2159" s="35" t="s">
        <v>5361</v>
      </c>
      <c r="C2159" s="35" t="s">
        <v>48</v>
      </c>
      <c r="D2159" s="35" t="s">
        <v>53</v>
      </c>
      <c r="E2159" s="35"/>
      <c r="F2159" s="35"/>
      <c r="G2159" s="35" t="s">
        <v>571</v>
      </c>
      <c r="H2159" s="35" t="s">
        <v>61</v>
      </c>
      <c r="I2159" s="4"/>
    </row>
    <row r="2160" customFormat="false" ht="15" hidden="false" customHeight="false" outlineLevel="0" collapsed="false">
      <c r="A2160" s="35" t="s">
        <v>668</v>
      </c>
      <c r="B2160" s="35" t="s">
        <v>5362</v>
      </c>
      <c r="C2160" s="35" t="s">
        <v>48</v>
      </c>
      <c r="D2160" s="35" t="s">
        <v>665</v>
      </c>
      <c r="E2160" s="35"/>
      <c r="F2160" s="35"/>
      <c r="G2160" s="35" t="s">
        <v>571</v>
      </c>
      <c r="H2160" s="35" t="s">
        <v>245</v>
      </c>
      <c r="I2160" s="4"/>
    </row>
    <row r="2161" customFormat="false" ht="15" hidden="false" customHeight="false" outlineLevel="0" collapsed="false">
      <c r="A2161" s="35" t="s">
        <v>5363</v>
      </c>
      <c r="B2161" s="35" t="s">
        <v>5364</v>
      </c>
      <c r="C2161" s="35" t="s">
        <v>48</v>
      </c>
      <c r="D2161" s="35" t="s">
        <v>665</v>
      </c>
      <c r="E2161" s="35"/>
      <c r="F2161" s="35"/>
      <c r="G2161" s="35" t="s">
        <v>571</v>
      </c>
      <c r="H2161" s="35" t="s">
        <v>245</v>
      </c>
      <c r="I2161" s="4"/>
    </row>
    <row r="2162" customFormat="false" ht="15" hidden="false" customHeight="false" outlineLevel="0" collapsed="false">
      <c r="A2162" s="35" t="s">
        <v>5365</v>
      </c>
      <c r="B2162" s="35" t="s">
        <v>5366</v>
      </c>
      <c r="C2162" s="35" t="s">
        <v>48</v>
      </c>
      <c r="D2162" s="35" t="s">
        <v>107</v>
      </c>
      <c r="E2162" s="35" t="s">
        <v>973</v>
      </c>
      <c r="F2162" s="35"/>
      <c r="G2162" s="35" t="s">
        <v>571</v>
      </c>
      <c r="H2162" s="35" t="s">
        <v>61</v>
      </c>
      <c r="I2162" s="4"/>
    </row>
    <row r="2163" customFormat="false" ht="15" hidden="false" customHeight="false" outlineLevel="0" collapsed="false">
      <c r="A2163" s="35" t="s">
        <v>5367</v>
      </c>
      <c r="B2163" s="35" t="s">
        <v>5368</v>
      </c>
      <c r="C2163" s="35" t="s">
        <v>48</v>
      </c>
      <c r="D2163" s="35" t="s">
        <v>107</v>
      </c>
      <c r="E2163" s="35" t="s">
        <v>973</v>
      </c>
      <c r="F2163" s="35"/>
      <c r="G2163" s="35" t="s">
        <v>571</v>
      </c>
      <c r="H2163" s="35" t="s">
        <v>61</v>
      </c>
      <c r="I2163" s="4"/>
    </row>
    <row r="2164" customFormat="false" ht="15" hidden="false" customHeight="false" outlineLevel="0" collapsed="false">
      <c r="A2164" s="35" t="s">
        <v>5369</v>
      </c>
      <c r="B2164" s="35" t="s">
        <v>5370</v>
      </c>
      <c r="C2164" s="35" t="s">
        <v>48</v>
      </c>
      <c r="D2164" s="35" t="s">
        <v>114</v>
      </c>
      <c r="E2164" s="35"/>
      <c r="F2164" s="35"/>
      <c r="G2164" s="35" t="s">
        <v>571</v>
      </c>
      <c r="H2164" s="35" t="s">
        <v>61</v>
      </c>
      <c r="I2164" s="4"/>
    </row>
    <row r="2165" customFormat="false" ht="15" hidden="false" customHeight="false" outlineLevel="0" collapsed="false">
      <c r="A2165" s="35" t="s">
        <v>724</v>
      </c>
      <c r="B2165" s="35" t="s">
        <v>5371</v>
      </c>
      <c r="C2165" s="35" t="s">
        <v>48</v>
      </c>
      <c r="D2165" s="35" t="s">
        <v>57</v>
      </c>
      <c r="E2165" s="35" t="s">
        <v>724</v>
      </c>
      <c r="F2165" s="35"/>
      <c r="G2165" s="35" t="s">
        <v>724</v>
      </c>
      <c r="H2165" s="35" t="s">
        <v>61</v>
      </c>
      <c r="I2165" s="4"/>
    </row>
    <row r="2166" customFormat="false" ht="15" hidden="false" customHeight="false" outlineLevel="0" collapsed="false">
      <c r="A2166" s="35" t="s">
        <v>5372</v>
      </c>
      <c r="B2166" s="35" t="s">
        <v>5373</v>
      </c>
      <c r="C2166" s="35" t="s">
        <v>48</v>
      </c>
      <c r="D2166" s="35" t="s">
        <v>57</v>
      </c>
      <c r="E2166" s="35" t="s">
        <v>951</v>
      </c>
      <c r="F2166" s="35"/>
      <c r="G2166" s="35" t="s">
        <v>87</v>
      </c>
      <c r="H2166" s="35" t="s">
        <v>61</v>
      </c>
      <c r="I2166" s="4"/>
    </row>
    <row r="2167" customFormat="false" ht="15" hidden="false" customHeight="false" outlineLevel="0" collapsed="false">
      <c r="A2167" s="35" t="s">
        <v>5374</v>
      </c>
      <c r="B2167" s="35" t="s">
        <v>5375</v>
      </c>
      <c r="C2167" s="35" t="s">
        <v>48</v>
      </c>
      <c r="D2167" s="35" t="s">
        <v>53</v>
      </c>
      <c r="E2167" s="35"/>
      <c r="F2167" s="35"/>
      <c r="G2167" s="35" t="s">
        <v>691</v>
      </c>
      <c r="H2167" s="35" t="s">
        <v>61</v>
      </c>
      <c r="I2167" s="4"/>
    </row>
    <row r="2168" customFormat="false" ht="15" hidden="false" customHeight="false" outlineLevel="0" collapsed="false">
      <c r="A2168" s="35" t="s">
        <v>5376</v>
      </c>
      <c r="B2168" s="35" t="s">
        <v>5377</v>
      </c>
      <c r="C2168" s="35" t="s">
        <v>48</v>
      </c>
      <c r="D2168" s="35" t="s">
        <v>53</v>
      </c>
      <c r="E2168" s="35"/>
      <c r="F2168" s="35"/>
      <c r="G2168" s="35" t="s">
        <v>99</v>
      </c>
      <c r="H2168" s="35" t="s">
        <v>61</v>
      </c>
      <c r="I2168" s="4"/>
    </row>
    <row r="2169" customFormat="false" ht="15" hidden="false" customHeight="false" outlineLevel="0" collapsed="false">
      <c r="A2169" s="35" t="s">
        <v>5378</v>
      </c>
      <c r="B2169" s="35" t="s">
        <v>5379</v>
      </c>
      <c r="C2169" s="35" t="s">
        <v>48</v>
      </c>
      <c r="D2169" s="35" t="s">
        <v>53</v>
      </c>
      <c r="E2169" s="35"/>
      <c r="F2169" s="35"/>
      <c r="G2169" s="35" t="s">
        <v>99</v>
      </c>
      <c r="H2169" s="35" t="s">
        <v>61</v>
      </c>
      <c r="I2169" s="4"/>
    </row>
    <row r="2170" customFormat="false" ht="15" hidden="false" customHeight="false" outlineLevel="0" collapsed="false">
      <c r="A2170" s="35" t="s">
        <v>5380</v>
      </c>
      <c r="B2170" s="35" t="s">
        <v>5381</v>
      </c>
      <c r="C2170" s="35" t="s">
        <v>48</v>
      </c>
      <c r="D2170" s="35" t="s">
        <v>53</v>
      </c>
      <c r="E2170" s="35"/>
      <c r="F2170" s="35"/>
      <c r="G2170" s="35" t="s">
        <v>99</v>
      </c>
      <c r="H2170" s="35" t="s">
        <v>61</v>
      </c>
      <c r="I2170" s="4"/>
    </row>
    <row r="2171" customFormat="false" ht="15" hidden="false" customHeight="false" outlineLevel="0" collapsed="false">
      <c r="A2171" s="35" t="s">
        <v>5382</v>
      </c>
      <c r="B2171" s="35" t="s">
        <v>5383</v>
      </c>
      <c r="C2171" s="35" t="s">
        <v>48</v>
      </c>
      <c r="D2171" s="35" t="s">
        <v>107</v>
      </c>
      <c r="E2171" s="35" t="s">
        <v>951</v>
      </c>
      <c r="F2171" s="35"/>
      <c r="G2171" s="35" t="s">
        <v>711</v>
      </c>
      <c r="H2171" s="35" t="s">
        <v>61</v>
      </c>
      <c r="I2171" s="4"/>
    </row>
    <row r="2172" customFormat="false" ht="15" hidden="false" customHeight="false" outlineLevel="0" collapsed="false">
      <c r="A2172" s="35" t="s">
        <v>5384</v>
      </c>
      <c r="B2172" s="35" t="s">
        <v>5385</v>
      </c>
      <c r="C2172" s="35" t="s">
        <v>48</v>
      </c>
      <c r="D2172" s="35" t="s">
        <v>53</v>
      </c>
      <c r="E2172" s="35"/>
      <c r="F2172" s="35"/>
      <c r="G2172" s="35" t="s">
        <v>691</v>
      </c>
      <c r="H2172" s="35" t="s">
        <v>61</v>
      </c>
      <c r="I2172" s="4"/>
    </row>
    <row r="2173" customFormat="false" ht="15" hidden="false" customHeight="false" outlineLevel="0" collapsed="false">
      <c r="A2173" s="35" t="s">
        <v>74</v>
      </c>
      <c r="B2173" s="35" t="s">
        <v>75</v>
      </c>
      <c r="C2173" s="35" t="s">
        <v>48</v>
      </c>
      <c r="D2173" s="35" t="s">
        <v>57</v>
      </c>
      <c r="E2173" s="35" t="s">
        <v>58</v>
      </c>
      <c r="F2173" s="35"/>
      <c r="G2173" s="35" t="s">
        <v>60</v>
      </c>
      <c r="H2173" s="35" t="s">
        <v>61</v>
      </c>
      <c r="I2173" s="4" t="s">
        <v>2025</v>
      </c>
    </row>
    <row r="2174" customFormat="false" ht="15" hidden="false" customHeight="false" outlineLevel="0" collapsed="false">
      <c r="A2174" s="35" t="s">
        <v>77</v>
      </c>
      <c r="B2174" s="35" t="s">
        <v>78</v>
      </c>
      <c r="C2174" s="35" t="s">
        <v>48</v>
      </c>
      <c r="D2174" s="35" t="s">
        <v>53</v>
      </c>
      <c r="E2174" s="35"/>
      <c r="F2174" s="35"/>
      <c r="G2174" s="35" t="s">
        <v>60</v>
      </c>
      <c r="H2174" s="35" t="s">
        <v>61</v>
      </c>
      <c r="I2174" s="4" t="s">
        <v>2025</v>
      </c>
    </row>
    <row r="2175" customFormat="false" ht="15" hidden="false" customHeight="false" outlineLevel="0" collapsed="false">
      <c r="A2175" s="35" t="s">
        <v>79</v>
      </c>
      <c r="B2175" s="35" t="s">
        <v>80</v>
      </c>
      <c r="C2175" s="35" t="s">
        <v>48</v>
      </c>
      <c r="D2175" s="35" t="s">
        <v>53</v>
      </c>
      <c r="E2175" s="35"/>
      <c r="F2175" s="35"/>
      <c r="G2175" s="35" t="s">
        <v>60</v>
      </c>
      <c r="H2175" s="35" t="s">
        <v>61</v>
      </c>
      <c r="I2175" s="4" t="s">
        <v>2025</v>
      </c>
    </row>
    <row r="2176" customFormat="false" ht="15" hidden="false" customHeight="false" outlineLevel="0" collapsed="false">
      <c r="A2176" s="35" t="s">
        <v>5386</v>
      </c>
      <c r="B2176" s="35" t="s">
        <v>5387</v>
      </c>
      <c r="C2176" s="35" t="s">
        <v>48</v>
      </c>
      <c r="D2176" s="35" t="s">
        <v>53</v>
      </c>
      <c r="E2176" s="35"/>
      <c r="F2176" s="35"/>
      <c r="G2176" s="35" t="s">
        <v>60</v>
      </c>
      <c r="H2176" s="35" t="s">
        <v>61</v>
      </c>
      <c r="I2176" s="4"/>
    </row>
    <row r="2177" customFormat="false" ht="15" hidden="false" customHeight="false" outlineLevel="0" collapsed="false">
      <c r="A2177" s="35" t="s">
        <v>5388</v>
      </c>
      <c r="B2177" s="35" t="s">
        <v>5389</v>
      </c>
      <c r="C2177" s="35" t="s">
        <v>48</v>
      </c>
      <c r="D2177" s="35" t="s">
        <v>53</v>
      </c>
      <c r="E2177" s="35"/>
      <c r="F2177" s="35"/>
      <c r="G2177" s="35" t="s">
        <v>60</v>
      </c>
      <c r="H2177" s="35" t="s">
        <v>61</v>
      </c>
      <c r="I2177" s="4"/>
    </row>
    <row r="2178" customFormat="false" ht="15" hidden="false" customHeight="false" outlineLevel="0" collapsed="false">
      <c r="A2178" s="35" t="s">
        <v>5390</v>
      </c>
      <c r="B2178" s="35" t="s">
        <v>5391</v>
      </c>
      <c r="C2178" s="35" t="s">
        <v>48</v>
      </c>
      <c r="D2178" s="35" t="s">
        <v>53</v>
      </c>
      <c r="E2178" s="35"/>
      <c r="F2178" s="35"/>
      <c r="G2178" s="35" t="s">
        <v>60</v>
      </c>
      <c r="H2178" s="35" t="s">
        <v>61</v>
      </c>
      <c r="I2178" s="4"/>
    </row>
    <row r="2179" customFormat="false" ht="15" hidden="false" customHeight="false" outlineLevel="0" collapsed="false">
      <c r="A2179" s="35" t="s">
        <v>5392</v>
      </c>
      <c r="B2179" s="35" t="s">
        <v>5393</v>
      </c>
      <c r="C2179" s="35" t="s">
        <v>48</v>
      </c>
      <c r="D2179" s="35" t="s">
        <v>53</v>
      </c>
      <c r="E2179" s="35"/>
      <c r="F2179" s="35"/>
      <c r="G2179" s="35" t="s">
        <v>60</v>
      </c>
      <c r="H2179" s="35" t="s">
        <v>61</v>
      </c>
      <c r="I2179" s="4"/>
    </row>
    <row r="2180" customFormat="false" ht="15" hidden="false" customHeight="false" outlineLevel="0" collapsed="false">
      <c r="A2180" s="35" t="s">
        <v>5394</v>
      </c>
      <c r="B2180" s="35" t="s">
        <v>5395</v>
      </c>
      <c r="C2180" s="35" t="s">
        <v>48</v>
      </c>
      <c r="D2180" s="35" t="s">
        <v>53</v>
      </c>
      <c r="E2180" s="35"/>
      <c r="F2180" s="35"/>
      <c r="G2180" s="35" t="s">
        <v>60</v>
      </c>
      <c r="H2180" s="35" t="s">
        <v>61</v>
      </c>
      <c r="I2180" s="4"/>
    </row>
    <row r="2181" customFormat="false" ht="15" hidden="false" customHeight="false" outlineLevel="0" collapsed="false">
      <c r="A2181" s="35" t="s">
        <v>5396</v>
      </c>
      <c r="B2181" s="35" t="s">
        <v>5397</v>
      </c>
      <c r="C2181" s="35" t="s">
        <v>48</v>
      </c>
      <c r="D2181" s="35" t="s">
        <v>53</v>
      </c>
      <c r="E2181" s="35"/>
      <c r="F2181" s="35"/>
      <c r="G2181" s="35" t="s">
        <v>60</v>
      </c>
      <c r="H2181" s="35" t="s">
        <v>61</v>
      </c>
      <c r="I2181" s="4"/>
    </row>
    <row r="2182" customFormat="false" ht="15" hidden="false" customHeight="false" outlineLevel="0" collapsed="false">
      <c r="A2182" s="35" t="s">
        <v>5398</v>
      </c>
      <c r="B2182" s="35" t="s">
        <v>5399</v>
      </c>
      <c r="C2182" s="35" t="s">
        <v>48</v>
      </c>
      <c r="D2182" s="35" t="s">
        <v>114</v>
      </c>
      <c r="E2182" s="35"/>
      <c r="F2182" s="35"/>
      <c r="G2182" s="35" t="s">
        <v>99</v>
      </c>
      <c r="H2182" s="35" t="s">
        <v>61</v>
      </c>
      <c r="I2182" s="4"/>
    </row>
    <row r="2183" customFormat="false" ht="15" hidden="false" customHeight="false" outlineLevel="0" collapsed="false">
      <c r="A2183" s="35" t="s">
        <v>5400</v>
      </c>
      <c r="B2183" s="35" t="s">
        <v>5401</v>
      </c>
      <c r="C2183" s="35" t="s">
        <v>48</v>
      </c>
      <c r="D2183" s="35" t="s">
        <v>53</v>
      </c>
      <c r="E2183" s="35"/>
      <c r="F2183" s="35"/>
      <c r="G2183" s="35" t="s">
        <v>99</v>
      </c>
      <c r="H2183" s="35" t="s">
        <v>61</v>
      </c>
      <c r="I2183" s="4"/>
    </row>
    <row r="2184" customFormat="false" ht="15" hidden="false" customHeight="false" outlineLevel="0" collapsed="false">
      <c r="A2184" s="35" t="s">
        <v>97</v>
      </c>
      <c r="B2184" s="35" t="s">
        <v>98</v>
      </c>
      <c r="C2184" s="35" t="s">
        <v>48</v>
      </c>
      <c r="D2184" s="35" t="s">
        <v>53</v>
      </c>
      <c r="E2184" s="35"/>
      <c r="F2184" s="35"/>
      <c r="G2184" s="35" t="s">
        <v>99</v>
      </c>
      <c r="H2184" s="35" t="s">
        <v>61</v>
      </c>
      <c r="I2184" s="4" t="s">
        <v>2025</v>
      </c>
    </row>
    <row r="2185" customFormat="false" ht="15" hidden="false" customHeight="false" outlineLevel="0" collapsed="false">
      <c r="A2185" s="35" t="s">
        <v>5402</v>
      </c>
      <c r="B2185" s="35" t="s">
        <v>5403</v>
      </c>
      <c r="C2185" s="35" t="s">
        <v>48</v>
      </c>
      <c r="D2185" s="35" t="s">
        <v>53</v>
      </c>
      <c r="E2185" s="35"/>
      <c r="F2185" s="35"/>
      <c r="G2185" s="35" t="s">
        <v>99</v>
      </c>
      <c r="H2185" s="35" t="s">
        <v>61</v>
      </c>
      <c r="I2185" s="4"/>
    </row>
    <row r="2186" customFormat="false" ht="15" hidden="false" customHeight="false" outlineLevel="0" collapsed="false">
      <c r="A2186" s="35" t="s">
        <v>5404</v>
      </c>
      <c r="B2186" s="35" t="s">
        <v>5405</v>
      </c>
      <c r="C2186" s="35" t="s">
        <v>48</v>
      </c>
      <c r="D2186" s="35" t="s">
        <v>53</v>
      </c>
      <c r="E2186" s="35"/>
      <c r="F2186" s="35"/>
      <c r="G2186" s="35" t="s">
        <v>99</v>
      </c>
      <c r="H2186" s="35" t="s">
        <v>61</v>
      </c>
      <c r="I2186" s="4"/>
    </row>
    <row r="2187" customFormat="false" ht="15" hidden="false" customHeight="false" outlineLevel="0" collapsed="false">
      <c r="A2187" s="35" t="s">
        <v>5406</v>
      </c>
      <c r="B2187" s="35" t="s">
        <v>5407</v>
      </c>
      <c r="C2187" s="35" t="s">
        <v>48</v>
      </c>
      <c r="D2187" s="35" t="s">
        <v>57</v>
      </c>
      <c r="E2187" s="35" t="s">
        <v>899</v>
      </c>
      <c r="F2187" s="35"/>
      <c r="G2187" s="35" t="s">
        <v>690</v>
      </c>
      <c r="H2187" s="35" t="s">
        <v>61</v>
      </c>
      <c r="I2187" s="4"/>
    </row>
    <row r="2188" customFormat="false" ht="15" hidden="false" customHeight="false" outlineLevel="0" collapsed="false">
      <c r="A2188" s="35" t="s">
        <v>5408</v>
      </c>
      <c r="B2188" s="35" t="s">
        <v>5409</v>
      </c>
      <c r="C2188" s="35" t="s">
        <v>48</v>
      </c>
      <c r="D2188" s="35" t="s">
        <v>53</v>
      </c>
      <c r="E2188" s="35"/>
      <c r="F2188" s="35"/>
      <c r="G2188" s="35" t="s">
        <v>337</v>
      </c>
      <c r="H2188" s="35" t="s">
        <v>61</v>
      </c>
      <c r="I2188" s="4"/>
    </row>
    <row r="2189" customFormat="false" ht="15" hidden="false" customHeight="false" outlineLevel="0" collapsed="false">
      <c r="A2189" s="35" t="s">
        <v>5410</v>
      </c>
      <c r="B2189" s="35" t="s">
        <v>5411</v>
      </c>
      <c r="C2189" s="35" t="s">
        <v>48</v>
      </c>
      <c r="D2189" s="35" t="s">
        <v>53</v>
      </c>
      <c r="E2189" s="35"/>
      <c r="F2189" s="35"/>
      <c r="G2189" s="35" t="s">
        <v>337</v>
      </c>
      <c r="H2189" s="35" t="s">
        <v>61</v>
      </c>
      <c r="I2189" s="4"/>
    </row>
    <row r="2190" customFormat="false" ht="15" hidden="false" customHeight="false" outlineLevel="0" collapsed="false">
      <c r="A2190" s="35" t="s">
        <v>5412</v>
      </c>
      <c r="B2190" s="35" t="s">
        <v>5413</v>
      </c>
      <c r="C2190" s="35" t="s">
        <v>48</v>
      </c>
      <c r="D2190" s="35" t="s">
        <v>53</v>
      </c>
      <c r="E2190" s="35"/>
      <c r="F2190" s="35"/>
      <c r="G2190" s="35" t="s">
        <v>337</v>
      </c>
      <c r="H2190" s="35" t="s">
        <v>61</v>
      </c>
      <c r="I2190" s="4"/>
    </row>
    <row r="2191" customFormat="false" ht="15" hidden="false" customHeight="false" outlineLevel="0" collapsed="false">
      <c r="A2191" s="35" t="s">
        <v>5414</v>
      </c>
      <c r="B2191" s="35" t="s">
        <v>5415</v>
      </c>
      <c r="C2191" s="35" t="s">
        <v>48</v>
      </c>
      <c r="D2191" s="35" t="s">
        <v>53</v>
      </c>
      <c r="E2191" s="35"/>
      <c r="F2191" s="35"/>
      <c r="G2191" s="35" t="s">
        <v>337</v>
      </c>
      <c r="H2191" s="35" t="s">
        <v>61</v>
      </c>
      <c r="I2191" s="4"/>
    </row>
    <row r="2192" customFormat="false" ht="15" hidden="false" customHeight="false" outlineLevel="0" collapsed="false">
      <c r="A2192" s="35" t="s">
        <v>5416</v>
      </c>
      <c r="B2192" s="35" t="s">
        <v>5417</v>
      </c>
      <c r="C2192" s="35" t="s">
        <v>48</v>
      </c>
      <c r="D2192" s="35" t="s">
        <v>53</v>
      </c>
      <c r="E2192" s="35"/>
      <c r="F2192" s="35"/>
      <c r="G2192" s="35" t="s">
        <v>337</v>
      </c>
      <c r="H2192" s="35" t="s">
        <v>61</v>
      </c>
      <c r="I2192" s="4"/>
    </row>
    <row r="2193" customFormat="false" ht="15" hidden="false" customHeight="false" outlineLevel="0" collapsed="false">
      <c r="A2193" s="35" t="s">
        <v>5418</v>
      </c>
      <c r="B2193" s="35" t="s">
        <v>5113</v>
      </c>
      <c r="C2193" s="35" t="s">
        <v>48</v>
      </c>
      <c r="D2193" s="35" t="s">
        <v>53</v>
      </c>
      <c r="E2193" s="35"/>
      <c r="F2193" s="35"/>
      <c r="G2193" s="35" t="s">
        <v>337</v>
      </c>
      <c r="H2193" s="35" t="s">
        <v>61</v>
      </c>
      <c r="I2193" s="4"/>
    </row>
    <row r="2194" customFormat="false" ht="15" hidden="false" customHeight="false" outlineLevel="0" collapsed="false">
      <c r="A2194" s="35" t="s">
        <v>5419</v>
      </c>
      <c r="B2194" s="35" t="s">
        <v>5420</v>
      </c>
      <c r="C2194" s="35" t="s">
        <v>48</v>
      </c>
      <c r="D2194" s="35" t="s">
        <v>53</v>
      </c>
      <c r="E2194" s="35"/>
      <c r="F2194" s="35"/>
      <c r="G2194" s="35" t="s">
        <v>337</v>
      </c>
      <c r="H2194" s="35" t="s">
        <v>61</v>
      </c>
      <c r="I2194" s="4"/>
    </row>
    <row r="2195" customFormat="false" ht="15" hidden="false" customHeight="false" outlineLevel="0" collapsed="false">
      <c r="A2195" s="35" t="s">
        <v>5421</v>
      </c>
      <c r="B2195" s="35" t="s">
        <v>5422</v>
      </c>
      <c r="C2195" s="35" t="s">
        <v>48</v>
      </c>
      <c r="D2195" s="35" t="s">
        <v>53</v>
      </c>
      <c r="E2195" s="35"/>
      <c r="F2195" s="35"/>
      <c r="G2195" s="35" t="s">
        <v>680</v>
      </c>
      <c r="H2195" s="35" t="s">
        <v>61</v>
      </c>
      <c r="I2195" s="4"/>
    </row>
    <row r="2196" customFormat="false" ht="15" hidden="false" customHeight="false" outlineLevel="0" collapsed="false">
      <c r="A2196" s="35" t="s">
        <v>5423</v>
      </c>
      <c r="B2196" s="35" t="s">
        <v>5424</v>
      </c>
      <c r="C2196" s="35" t="s">
        <v>48</v>
      </c>
      <c r="D2196" s="35" t="s">
        <v>53</v>
      </c>
      <c r="E2196" s="35"/>
      <c r="F2196" s="35"/>
      <c r="G2196" s="35" t="s">
        <v>680</v>
      </c>
      <c r="H2196" s="35" t="s">
        <v>61</v>
      </c>
      <c r="I2196" s="4"/>
    </row>
    <row r="2197" customFormat="false" ht="15" hidden="false" customHeight="false" outlineLevel="0" collapsed="false">
      <c r="A2197" s="35" t="s">
        <v>5425</v>
      </c>
      <c r="B2197" s="35" t="s">
        <v>5426</v>
      </c>
      <c r="C2197" s="35" t="s">
        <v>48</v>
      </c>
      <c r="D2197" s="35" t="s">
        <v>53</v>
      </c>
      <c r="E2197" s="35"/>
      <c r="F2197" s="35"/>
      <c r="G2197" s="35" t="s">
        <v>680</v>
      </c>
      <c r="H2197" s="35" t="s">
        <v>61</v>
      </c>
      <c r="I2197" s="4"/>
    </row>
    <row r="2198" customFormat="false" ht="15" hidden="false" customHeight="false" outlineLevel="0" collapsed="false">
      <c r="A2198" s="35" t="s">
        <v>5427</v>
      </c>
      <c r="B2198" s="35" t="s">
        <v>5428</v>
      </c>
      <c r="C2198" s="35" t="s">
        <v>48</v>
      </c>
      <c r="D2198" s="35" t="s">
        <v>53</v>
      </c>
      <c r="E2198" s="35"/>
      <c r="F2198" s="35"/>
      <c r="G2198" s="35" t="s">
        <v>337</v>
      </c>
      <c r="H2198" s="35" t="s">
        <v>61</v>
      </c>
      <c r="I2198" s="4"/>
    </row>
    <row r="2199" customFormat="false" ht="15" hidden="false" customHeight="false" outlineLevel="0" collapsed="false">
      <c r="A2199" s="35" t="s">
        <v>5429</v>
      </c>
      <c r="B2199" s="35" t="s">
        <v>5430</v>
      </c>
      <c r="C2199" s="35" t="s">
        <v>48</v>
      </c>
      <c r="D2199" s="35" t="s">
        <v>53</v>
      </c>
      <c r="E2199" s="35"/>
      <c r="F2199" s="35"/>
      <c r="G2199" s="35" t="s">
        <v>337</v>
      </c>
      <c r="H2199" s="35" t="s">
        <v>61</v>
      </c>
      <c r="I2199" s="4"/>
    </row>
    <row r="2200" customFormat="false" ht="15" hidden="false" customHeight="false" outlineLevel="0" collapsed="false">
      <c r="A2200" s="35" t="s">
        <v>5431</v>
      </c>
      <c r="B2200" s="35" t="s">
        <v>5432</v>
      </c>
      <c r="C2200" s="35" t="s">
        <v>48</v>
      </c>
      <c r="D2200" s="35" t="s">
        <v>57</v>
      </c>
      <c r="E2200" s="35" t="s">
        <v>351</v>
      </c>
      <c r="F2200" s="35"/>
      <c r="G2200" s="35" t="s">
        <v>337</v>
      </c>
      <c r="H2200" s="35" t="s">
        <v>61</v>
      </c>
      <c r="I2200" s="4"/>
    </row>
    <row r="2201" customFormat="false" ht="15" hidden="false" customHeight="false" outlineLevel="0" collapsed="false">
      <c r="A2201" s="35" t="s">
        <v>5433</v>
      </c>
      <c r="B2201" s="35" t="s">
        <v>5434</v>
      </c>
      <c r="C2201" s="35" t="s">
        <v>48</v>
      </c>
      <c r="D2201" s="35" t="s">
        <v>53</v>
      </c>
      <c r="E2201" s="35"/>
      <c r="F2201" s="35"/>
      <c r="G2201" s="35" t="s">
        <v>691</v>
      </c>
      <c r="H2201" s="35" t="s">
        <v>61</v>
      </c>
      <c r="I2201" s="4"/>
    </row>
    <row r="2202" customFormat="false" ht="15" hidden="false" customHeight="false" outlineLevel="0" collapsed="false">
      <c r="A2202" s="35" t="s">
        <v>463</v>
      </c>
      <c r="B2202" s="35" t="s">
        <v>464</v>
      </c>
      <c r="C2202" s="35" t="s">
        <v>48</v>
      </c>
      <c r="D2202" s="35" t="s">
        <v>447</v>
      </c>
      <c r="E2202" s="35"/>
      <c r="F2202" s="35"/>
      <c r="G2202" s="35" t="s">
        <v>444</v>
      </c>
      <c r="H2202" s="35" t="s">
        <v>61</v>
      </c>
      <c r="I2202" s="4" t="s">
        <v>2025</v>
      </c>
    </row>
    <row r="2203" customFormat="false" ht="15" hidden="false" customHeight="false" outlineLevel="0" collapsed="false">
      <c r="A2203" s="35" t="s">
        <v>5435</v>
      </c>
      <c r="B2203" s="35" t="s">
        <v>5436</v>
      </c>
      <c r="C2203" s="35" t="s">
        <v>48</v>
      </c>
      <c r="D2203" s="35" t="s">
        <v>447</v>
      </c>
      <c r="E2203" s="35"/>
      <c r="F2203" s="35"/>
      <c r="G2203" s="35" t="s">
        <v>444</v>
      </c>
      <c r="H2203" s="35" t="s">
        <v>61</v>
      </c>
      <c r="I2203" s="4"/>
    </row>
    <row r="2204" customFormat="false" ht="15" hidden="false" customHeight="false" outlineLevel="0" collapsed="false">
      <c r="A2204" s="35" t="s">
        <v>5437</v>
      </c>
      <c r="B2204" s="35" t="s">
        <v>5438</v>
      </c>
      <c r="C2204" s="35" t="s">
        <v>48</v>
      </c>
      <c r="D2204" s="35" t="s">
        <v>57</v>
      </c>
      <c r="E2204" s="35" t="s">
        <v>447</v>
      </c>
      <c r="F2204" s="35"/>
      <c r="G2204" s="35" t="s">
        <v>444</v>
      </c>
      <c r="H2204" s="35" t="s">
        <v>61</v>
      </c>
      <c r="I2204" s="4"/>
    </row>
    <row r="2205" customFormat="false" ht="15" hidden="false" customHeight="false" outlineLevel="0" collapsed="false">
      <c r="A2205" s="35" t="s">
        <v>466</v>
      </c>
      <c r="B2205" s="35" t="s">
        <v>467</v>
      </c>
      <c r="C2205" s="35" t="s">
        <v>48</v>
      </c>
      <c r="D2205" s="35" t="s">
        <v>57</v>
      </c>
      <c r="E2205" s="35" t="s">
        <v>454</v>
      </c>
      <c r="F2205" s="35"/>
      <c r="G2205" s="35" t="s">
        <v>444</v>
      </c>
      <c r="H2205" s="35" t="s">
        <v>61</v>
      </c>
      <c r="I2205" s="4" t="s">
        <v>2025</v>
      </c>
    </row>
    <row r="2206" customFormat="false" ht="15" hidden="false" customHeight="false" outlineLevel="0" collapsed="false">
      <c r="A2206" s="35" t="s">
        <v>5439</v>
      </c>
      <c r="B2206" s="35" t="s">
        <v>5440</v>
      </c>
      <c r="C2206" s="35" t="s">
        <v>48</v>
      </c>
      <c r="D2206" s="35" t="s">
        <v>53</v>
      </c>
      <c r="E2206" s="35"/>
      <c r="F2206" s="35"/>
      <c r="G2206" s="35" t="s">
        <v>444</v>
      </c>
      <c r="H2206" s="35" t="s">
        <v>61</v>
      </c>
      <c r="I2206" s="4"/>
    </row>
    <row r="2207" customFormat="false" ht="15" hidden="false" customHeight="false" outlineLevel="0" collapsed="false">
      <c r="A2207" s="35" t="s">
        <v>5441</v>
      </c>
      <c r="B2207" s="35" t="s">
        <v>5442</v>
      </c>
      <c r="C2207" s="35" t="s">
        <v>48</v>
      </c>
      <c r="D2207" s="35" t="s">
        <v>53</v>
      </c>
      <c r="E2207" s="35"/>
      <c r="F2207" s="35"/>
      <c r="G2207" s="35" t="s">
        <v>444</v>
      </c>
      <c r="H2207" s="35" t="s">
        <v>61</v>
      </c>
      <c r="I2207" s="4"/>
    </row>
    <row r="2208" customFormat="false" ht="15" hidden="false" customHeight="false" outlineLevel="0" collapsed="false">
      <c r="A2208" s="35" t="s">
        <v>5443</v>
      </c>
      <c r="B2208" s="35" t="s">
        <v>5444</v>
      </c>
      <c r="C2208" s="35" t="s">
        <v>48</v>
      </c>
      <c r="D2208" s="35" t="s">
        <v>447</v>
      </c>
      <c r="E2208" s="35"/>
      <c r="F2208" s="35"/>
      <c r="G2208" s="35" t="s">
        <v>444</v>
      </c>
      <c r="H2208" s="35" t="s">
        <v>61</v>
      </c>
      <c r="I2208" s="4"/>
    </row>
    <row r="2209" customFormat="false" ht="15" hidden="false" customHeight="false" outlineLevel="0" collapsed="false">
      <c r="A2209" s="35" t="s">
        <v>5445</v>
      </c>
      <c r="B2209" s="35" t="s">
        <v>5446</v>
      </c>
      <c r="C2209" s="35" t="s">
        <v>48</v>
      </c>
      <c r="D2209" s="35" t="s">
        <v>57</v>
      </c>
      <c r="E2209" s="35" t="s">
        <v>477</v>
      </c>
      <c r="F2209" s="35"/>
      <c r="G2209" s="35" t="s">
        <v>444</v>
      </c>
      <c r="H2209" s="35" t="s">
        <v>61</v>
      </c>
      <c r="I2209" s="4"/>
    </row>
    <row r="2210" customFormat="false" ht="15" hidden="false" customHeight="false" outlineLevel="0" collapsed="false">
      <c r="A2210" s="35" t="s">
        <v>5447</v>
      </c>
      <c r="B2210" s="35" t="s">
        <v>5448</v>
      </c>
      <c r="C2210" s="35" t="s">
        <v>48</v>
      </c>
      <c r="D2210" s="35" t="s">
        <v>57</v>
      </c>
      <c r="E2210" s="35" t="s">
        <v>1021</v>
      </c>
      <c r="F2210" s="35" t="s">
        <v>157</v>
      </c>
      <c r="G2210" s="35" t="s">
        <v>692</v>
      </c>
      <c r="H2210" s="35" t="s">
        <v>61</v>
      </c>
      <c r="I2210" s="4"/>
    </row>
    <row r="2211" customFormat="false" ht="15" hidden="false" customHeight="false" outlineLevel="0" collapsed="false">
      <c r="A2211" s="35" t="s">
        <v>350</v>
      </c>
      <c r="B2211" s="35" t="s">
        <v>352</v>
      </c>
      <c r="C2211" s="35" t="s">
        <v>48</v>
      </c>
      <c r="D2211" s="35" t="s">
        <v>57</v>
      </c>
      <c r="E2211" s="35" t="s">
        <v>351</v>
      </c>
      <c r="F2211" s="35"/>
      <c r="G2211" s="35" t="s">
        <v>49</v>
      </c>
      <c r="H2211" s="35" t="s">
        <v>49</v>
      </c>
      <c r="I2211" s="4" t="s">
        <v>2025</v>
      </c>
    </row>
    <row r="2212" customFormat="false" ht="15" hidden="false" customHeight="false" outlineLevel="0" collapsed="false">
      <c r="A2212" s="35" t="s">
        <v>354</v>
      </c>
      <c r="B2212" s="35" t="s">
        <v>355</v>
      </c>
      <c r="C2212" s="35" t="s">
        <v>48</v>
      </c>
      <c r="D2212" s="35" t="s">
        <v>53</v>
      </c>
      <c r="E2212" s="35"/>
      <c r="F2212" s="35"/>
      <c r="G2212" s="35" t="s">
        <v>49</v>
      </c>
      <c r="H2212" s="35" t="s">
        <v>49</v>
      </c>
      <c r="I2212" s="4" t="s">
        <v>2025</v>
      </c>
    </row>
    <row r="2213" customFormat="false" ht="15" hidden="false" customHeight="false" outlineLevel="0" collapsed="false">
      <c r="A2213" s="35" t="s">
        <v>5449</v>
      </c>
      <c r="B2213" s="35" t="s">
        <v>5450</v>
      </c>
      <c r="C2213" s="35" t="s">
        <v>48</v>
      </c>
      <c r="D2213" s="35" t="s">
        <v>57</v>
      </c>
      <c r="E2213" s="35" t="s">
        <v>1107</v>
      </c>
      <c r="F2213" s="35"/>
      <c r="G2213" s="35" t="s">
        <v>337</v>
      </c>
      <c r="H2213" s="35" t="s">
        <v>61</v>
      </c>
      <c r="I2213" s="4"/>
    </row>
    <row r="2214" customFormat="false" ht="15" hidden="false" customHeight="false" outlineLevel="0" collapsed="false">
      <c r="A2214" s="35" t="s">
        <v>5451</v>
      </c>
      <c r="B2214" s="35" t="s">
        <v>5452</v>
      </c>
      <c r="C2214" s="35" t="s">
        <v>48</v>
      </c>
      <c r="D2214" s="35" t="s">
        <v>53</v>
      </c>
      <c r="E2214" s="35"/>
      <c r="F2214" s="35"/>
      <c r="G2214" s="35" t="s">
        <v>337</v>
      </c>
      <c r="H2214" s="35" t="s">
        <v>61</v>
      </c>
      <c r="I2214" s="4"/>
    </row>
    <row r="2215" customFormat="false" ht="15" hidden="false" customHeight="false" outlineLevel="0" collapsed="false">
      <c r="A2215" s="35" t="s">
        <v>362</v>
      </c>
      <c r="B2215" s="35" t="s">
        <v>363</v>
      </c>
      <c r="C2215" s="35" t="s">
        <v>48</v>
      </c>
      <c r="D2215" s="35" t="s">
        <v>57</v>
      </c>
      <c r="E2215" s="35" t="s">
        <v>320</v>
      </c>
      <c r="F2215" s="35"/>
      <c r="G2215" s="35" t="s">
        <v>49</v>
      </c>
      <c r="H2215" s="35" t="s">
        <v>49</v>
      </c>
      <c r="I2215" s="4" t="s">
        <v>2025</v>
      </c>
    </row>
    <row r="2216" customFormat="false" ht="15" hidden="false" customHeight="false" outlineLevel="0" collapsed="false">
      <c r="A2216" s="35" t="s">
        <v>5453</v>
      </c>
      <c r="B2216" s="35" t="s">
        <v>5411</v>
      </c>
      <c r="C2216" s="35" t="s">
        <v>48</v>
      </c>
      <c r="D2216" s="35" t="s">
        <v>53</v>
      </c>
      <c r="E2216" s="35"/>
      <c r="F2216" s="35"/>
      <c r="G2216" s="35" t="s">
        <v>337</v>
      </c>
      <c r="H2216" s="35" t="s">
        <v>2071</v>
      </c>
      <c r="I2216" s="4"/>
    </row>
    <row r="2217" customFormat="false" ht="15" hidden="false" customHeight="false" outlineLevel="0" collapsed="false">
      <c r="A2217" s="35" t="s">
        <v>5454</v>
      </c>
      <c r="B2217" s="35" t="s">
        <v>5413</v>
      </c>
      <c r="C2217" s="35" t="s">
        <v>48</v>
      </c>
      <c r="D2217" s="35" t="s">
        <v>53</v>
      </c>
      <c r="E2217" s="35"/>
      <c r="F2217" s="35"/>
      <c r="G2217" s="35" t="s">
        <v>337</v>
      </c>
      <c r="H2217" s="35" t="s">
        <v>2071</v>
      </c>
      <c r="I2217" s="4"/>
    </row>
    <row r="2218" customFormat="false" ht="15" hidden="false" customHeight="false" outlineLevel="0" collapsed="false">
      <c r="A2218" s="35" t="s">
        <v>5455</v>
      </c>
      <c r="B2218" s="35" t="s">
        <v>5415</v>
      </c>
      <c r="C2218" s="35" t="s">
        <v>48</v>
      </c>
      <c r="D2218" s="35" t="s">
        <v>53</v>
      </c>
      <c r="E2218" s="35"/>
      <c r="F2218" s="35"/>
      <c r="G2218" s="35" t="s">
        <v>337</v>
      </c>
      <c r="H2218" s="35" t="s">
        <v>2071</v>
      </c>
      <c r="I2218" s="4"/>
    </row>
    <row r="2219" customFormat="false" ht="15" hidden="false" customHeight="false" outlineLevel="0" collapsed="false">
      <c r="A2219" s="35" t="s">
        <v>5456</v>
      </c>
      <c r="B2219" s="35" t="s">
        <v>5417</v>
      </c>
      <c r="C2219" s="35" t="s">
        <v>48</v>
      </c>
      <c r="D2219" s="35" t="s">
        <v>53</v>
      </c>
      <c r="E2219" s="35"/>
      <c r="F2219" s="35"/>
      <c r="G2219" s="35" t="s">
        <v>337</v>
      </c>
      <c r="H2219" s="35" t="s">
        <v>2071</v>
      </c>
      <c r="I2219" s="4"/>
    </row>
    <row r="2220" customFormat="false" ht="15" hidden="false" customHeight="false" outlineLevel="0" collapsed="false">
      <c r="A2220" s="35" t="s">
        <v>360</v>
      </c>
      <c r="B2220" s="35" t="s">
        <v>361</v>
      </c>
      <c r="C2220" s="35" t="s">
        <v>48</v>
      </c>
      <c r="D2220" s="35" t="s">
        <v>53</v>
      </c>
      <c r="E2220" s="35"/>
      <c r="F2220" s="35"/>
      <c r="G2220" s="35" t="s">
        <v>49</v>
      </c>
      <c r="H2220" s="35" t="s">
        <v>49</v>
      </c>
      <c r="I2220" s="4" t="s">
        <v>2025</v>
      </c>
    </row>
    <row r="2221" customFormat="false" ht="15" hidden="false" customHeight="false" outlineLevel="0" collapsed="false">
      <c r="A2221" s="35" t="s">
        <v>5457</v>
      </c>
      <c r="B2221" s="35" t="s">
        <v>5458</v>
      </c>
      <c r="C2221" s="35" t="s">
        <v>48</v>
      </c>
      <c r="D2221" s="35" t="s">
        <v>57</v>
      </c>
      <c r="E2221" s="35" t="s">
        <v>357</v>
      </c>
      <c r="F2221" s="35"/>
      <c r="G2221" s="35" t="s">
        <v>49</v>
      </c>
      <c r="H2221" s="35" t="s">
        <v>49</v>
      </c>
      <c r="I2221" s="4"/>
    </row>
    <row r="2222" customFormat="false" ht="15" hidden="false" customHeight="false" outlineLevel="0" collapsed="false">
      <c r="A2222" s="35" t="s">
        <v>356</v>
      </c>
      <c r="B2222" s="35" t="s">
        <v>358</v>
      </c>
      <c r="C2222" s="35" t="s">
        <v>48</v>
      </c>
      <c r="D2222" s="35" t="s">
        <v>57</v>
      </c>
      <c r="E2222" s="35" t="s">
        <v>357</v>
      </c>
      <c r="F2222" s="35"/>
      <c r="G2222" s="35" t="s">
        <v>49</v>
      </c>
      <c r="H2222" s="35" t="s">
        <v>49</v>
      </c>
      <c r="I2222" s="4" t="s">
        <v>2025</v>
      </c>
    </row>
    <row r="2223" customFormat="false" ht="15" hidden="false" customHeight="false" outlineLevel="0" collapsed="false">
      <c r="A2223" s="35" t="s">
        <v>5459</v>
      </c>
      <c r="B2223" s="35" t="s">
        <v>5460</v>
      </c>
      <c r="C2223" s="35" t="s">
        <v>48</v>
      </c>
      <c r="D2223" s="35" t="s">
        <v>57</v>
      </c>
      <c r="E2223" s="35" t="s">
        <v>872</v>
      </c>
      <c r="F2223" s="35"/>
      <c r="G2223" s="35" t="s">
        <v>49</v>
      </c>
      <c r="H2223" s="35" t="s">
        <v>49</v>
      </c>
      <c r="I2223" s="4"/>
    </row>
    <row r="2224" customFormat="false" ht="15" hidden="false" customHeight="false" outlineLevel="0" collapsed="false">
      <c r="A2224" s="35" t="s">
        <v>5461</v>
      </c>
      <c r="B2224" s="35" t="s">
        <v>5462</v>
      </c>
      <c r="C2224" s="35" t="s">
        <v>48</v>
      </c>
      <c r="D2224" s="35" t="s">
        <v>57</v>
      </c>
      <c r="E2224" s="35" t="s">
        <v>357</v>
      </c>
      <c r="F2224" s="35"/>
      <c r="G2224" s="35" t="s">
        <v>545</v>
      </c>
      <c r="H2224" s="35" t="s">
        <v>369</v>
      </c>
      <c r="I2224" s="4"/>
    </row>
    <row r="2225" customFormat="false" ht="15" hidden="false" customHeight="false" outlineLevel="0" collapsed="false">
      <c r="A2225" s="35" t="s">
        <v>5463</v>
      </c>
      <c r="B2225" s="35" t="s">
        <v>5464</v>
      </c>
      <c r="C2225" s="35" t="s">
        <v>48</v>
      </c>
      <c r="D2225" s="35" t="s">
        <v>57</v>
      </c>
      <c r="E2225" s="35" t="s">
        <v>357</v>
      </c>
      <c r="F2225" s="35"/>
      <c r="G2225" s="35" t="s">
        <v>545</v>
      </c>
      <c r="H2225" s="35" t="s">
        <v>369</v>
      </c>
      <c r="I2225" s="4"/>
    </row>
    <row r="2226" customFormat="false" ht="15" hidden="false" customHeight="false" outlineLevel="0" collapsed="false">
      <c r="A2226" s="35" t="s">
        <v>5465</v>
      </c>
      <c r="B2226" s="35" t="s">
        <v>5466</v>
      </c>
      <c r="C2226" s="35" t="s">
        <v>48</v>
      </c>
      <c r="D2226" s="35" t="s">
        <v>57</v>
      </c>
      <c r="E2226" s="35" t="s">
        <v>347</v>
      </c>
      <c r="F2226" s="35"/>
      <c r="G2226" s="35" t="s">
        <v>337</v>
      </c>
      <c r="H2226" s="35" t="s">
        <v>61</v>
      </c>
      <c r="I2226" s="4"/>
    </row>
    <row r="2227" customFormat="false" ht="15" hidden="false" customHeight="false" outlineLevel="0" collapsed="false">
      <c r="A2227" s="35" t="s">
        <v>5467</v>
      </c>
      <c r="B2227" s="35" t="s">
        <v>5468</v>
      </c>
      <c r="C2227" s="35" t="s">
        <v>48</v>
      </c>
      <c r="D2227" s="35" t="s">
        <v>53</v>
      </c>
      <c r="E2227" s="35"/>
      <c r="F2227" s="35"/>
      <c r="G2227" s="35" t="s">
        <v>337</v>
      </c>
      <c r="H2227" s="35" t="s">
        <v>61</v>
      </c>
      <c r="I2227" s="4"/>
    </row>
    <row r="2228" customFormat="false" ht="15" hidden="false" customHeight="false" outlineLevel="0" collapsed="false">
      <c r="A2228" s="35" t="s">
        <v>412</v>
      </c>
      <c r="B2228" s="35" t="s">
        <v>414</v>
      </c>
      <c r="C2228" s="35" t="s">
        <v>48</v>
      </c>
      <c r="D2228" s="35" t="s">
        <v>57</v>
      </c>
      <c r="E2228" s="35" t="s">
        <v>413</v>
      </c>
      <c r="F2228" s="35"/>
      <c r="G2228" s="35" t="s">
        <v>49</v>
      </c>
      <c r="H2228" s="35" t="s">
        <v>49</v>
      </c>
      <c r="I2228" s="4" t="s">
        <v>2025</v>
      </c>
    </row>
    <row r="2229" customFormat="false" ht="15" hidden="false" customHeight="false" outlineLevel="0" collapsed="false">
      <c r="A2229" s="35" t="s">
        <v>5469</v>
      </c>
      <c r="B2229" s="35" t="s">
        <v>5470</v>
      </c>
      <c r="C2229" s="35" t="s">
        <v>48</v>
      </c>
      <c r="D2229" s="35" t="s">
        <v>114</v>
      </c>
      <c r="E2229" s="35"/>
      <c r="F2229" s="35"/>
      <c r="G2229" s="35" t="s">
        <v>119</v>
      </c>
      <c r="H2229" s="35" t="s">
        <v>61</v>
      </c>
      <c r="I2229" s="4"/>
    </row>
    <row r="2230" customFormat="false" ht="15" hidden="false" customHeight="false" outlineLevel="0" collapsed="false">
      <c r="A2230" s="35" t="s">
        <v>5471</v>
      </c>
      <c r="B2230" s="35" t="s">
        <v>5472</v>
      </c>
      <c r="C2230" s="35" t="s">
        <v>48</v>
      </c>
      <c r="D2230" s="35" t="s">
        <v>57</v>
      </c>
      <c r="E2230" s="35" t="s">
        <v>1021</v>
      </c>
      <c r="F2230" s="35" t="s">
        <v>157</v>
      </c>
      <c r="G2230" s="35" t="s">
        <v>692</v>
      </c>
      <c r="H2230" s="35" t="s">
        <v>61</v>
      </c>
      <c r="I2230" s="4"/>
    </row>
    <row r="2231" customFormat="false" ht="15" hidden="false" customHeight="false" outlineLevel="0" collapsed="false">
      <c r="A2231" s="35" t="s">
        <v>505</v>
      </c>
      <c r="B2231" s="35" t="s">
        <v>507</v>
      </c>
      <c r="C2231" s="35" t="s">
        <v>48</v>
      </c>
      <c r="D2231" s="35" t="s">
        <v>57</v>
      </c>
      <c r="E2231" s="35" t="s">
        <v>506</v>
      </c>
      <c r="F2231" s="35"/>
      <c r="G2231" s="35" t="s">
        <v>49</v>
      </c>
      <c r="H2231" s="35" t="s">
        <v>49</v>
      </c>
      <c r="I2231" s="4" t="s">
        <v>2025</v>
      </c>
    </row>
    <row r="2232" customFormat="false" ht="15" hidden="false" customHeight="false" outlineLevel="0" collapsed="false">
      <c r="A2232" s="35" t="s">
        <v>364</v>
      </c>
      <c r="B2232" s="35" t="s">
        <v>365</v>
      </c>
      <c r="C2232" s="35" t="s">
        <v>48</v>
      </c>
      <c r="D2232" s="35" t="s">
        <v>57</v>
      </c>
      <c r="E2232" s="35" t="s">
        <v>351</v>
      </c>
      <c r="F2232" s="35"/>
      <c r="G2232" s="35" t="s">
        <v>337</v>
      </c>
      <c r="H2232" s="35" t="s">
        <v>61</v>
      </c>
      <c r="I2232" s="4" t="s">
        <v>2025</v>
      </c>
    </row>
    <row r="2233" customFormat="false" ht="15" hidden="false" customHeight="false" outlineLevel="0" collapsed="false">
      <c r="A2233" s="35" t="s">
        <v>367</v>
      </c>
      <c r="B2233" s="35" t="s">
        <v>368</v>
      </c>
      <c r="C2233" s="35" t="s">
        <v>48</v>
      </c>
      <c r="D2233" s="35" t="s">
        <v>53</v>
      </c>
      <c r="E2233" s="35"/>
      <c r="F2233" s="35"/>
      <c r="G2233" s="35" t="s">
        <v>328</v>
      </c>
      <c r="H2233" s="35" t="s">
        <v>369</v>
      </c>
      <c r="I2233" s="4" t="s">
        <v>2025</v>
      </c>
    </row>
    <row r="2234" customFormat="false" ht="15" hidden="false" customHeight="false" outlineLevel="0" collapsed="false">
      <c r="A2234" s="35" t="s">
        <v>370</v>
      </c>
      <c r="B2234" s="35" t="s">
        <v>321</v>
      </c>
      <c r="C2234" s="35" t="s">
        <v>48</v>
      </c>
      <c r="D2234" s="35" t="s">
        <v>57</v>
      </c>
      <c r="E2234" s="35" t="s">
        <v>320</v>
      </c>
      <c r="F2234" s="35"/>
      <c r="G2234" s="35" t="s">
        <v>337</v>
      </c>
      <c r="H2234" s="35" t="s">
        <v>208</v>
      </c>
      <c r="I2234" s="4" t="s">
        <v>2025</v>
      </c>
    </row>
    <row r="2235" customFormat="false" ht="15" hidden="false" customHeight="false" outlineLevel="0" collapsed="false">
      <c r="A2235" s="35" t="s">
        <v>5473</v>
      </c>
      <c r="B2235" s="35" t="s">
        <v>5411</v>
      </c>
      <c r="C2235" s="35" t="s">
        <v>48</v>
      </c>
      <c r="D2235" s="35" t="s">
        <v>53</v>
      </c>
      <c r="E2235" s="35"/>
      <c r="F2235" s="35"/>
      <c r="G2235" s="35" t="s">
        <v>337</v>
      </c>
      <c r="H2235" s="35" t="s">
        <v>2071</v>
      </c>
      <c r="I2235" s="4"/>
    </row>
    <row r="2236" customFormat="false" ht="15" hidden="false" customHeight="false" outlineLevel="0" collapsed="false">
      <c r="A2236" s="35" t="s">
        <v>5474</v>
      </c>
      <c r="B2236" s="35" t="s">
        <v>5413</v>
      </c>
      <c r="C2236" s="35" t="s">
        <v>48</v>
      </c>
      <c r="D2236" s="35" t="s">
        <v>53</v>
      </c>
      <c r="E2236" s="35"/>
      <c r="F2236" s="35"/>
      <c r="G2236" s="35" t="s">
        <v>337</v>
      </c>
      <c r="H2236" s="35" t="s">
        <v>2071</v>
      </c>
      <c r="I2236" s="4"/>
    </row>
    <row r="2237" customFormat="false" ht="15" hidden="false" customHeight="false" outlineLevel="0" collapsed="false">
      <c r="A2237" s="35" t="s">
        <v>5475</v>
      </c>
      <c r="B2237" s="35" t="s">
        <v>5415</v>
      </c>
      <c r="C2237" s="35" t="s">
        <v>48</v>
      </c>
      <c r="D2237" s="35" t="s">
        <v>53</v>
      </c>
      <c r="E2237" s="35"/>
      <c r="F2237" s="35"/>
      <c r="G2237" s="35" t="s">
        <v>337</v>
      </c>
      <c r="H2237" s="35" t="s">
        <v>2071</v>
      </c>
      <c r="I2237" s="4"/>
    </row>
    <row r="2238" customFormat="false" ht="15" hidden="false" customHeight="false" outlineLevel="0" collapsed="false">
      <c r="A2238" s="35" t="s">
        <v>5476</v>
      </c>
      <c r="B2238" s="35" t="s">
        <v>5417</v>
      </c>
      <c r="C2238" s="35" t="s">
        <v>48</v>
      </c>
      <c r="D2238" s="35" t="s">
        <v>53</v>
      </c>
      <c r="E2238" s="35"/>
      <c r="F2238" s="35"/>
      <c r="G2238" s="35" t="s">
        <v>337</v>
      </c>
      <c r="H2238" s="35" t="s">
        <v>2071</v>
      </c>
      <c r="I2238" s="4"/>
    </row>
    <row r="2239" customFormat="false" ht="15" hidden="false" customHeight="false" outlineLevel="0" collapsed="false">
      <c r="A2239" s="35" t="s">
        <v>5477</v>
      </c>
      <c r="B2239" s="35" t="s">
        <v>5478</v>
      </c>
      <c r="C2239" s="35" t="s">
        <v>48</v>
      </c>
      <c r="D2239" s="35" t="s">
        <v>53</v>
      </c>
      <c r="E2239" s="35"/>
      <c r="F2239" s="35"/>
      <c r="G2239" s="35" t="s">
        <v>337</v>
      </c>
      <c r="H2239" s="35" t="s">
        <v>2233</v>
      </c>
      <c r="I2239" s="4"/>
    </row>
    <row r="2240" customFormat="false" ht="15" hidden="false" customHeight="false" outlineLevel="0" collapsed="false">
      <c r="A2240" s="35" t="s">
        <v>5479</v>
      </c>
      <c r="B2240" s="35" t="s">
        <v>5480</v>
      </c>
      <c r="C2240" s="35" t="s">
        <v>48</v>
      </c>
      <c r="D2240" s="35" t="s">
        <v>57</v>
      </c>
      <c r="E2240" s="35" t="s">
        <v>872</v>
      </c>
      <c r="F2240" s="35"/>
      <c r="G2240" s="35" t="s">
        <v>337</v>
      </c>
      <c r="H2240" s="35" t="s">
        <v>61</v>
      </c>
      <c r="I2240" s="4"/>
    </row>
    <row r="2241" customFormat="false" ht="15" hidden="false" customHeight="false" outlineLevel="0" collapsed="false">
      <c r="A2241" s="35" t="s">
        <v>5481</v>
      </c>
      <c r="B2241" s="35" t="s">
        <v>5482</v>
      </c>
      <c r="C2241" s="35" t="s">
        <v>48</v>
      </c>
      <c r="D2241" s="35" t="s">
        <v>57</v>
      </c>
      <c r="E2241" s="35" t="s">
        <v>347</v>
      </c>
      <c r="F2241" s="35"/>
      <c r="G2241" s="35" t="s">
        <v>337</v>
      </c>
      <c r="H2241" s="35" t="s">
        <v>61</v>
      </c>
      <c r="I2241" s="4"/>
    </row>
    <row r="2242" customFormat="false" ht="15" hidden="false" customHeight="false" outlineLevel="0" collapsed="false">
      <c r="A2242" s="35" t="s">
        <v>5483</v>
      </c>
      <c r="B2242" s="35" t="s">
        <v>5484</v>
      </c>
      <c r="C2242" s="35" t="s">
        <v>48</v>
      </c>
      <c r="D2242" s="35" t="s">
        <v>57</v>
      </c>
      <c r="E2242" s="35" t="s">
        <v>347</v>
      </c>
      <c r="F2242" s="35"/>
      <c r="G2242" s="35" t="s">
        <v>337</v>
      </c>
      <c r="H2242" s="35" t="s">
        <v>61</v>
      </c>
      <c r="I2242" s="4"/>
    </row>
    <row r="2243" customFormat="false" ht="15" hidden="false" customHeight="false" outlineLevel="0" collapsed="false">
      <c r="A2243" s="35" t="s">
        <v>5485</v>
      </c>
      <c r="B2243" s="35" t="s">
        <v>5486</v>
      </c>
      <c r="C2243" s="35" t="s">
        <v>48</v>
      </c>
      <c r="D2243" s="35" t="s">
        <v>107</v>
      </c>
      <c r="E2243" s="35" t="s">
        <v>357</v>
      </c>
      <c r="F2243" s="35"/>
      <c r="G2243" s="35" t="s">
        <v>545</v>
      </c>
      <c r="H2243" s="35" t="s">
        <v>369</v>
      </c>
      <c r="I2243" s="4"/>
    </row>
    <row r="2244" customFormat="false" ht="15" hidden="false" customHeight="false" outlineLevel="0" collapsed="false">
      <c r="A2244" s="35" t="s">
        <v>5487</v>
      </c>
      <c r="B2244" s="35" t="s">
        <v>5488</v>
      </c>
      <c r="C2244" s="35" t="s">
        <v>48</v>
      </c>
      <c r="D2244" s="35" t="s">
        <v>107</v>
      </c>
      <c r="E2244" s="35" t="s">
        <v>357</v>
      </c>
      <c r="F2244" s="35"/>
      <c r="G2244" s="35" t="s">
        <v>545</v>
      </c>
      <c r="H2244" s="35" t="s">
        <v>369</v>
      </c>
      <c r="I2244" s="4"/>
    </row>
    <row r="2245" customFormat="false" ht="15" hidden="false" customHeight="false" outlineLevel="0" collapsed="false">
      <c r="A2245" s="35" t="s">
        <v>172</v>
      </c>
      <c r="B2245" s="35" t="s">
        <v>173</v>
      </c>
      <c r="C2245" s="35" t="s">
        <v>48</v>
      </c>
      <c r="D2245" s="35" t="s">
        <v>157</v>
      </c>
      <c r="E2245" s="35"/>
      <c r="F2245" s="35" t="s">
        <v>174</v>
      </c>
      <c r="G2245" s="35" t="s">
        <v>175</v>
      </c>
      <c r="H2245" s="35" t="s">
        <v>61</v>
      </c>
      <c r="I2245" s="4" t="s">
        <v>2025</v>
      </c>
    </row>
    <row r="2246" customFormat="false" ht="15" hidden="false" customHeight="false" outlineLevel="0" collapsed="false">
      <c r="A2246" s="35" t="s">
        <v>5489</v>
      </c>
      <c r="B2246" s="35" t="s">
        <v>5490</v>
      </c>
      <c r="C2246" s="35" t="s">
        <v>48</v>
      </c>
      <c r="D2246" s="35" t="s">
        <v>157</v>
      </c>
      <c r="E2246" s="35"/>
      <c r="F2246" s="35"/>
      <c r="G2246" s="35" t="s">
        <v>175</v>
      </c>
      <c r="H2246" s="35" t="s">
        <v>61</v>
      </c>
      <c r="I2246" s="4"/>
    </row>
    <row r="2247" customFormat="false" ht="15" hidden="false" customHeight="false" outlineLevel="0" collapsed="false">
      <c r="A2247" s="35" t="s">
        <v>5491</v>
      </c>
      <c r="B2247" s="35" t="s">
        <v>5492</v>
      </c>
      <c r="C2247" s="35" t="s">
        <v>48</v>
      </c>
      <c r="D2247" s="35" t="s">
        <v>157</v>
      </c>
      <c r="E2247" s="35"/>
      <c r="F2247" s="35" t="s">
        <v>174</v>
      </c>
      <c r="G2247" s="35" t="s">
        <v>175</v>
      </c>
      <c r="H2247" s="35" t="s">
        <v>61</v>
      </c>
      <c r="I2247" s="4"/>
    </row>
    <row r="2248" customFormat="false" ht="15" hidden="false" customHeight="false" outlineLevel="0" collapsed="false">
      <c r="A2248" s="35" t="s">
        <v>5493</v>
      </c>
      <c r="B2248" s="35" t="s">
        <v>5494</v>
      </c>
      <c r="C2248" s="35" t="s">
        <v>48</v>
      </c>
      <c r="D2248" s="35" t="s">
        <v>157</v>
      </c>
      <c r="E2248" s="35"/>
      <c r="F2248" s="35"/>
      <c r="G2248" s="35" t="s">
        <v>175</v>
      </c>
      <c r="H2248" s="35" t="s">
        <v>61</v>
      </c>
      <c r="I2248" s="4"/>
    </row>
    <row r="2249" customFormat="false" ht="15" hidden="false" customHeight="false" outlineLevel="0" collapsed="false">
      <c r="A2249" s="35" t="s">
        <v>5495</v>
      </c>
      <c r="B2249" s="35" t="s">
        <v>5496</v>
      </c>
      <c r="C2249" s="35" t="s">
        <v>48</v>
      </c>
      <c r="D2249" s="35" t="s">
        <v>53</v>
      </c>
      <c r="E2249" s="35"/>
      <c r="F2249" s="35" t="s">
        <v>174</v>
      </c>
      <c r="G2249" s="35" t="s">
        <v>175</v>
      </c>
      <c r="H2249" s="35" t="s">
        <v>61</v>
      </c>
      <c r="I2249" s="4"/>
    </row>
    <row r="2250" customFormat="false" ht="15" hidden="false" customHeight="false" outlineLevel="0" collapsed="false">
      <c r="A2250" s="35" t="s">
        <v>175</v>
      </c>
      <c r="B2250" s="35" t="s">
        <v>5497</v>
      </c>
      <c r="C2250" s="35" t="s">
        <v>48</v>
      </c>
      <c r="D2250" s="35" t="s">
        <v>57</v>
      </c>
      <c r="E2250" s="35" t="s">
        <v>1121</v>
      </c>
      <c r="F2250" s="35"/>
      <c r="G2250" s="35" t="s">
        <v>175</v>
      </c>
      <c r="H2250" s="35" t="s">
        <v>61</v>
      </c>
      <c r="I2250" s="4"/>
    </row>
    <row r="2251" customFormat="false" ht="15" hidden="false" customHeight="false" outlineLevel="0" collapsed="false">
      <c r="A2251" s="35" t="s">
        <v>1458</v>
      </c>
      <c r="B2251" s="35" t="s">
        <v>5498</v>
      </c>
      <c r="C2251" s="35" t="s">
        <v>48</v>
      </c>
      <c r="D2251" s="35" t="s">
        <v>57</v>
      </c>
      <c r="E2251" s="35" t="s">
        <v>1457</v>
      </c>
      <c r="F2251" s="35"/>
      <c r="G2251" s="35" t="s">
        <v>175</v>
      </c>
      <c r="H2251" s="35" t="s">
        <v>61</v>
      </c>
      <c r="I2251" s="4"/>
    </row>
    <row r="2252" customFormat="false" ht="15" hidden="false" customHeight="false" outlineLevel="0" collapsed="false">
      <c r="A2252" s="35" t="s">
        <v>5499</v>
      </c>
      <c r="B2252" s="35" t="s">
        <v>5500</v>
      </c>
      <c r="C2252" s="35" t="s">
        <v>48</v>
      </c>
      <c r="D2252" s="35" t="s">
        <v>107</v>
      </c>
      <c r="E2252" s="35" t="s">
        <v>1121</v>
      </c>
      <c r="F2252" s="35" t="s">
        <v>174</v>
      </c>
      <c r="G2252" s="35" t="s">
        <v>175</v>
      </c>
      <c r="H2252" s="35" t="s">
        <v>61</v>
      </c>
      <c r="I2252" s="4"/>
    </row>
    <row r="2253" customFormat="false" ht="15" hidden="false" customHeight="false" outlineLevel="0" collapsed="false">
      <c r="A2253" s="35" t="s">
        <v>5501</v>
      </c>
      <c r="B2253" s="35" t="s">
        <v>5502</v>
      </c>
      <c r="C2253" s="35" t="s">
        <v>48</v>
      </c>
      <c r="D2253" s="35" t="s">
        <v>157</v>
      </c>
      <c r="E2253" s="35"/>
      <c r="F2253" s="35" t="s">
        <v>174</v>
      </c>
      <c r="G2253" s="35" t="s">
        <v>175</v>
      </c>
      <c r="H2253" s="35" t="s">
        <v>61</v>
      </c>
      <c r="I2253" s="4"/>
    </row>
    <row r="2254" customFormat="false" ht="15" hidden="false" customHeight="false" outlineLevel="0" collapsed="false">
      <c r="A2254" s="35" t="s">
        <v>5503</v>
      </c>
      <c r="B2254" s="35" t="s">
        <v>5504</v>
      </c>
      <c r="C2254" s="35" t="s">
        <v>48</v>
      </c>
      <c r="D2254" s="35" t="s">
        <v>157</v>
      </c>
      <c r="E2254" s="35"/>
      <c r="F2254" s="35"/>
      <c r="G2254" s="35" t="s">
        <v>175</v>
      </c>
      <c r="H2254" s="35" t="s">
        <v>61</v>
      </c>
      <c r="I2254" s="4"/>
    </row>
    <row r="2255" customFormat="false" ht="15" hidden="false" customHeight="false" outlineLevel="0" collapsed="false">
      <c r="A2255" s="35" t="s">
        <v>5505</v>
      </c>
      <c r="B2255" s="35" t="s">
        <v>5506</v>
      </c>
      <c r="C2255" s="35" t="s">
        <v>48</v>
      </c>
      <c r="D2255" s="35" t="s">
        <v>57</v>
      </c>
      <c r="E2255" s="35" t="s">
        <v>1123</v>
      </c>
      <c r="F2255" s="35" t="s">
        <v>174</v>
      </c>
      <c r="G2255" s="35" t="s">
        <v>175</v>
      </c>
      <c r="H2255" s="35" t="s">
        <v>61</v>
      </c>
      <c r="I2255" s="4"/>
    </row>
    <row r="2256" customFormat="false" ht="15" hidden="false" customHeight="false" outlineLevel="0" collapsed="false">
      <c r="A2256" s="35" t="s">
        <v>5507</v>
      </c>
      <c r="B2256" s="35" t="s">
        <v>5508</v>
      </c>
      <c r="C2256" s="35" t="s">
        <v>48</v>
      </c>
      <c r="D2256" s="35" t="s">
        <v>57</v>
      </c>
      <c r="E2256" s="35" t="s">
        <v>1123</v>
      </c>
      <c r="F2256" s="35"/>
      <c r="G2256" s="35" t="s">
        <v>175</v>
      </c>
      <c r="H2256" s="35" t="s">
        <v>61</v>
      </c>
      <c r="I2256" s="4"/>
    </row>
    <row r="2257" customFormat="false" ht="15" hidden="false" customHeight="false" outlineLevel="0" collapsed="false">
      <c r="A2257" s="35" t="s">
        <v>5509</v>
      </c>
      <c r="B2257" s="35" t="s">
        <v>5510</v>
      </c>
      <c r="C2257" s="35" t="s">
        <v>48</v>
      </c>
      <c r="D2257" s="35" t="s">
        <v>53</v>
      </c>
      <c r="E2257" s="35"/>
      <c r="F2257" s="35"/>
      <c r="G2257" s="35" t="s">
        <v>691</v>
      </c>
      <c r="H2257" s="35" t="s">
        <v>61</v>
      </c>
      <c r="I2257" s="4"/>
    </row>
    <row r="2258" customFormat="false" ht="15" hidden="false" customHeight="false" outlineLevel="0" collapsed="false">
      <c r="A2258" s="35" t="s">
        <v>5511</v>
      </c>
      <c r="B2258" s="35" t="s">
        <v>5512</v>
      </c>
      <c r="C2258" s="35" t="s">
        <v>48</v>
      </c>
      <c r="D2258" s="35" t="s">
        <v>107</v>
      </c>
      <c r="E2258" s="35" t="s">
        <v>289</v>
      </c>
      <c r="F2258" s="35"/>
      <c r="G2258" s="35" t="s">
        <v>691</v>
      </c>
      <c r="H2258" s="35" t="s">
        <v>61</v>
      </c>
      <c r="I2258" s="4"/>
    </row>
    <row r="2259" customFormat="false" ht="15" hidden="false" customHeight="false" outlineLevel="0" collapsed="false">
      <c r="A2259" s="35" t="s">
        <v>5513</v>
      </c>
      <c r="B2259" s="35" t="s">
        <v>5514</v>
      </c>
      <c r="C2259" s="35" t="s">
        <v>48</v>
      </c>
      <c r="D2259" s="35" t="s">
        <v>447</v>
      </c>
      <c r="E2259" s="35"/>
      <c r="F2259" s="35" t="s">
        <v>2534</v>
      </c>
      <c r="G2259" s="35" t="s">
        <v>691</v>
      </c>
      <c r="H2259" s="35" t="s">
        <v>61</v>
      </c>
      <c r="I2259" s="4"/>
    </row>
    <row r="2260" customFormat="false" ht="15" hidden="false" customHeight="false" outlineLevel="0" collapsed="false">
      <c r="A2260" s="35" t="s">
        <v>5515</v>
      </c>
      <c r="B2260" s="35" t="s">
        <v>5516</v>
      </c>
      <c r="C2260" s="35" t="s">
        <v>48</v>
      </c>
      <c r="D2260" s="35" t="s">
        <v>57</v>
      </c>
      <c r="E2260" s="35" t="s">
        <v>313</v>
      </c>
      <c r="F2260" s="35"/>
      <c r="G2260" s="35" t="s">
        <v>691</v>
      </c>
      <c r="H2260" s="35" t="s">
        <v>61</v>
      </c>
      <c r="I2260" s="4"/>
    </row>
    <row r="2261" customFormat="false" ht="15" hidden="false" customHeight="false" outlineLevel="0" collapsed="false">
      <c r="A2261" s="35" t="s">
        <v>5517</v>
      </c>
      <c r="B2261" s="35" t="s">
        <v>5518</v>
      </c>
      <c r="C2261" s="35" t="s">
        <v>48</v>
      </c>
      <c r="D2261" s="35" t="s">
        <v>53</v>
      </c>
      <c r="E2261" s="35"/>
      <c r="F2261" s="35"/>
      <c r="G2261" s="35" t="s">
        <v>691</v>
      </c>
      <c r="H2261" s="35" t="s">
        <v>61</v>
      </c>
      <c r="I2261" s="4"/>
    </row>
    <row r="2262" customFormat="false" ht="15" hidden="false" customHeight="false" outlineLevel="0" collapsed="false">
      <c r="A2262" s="35" t="s">
        <v>5519</v>
      </c>
      <c r="B2262" s="35" t="s">
        <v>5520</v>
      </c>
      <c r="C2262" s="35" t="s">
        <v>48</v>
      </c>
      <c r="D2262" s="35" t="s">
        <v>57</v>
      </c>
      <c r="E2262" s="35" t="s">
        <v>45</v>
      </c>
      <c r="F2262" s="35"/>
      <c r="G2262" s="35" t="s">
        <v>691</v>
      </c>
      <c r="H2262" s="35" t="s">
        <v>61</v>
      </c>
      <c r="I2262" s="4"/>
    </row>
    <row r="2263" customFormat="false" ht="15" hidden="false" customHeight="false" outlineLevel="0" collapsed="false">
      <c r="A2263" s="35" t="s">
        <v>5521</v>
      </c>
      <c r="B2263" s="35" t="s">
        <v>5522</v>
      </c>
      <c r="C2263" s="35" t="s">
        <v>48</v>
      </c>
      <c r="D2263" s="35" t="s">
        <v>53</v>
      </c>
      <c r="E2263" s="35"/>
      <c r="F2263" s="35"/>
      <c r="G2263" s="35" t="s">
        <v>691</v>
      </c>
      <c r="H2263" s="35" t="s">
        <v>61</v>
      </c>
      <c r="I2263" s="4"/>
    </row>
    <row r="2264" customFormat="false" ht="15" hidden="false" customHeight="false" outlineLevel="0" collapsed="false">
      <c r="A2264" s="35" t="s">
        <v>5523</v>
      </c>
      <c r="B2264" s="35" t="s">
        <v>5524</v>
      </c>
      <c r="C2264" s="35" t="s">
        <v>48</v>
      </c>
      <c r="D2264" s="35" t="s">
        <v>107</v>
      </c>
      <c r="E2264" s="35" t="s">
        <v>302</v>
      </c>
      <c r="F2264" s="35"/>
      <c r="G2264" s="35" t="s">
        <v>691</v>
      </c>
      <c r="H2264" s="35" t="s">
        <v>61</v>
      </c>
      <c r="I2264" s="4"/>
    </row>
    <row r="2265" customFormat="false" ht="15" hidden="false" customHeight="false" outlineLevel="0" collapsed="false">
      <c r="A2265" s="35" t="s">
        <v>5525</v>
      </c>
      <c r="B2265" s="35" t="s">
        <v>5526</v>
      </c>
      <c r="C2265" s="35" t="s">
        <v>48</v>
      </c>
      <c r="D2265" s="35" t="s">
        <v>57</v>
      </c>
      <c r="E2265" s="35" t="s">
        <v>262</v>
      </c>
      <c r="F2265" s="35"/>
      <c r="G2265" s="35" t="s">
        <v>691</v>
      </c>
      <c r="H2265" s="35" t="s">
        <v>61</v>
      </c>
      <c r="I2265" s="4"/>
    </row>
    <row r="2266" customFormat="false" ht="15" hidden="false" customHeight="false" outlineLevel="0" collapsed="false">
      <c r="A2266" s="35" t="s">
        <v>5527</v>
      </c>
      <c r="B2266" s="35" t="s">
        <v>5528</v>
      </c>
      <c r="C2266" s="35" t="s">
        <v>48</v>
      </c>
      <c r="D2266" s="35" t="s">
        <v>53</v>
      </c>
      <c r="E2266" s="35"/>
      <c r="F2266" s="35"/>
      <c r="G2266" s="35" t="s">
        <v>691</v>
      </c>
      <c r="H2266" s="35" t="s">
        <v>61</v>
      </c>
      <c r="I2266" s="4"/>
    </row>
    <row r="2267" customFormat="false" ht="15" hidden="false" customHeight="false" outlineLevel="0" collapsed="false">
      <c r="A2267" s="35" t="s">
        <v>5529</v>
      </c>
      <c r="B2267" s="35" t="s">
        <v>5530</v>
      </c>
      <c r="C2267" s="35" t="s">
        <v>48</v>
      </c>
      <c r="D2267" s="35" t="s">
        <v>53</v>
      </c>
      <c r="E2267" s="35"/>
      <c r="F2267" s="35"/>
      <c r="G2267" s="35" t="s">
        <v>691</v>
      </c>
      <c r="H2267" s="35" t="s">
        <v>61</v>
      </c>
      <c r="I2267" s="4"/>
    </row>
    <row r="2268" customFormat="false" ht="15" hidden="false" customHeight="false" outlineLevel="0" collapsed="false">
      <c r="A2268" s="35" t="s">
        <v>5531</v>
      </c>
      <c r="B2268" s="35" t="s">
        <v>5532</v>
      </c>
      <c r="C2268" s="35" t="s">
        <v>48</v>
      </c>
      <c r="D2268" s="35" t="s">
        <v>447</v>
      </c>
      <c r="E2268" s="35"/>
      <c r="F2268" s="35" t="s">
        <v>2534</v>
      </c>
      <c r="G2268" s="35" t="s">
        <v>691</v>
      </c>
      <c r="H2268" s="35" t="s">
        <v>61</v>
      </c>
      <c r="I2268" s="4"/>
    </row>
    <row r="2269" customFormat="false" ht="15" hidden="false" customHeight="false" outlineLevel="0" collapsed="false">
      <c r="A2269" s="35" t="s">
        <v>5533</v>
      </c>
      <c r="B2269" s="35" t="s">
        <v>5534</v>
      </c>
      <c r="C2269" s="35" t="s">
        <v>48</v>
      </c>
      <c r="D2269" s="35" t="s">
        <v>57</v>
      </c>
      <c r="E2269" s="35" t="s">
        <v>454</v>
      </c>
      <c r="F2269" s="35" t="s">
        <v>2534</v>
      </c>
      <c r="G2269" s="35" t="s">
        <v>691</v>
      </c>
      <c r="H2269" s="35" t="s">
        <v>61</v>
      </c>
      <c r="I2269" s="4"/>
    </row>
    <row r="2270" customFormat="false" ht="15" hidden="false" customHeight="false" outlineLevel="0" collapsed="false">
      <c r="A2270" s="35" t="s">
        <v>1679</v>
      </c>
      <c r="B2270" s="35" t="s">
        <v>5535</v>
      </c>
      <c r="C2270" s="35" t="s">
        <v>48</v>
      </c>
      <c r="D2270" s="35" t="s">
        <v>107</v>
      </c>
      <c r="E2270" s="35" t="s">
        <v>1678</v>
      </c>
      <c r="F2270" s="35"/>
      <c r="G2270" s="35" t="s">
        <v>764</v>
      </c>
      <c r="H2270" s="35" t="s">
        <v>61</v>
      </c>
      <c r="I2270" s="4"/>
    </row>
    <row r="2271" customFormat="false" ht="15" hidden="false" customHeight="false" outlineLevel="0" collapsed="false">
      <c r="A2271" s="35" t="s">
        <v>1200</v>
      </c>
      <c r="B2271" s="35" t="s">
        <v>5536</v>
      </c>
      <c r="C2271" s="35" t="s">
        <v>48</v>
      </c>
      <c r="D2271" s="35" t="s">
        <v>107</v>
      </c>
      <c r="E2271" s="35" t="s">
        <v>1200</v>
      </c>
      <c r="F2271" s="35"/>
      <c r="G2271" s="35" t="s">
        <v>417</v>
      </c>
      <c r="H2271" s="35" t="s">
        <v>50</v>
      </c>
      <c r="I2271" s="4"/>
    </row>
    <row r="2272" customFormat="false" ht="15" hidden="false" customHeight="false" outlineLevel="0" collapsed="false">
      <c r="A2272" s="35" t="s">
        <v>1681</v>
      </c>
      <c r="B2272" s="35" t="s">
        <v>5537</v>
      </c>
      <c r="C2272" s="35" t="s">
        <v>48</v>
      </c>
      <c r="D2272" s="35" t="s">
        <v>107</v>
      </c>
      <c r="E2272" s="35" t="s">
        <v>1680</v>
      </c>
      <c r="F2272" s="35"/>
      <c r="G2272" s="35" t="s">
        <v>417</v>
      </c>
      <c r="H2272" s="35" t="s">
        <v>50</v>
      </c>
      <c r="I2272" s="4"/>
    </row>
    <row r="2273" customFormat="false" ht="15" hidden="false" customHeight="false" outlineLevel="0" collapsed="false">
      <c r="A2273" s="35" t="s">
        <v>5538</v>
      </c>
      <c r="B2273" s="35" t="s">
        <v>5537</v>
      </c>
      <c r="C2273" s="35" t="s">
        <v>48</v>
      </c>
      <c r="D2273" s="35" t="s">
        <v>53</v>
      </c>
      <c r="E2273" s="35"/>
      <c r="F2273" s="35"/>
      <c r="G2273" s="35" t="s">
        <v>417</v>
      </c>
      <c r="H2273" s="35" t="s">
        <v>61</v>
      </c>
      <c r="I2273" s="4"/>
    </row>
    <row r="2274" customFormat="false" ht="15" hidden="false" customHeight="false" outlineLevel="0" collapsed="false">
      <c r="A2274" s="35" t="s">
        <v>5539</v>
      </c>
      <c r="B2274" s="35" t="s">
        <v>5540</v>
      </c>
      <c r="C2274" s="35" t="s">
        <v>48</v>
      </c>
      <c r="D2274" s="35" t="s">
        <v>107</v>
      </c>
      <c r="E2274" s="35" t="s">
        <v>1200</v>
      </c>
      <c r="F2274" s="35"/>
      <c r="G2274" s="35" t="s">
        <v>686</v>
      </c>
      <c r="H2274" s="35" t="s">
        <v>61</v>
      </c>
      <c r="I2274" s="4"/>
    </row>
    <row r="2275" customFormat="false" ht="15" hidden="false" customHeight="false" outlineLevel="0" collapsed="false">
      <c r="A2275" s="35" t="s">
        <v>1410</v>
      </c>
      <c r="B2275" s="35" t="s">
        <v>5541</v>
      </c>
      <c r="C2275" s="35" t="s">
        <v>48</v>
      </c>
      <c r="D2275" s="35" t="s">
        <v>46</v>
      </c>
      <c r="E2275" s="35" t="s">
        <v>1409</v>
      </c>
      <c r="F2275" s="35"/>
      <c r="G2275" s="35" t="s">
        <v>262</v>
      </c>
      <c r="H2275" s="35" t="s">
        <v>61</v>
      </c>
      <c r="I2275" s="4"/>
    </row>
    <row r="2276" customFormat="false" ht="15" hidden="false" customHeight="false" outlineLevel="0" collapsed="false">
      <c r="A2276" s="35" t="s">
        <v>1685</v>
      </c>
      <c r="B2276" s="35" t="s">
        <v>5542</v>
      </c>
      <c r="C2276" s="35" t="s">
        <v>48</v>
      </c>
      <c r="D2276" s="35" t="s">
        <v>46</v>
      </c>
      <c r="E2276" s="35" t="s">
        <v>1684</v>
      </c>
      <c r="F2276" s="35"/>
      <c r="G2276" s="35" t="s">
        <v>262</v>
      </c>
      <c r="H2276" s="35" t="s">
        <v>61</v>
      </c>
      <c r="I2276" s="4"/>
    </row>
    <row r="2277" customFormat="false" ht="15" hidden="false" customHeight="false" outlineLevel="0" collapsed="false">
      <c r="A2277" s="35" t="s">
        <v>5543</v>
      </c>
      <c r="B2277" s="35" t="s">
        <v>5544</v>
      </c>
      <c r="C2277" s="35" t="s">
        <v>48</v>
      </c>
      <c r="D2277" s="35" t="s">
        <v>107</v>
      </c>
      <c r="E2277" s="35" t="s">
        <v>1202</v>
      </c>
      <c r="F2277" s="35"/>
      <c r="G2277" s="35" t="s">
        <v>262</v>
      </c>
      <c r="H2277" s="35" t="s">
        <v>267</v>
      </c>
      <c r="I2277" s="4"/>
    </row>
    <row r="2278" customFormat="false" ht="15" hidden="false" customHeight="false" outlineLevel="0" collapsed="false">
      <c r="A2278" s="35" t="s">
        <v>1724</v>
      </c>
      <c r="B2278" s="35" t="s">
        <v>5545</v>
      </c>
      <c r="C2278" s="35" t="s">
        <v>48</v>
      </c>
      <c r="D2278" s="35" t="s">
        <v>57</v>
      </c>
      <c r="E2278" s="35" t="s">
        <v>1723</v>
      </c>
      <c r="F2278" s="35" t="s">
        <v>2383</v>
      </c>
      <c r="G2278" s="35" t="s">
        <v>689</v>
      </c>
      <c r="H2278" s="35" t="s">
        <v>61</v>
      </c>
      <c r="I2278" s="4"/>
    </row>
    <row r="2279" customFormat="false" ht="15" hidden="false" customHeight="false" outlineLevel="0" collapsed="false">
      <c r="A2279" s="35" t="s">
        <v>1445</v>
      </c>
      <c r="B2279" s="35" t="s">
        <v>5546</v>
      </c>
      <c r="C2279" s="35" t="s">
        <v>48</v>
      </c>
      <c r="D2279" s="35" t="s">
        <v>107</v>
      </c>
      <c r="E2279" s="35" t="s">
        <v>1444</v>
      </c>
      <c r="F2279" s="35"/>
      <c r="G2279" s="35" t="s">
        <v>45</v>
      </c>
      <c r="H2279" s="35" t="s">
        <v>61</v>
      </c>
      <c r="I2279" s="4"/>
    </row>
    <row r="2280" customFormat="false" ht="15" hidden="false" customHeight="false" outlineLevel="0" collapsed="false">
      <c r="A2280" s="35" t="s">
        <v>1687</v>
      </c>
      <c r="B2280" s="35" t="s">
        <v>5547</v>
      </c>
      <c r="C2280" s="35" t="s">
        <v>48</v>
      </c>
      <c r="D2280" s="35" t="s">
        <v>107</v>
      </c>
      <c r="E2280" s="35" t="s">
        <v>1686</v>
      </c>
      <c r="F2280" s="35"/>
      <c r="G2280" s="35" t="s">
        <v>262</v>
      </c>
      <c r="H2280" s="35" t="s">
        <v>562</v>
      </c>
      <c r="I2280" s="4"/>
    </row>
    <row r="2281" customFormat="false" ht="15" hidden="false" customHeight="false" outlineLevel="0" collapsed="false">
      <c r="A2281" s="35" t="s">
        <v>5548</v>
      </c>
      <c r="B2281" s="35" t="s">
        <v>5549</v>
      </c>
      <c r="C2281" s="35" t="s">
        <v>48</v>
      </c>
      <c r="D2281" s="35" t="s">
        <v>57</v>
      </c>
      <c r="E2281" s="35" t="s">
        <v>1204</v>
      </c>
      <c r="F2281" s="35"/>
      <c r="G2281" s="35" t="s">
        <v>262</v>
      </c>
      <c r="H2281" s="35" t="s">
        <v>562</v>
      </c>
      <c r="I2281" s="4"/>
    </row>
    <row r="2282" customFormat="false" ht="15" hidden="false" customHeight="false" outlineLevel="0" collapsed="false">
      <c r="A2282" s="35" t="s">
        <v>1689</v>
      </c>
      <c r="B2282" s="35" t="s">
        <v>5550</v>
      </c>
      <c r="C2282" s="35" t="s">
        <v>48</v>
      </c>
      <c r="D2282" s="35" t="s">
        <v>46</v>
      </c>
      <c r="E2282" s="35" t="s">
        <v>1688</v>
      </c>
      <c r="F2282" s="35"/>
      <c r="G2282" s="35" t="s">
        <v>262</v>
      </c>
      <c r="H2282" s="35" t="s">
        <v>61</v>
      </c>
      <c r="I2282" s="4"/>
    </row>
    <row r="2283" customFormat="false" ht="15" hidden="false" customHeight="false" outlineLevel="0" collapsed="false">
      <c r="A2283" s="35" t="s">
        <v>1695</v>
      </c>
      <c r="B2283" s="35" t="s">
        <v>5551</v>
      </c>
      <c r="C2283" s="35" t="s">
        <v>48</v>
      </c>
      <c r="D2283" s="35" t="s">
        <v>107</v>
      </c>
      <c r="E2283" s="35" t="s">
        <v>1694</v>
      </c>
      <c r="F2283" s="35" t="s">
        <v>2306</v>
      </c>
      <c r="G2283" s="35" t="s">
        <v>45</v>
      </c>
      <c r="H2283" s="35" t="s">
        <v>61</v>
      </c>
      <c r="I2283" s="4"/>
    </row>
    <row r="2284" customFormat="false" ht="15" hidden="false" customHeight="false" outlineLevel="0" collapsed="false">
      <c r="A2284" s="35" t="s">
        <v>5552</v>
      </c>
      <c r="B2284" s="35" t="s">
        <v>5553</v>
      </c>
      <c r="C2284" s="35" t="s">
        <v>48</v>
      </c>
      <c r="D2284" s="35" t="s">
        <v>107</v>
      </c>
      <c r="E2284" s="35" t="s">
        <v>1016</v>
      </c>
      <c r="F2284" s="35"/>
      <c r="G2284" s="35" t="s">
        <v>45</v>
      </c>
      <c r="H2284" s="35" t="s">
        <v>61</v>
      </c>
      <c r="I2284" s="4"/>
    </row>
    <row r="2285" customFormat="false" ht="15" hidden="false" customHeight="false" outlineLevel="0" collapsed="false">
      <c r="A2285" s="35" t="s">
        <v>5554</v>
      </c>
      <c r="B2285" s="35" t="s">
        <v>5555</v>
      </c>
      <c r="C2285" s="35" t="s">
        <v>48</v>
      </c>
      <c r="D2285" s="35" t="s">
        <v>107</v>
      </c>
      <c r="E2285" s="35" t="s">
        <v>1016</v>
      </c>
      <c r="F2285" s="35"/>
      <c r="G2285" s="35" t="s">
        <v>689</v>
      </c>
      <c r="H2285" s="35" t="s">
        <v>562</v>
      </c>
      <c r="I2285" s="4"/>
    </row>
    <row r="2286" customFormat="false" ht="15" hidden="false" customHeight="false" outlineLevel="0" collapsed="false">
      <c r="A2286" s="35" t="s">
        <v>1696</v>
      </c>
      <c r="B2286" s="35" t="s">
        <v>5556</v>
      </c>
      <c r="C2286" s="35" t="s">
        <v>48</v>
      </c>
      <c r="D2286" s="35" t="s">
        <v>57</v>
      </c>
      <c r="E2286" s="35" t="s">
        <v>1696</v>
      </c>
      <c r="F2286" s="35" t="s">
        <v>2383</v>
      </c>
      <c r="G2286" s="35" t="s">
        <v>689</v>
      </c>
      <c r="H2286" s="35" t="s">
        <v>61</v>
      </c>
      <c r="I2286" s="4"/>
    </row>
    <row r="2287" customFormat="false" ht="15" hidden="false" customHeight="false" outlineLevel="0" collapsed="false">
      <c r="A2287" s="35" t="s">
        <v>5557</v>
      </c>
      <c r="B2287" s="35" t="s">
        <v>5558</v>
      </c>
      <c r="C2287" s="35" t="s">
        <v>48</v>
      </c>
      <c r="D2287" s="35" t="s">
        <v>107</v>
      </c>
      <c r="E2287" s="35" t="s">
        <v>1206</v>
      </c>
      <c r="F2287" s="35" t="s">
        <v>2147</v>
      </c>
      <c r="G2287" s="35" t="s">
        <v>737</v>
      </c>
      <c r="H2287" s="35" t="s">
        <v>61</v>
      </c>
      <c r="I2287" s="4"/>
    </row>
    <row r="2288" customFormat="false" ht="15" hidden="false" customHeight="false" outlineLevel="0" collapsed="false">
      <c r="A2288" s="35" t="s">
        <v>5559</v>
      </c>
      <c r="B2288" s="35" t="s">
        <v>5560</v>
      </c>
      <c r="C2288" s="35" t="s">
        <v>48</v>
      </c>
      <c r="D2288" s="35" t="s">
        <v>107</v>
      </c>
      <c r="E2288" s="35" t="s">
        <v>1206</v>
      </c>
      <c r="F2288" s="35"/>
      <c r="G2288" s="35" t="s">
        <v>45</v>
      </c>
      <c r="H2288" s="35" t="s">
        <v>61</v>
      </c>
      <c r="I2288" s="4"/>
    </row>
    <row r="2289" customFormat="false" ht="15" hidden="false" customHeight="false" outlineLevel="0" collapsed="false">
      <c r="A2289" s="35" t="s">
        <v>5561</v>
      </c>
      <c r="B2289" s="35" t="s">
        <v>5562</v>
      </c>
      <c r="C2289" s="35" t="s">
        <v>48</v>
      </c>
      <c r="D2289" s="35" t="s">
        <v>107</v>
      </c>
      <c r="E2289" s="35" t="s">
        <v>885</v>
      </c>
      <c r="F2289" s="35" t="s">
        <v>5563</v>
      </c>
      <c r="G2289" s="35" t="s">
        <v>704</v>
      </c>
      <c r="H2289" s="35" t="s">
        <v>61</v>
      </c>
      <c r="I2289" s="4"/>
    </row>
    <row r="2290" customFormat="false" ht="15" hidden="false" customHeight="false" outlineLevel="0" collapsed="false">
      <c r="A2290" s="35" t="s">
        <v>5564</v>
      </c>
      <c r="B2290" s="35" t="s">
        <v>5565</v>
      </c>
      <c r="C2290" s="35" t="s">
        <v>48</v>
      </c>
      <c r="D2290" s="35" t="s">
        <v>107</v>
      </c>
      <c r="E2290" s="35" t="s">
        <v>737</v>
      </c>
      <c r="F2290" s="35"/>
      <c r="G2290" s="35" t="s">
        <v>689</v>
      </c>
      <c r="H2290" s="35" t="s">
        <v>61</v>
      </c>
      <c r="I2290" s="4"/>
    </row>
    <row r="2291" customFormat="false" ht="15" hidden="false" customHeight="false" outlineLevel="0" collapsed="false">
      <c r="A2291" s="35" t="s">
        <v>5566</v>
      </c>
      <c r="B2291" s="35" t="s">
        <v>5567</v>
      </c>
      <c r="C2291" s="35" t="s">
        <v>48</v>
      </c>
      <c r="D2291" s="35" t="s">
        <v>107</v>
      </c>
      <c r="E2291" s="35" t="s">
        <v>737</v>
      </c>
      <c r="F2291" s="35" t="s">
        <v>2147</v>
      </c>
      <c r="G2291" s="35" t="s">
        <v>689</v>
      </c>
      <c r="H2291" s="35" t="s">
        <v>61</v>
      </c>
      <c r="I2291" s="4"/>
    </row>
    <row r="2292" customFormat="false" ht="15" hidden="false" customHeight="false" outlineLevel="0" collapsed="false">
      <c r="A2292" s="35" t="s">
        <v>5568</v>
      </c>
      <c r="B2292" s="35" t="s">
        <v>5569</v>
      </c>
      <c r="C2292" s="35" t="s">
        <v>48</v>
      </c>
      <c r="D2292" s="35" t="s">
        <v>57</v>
      </c>
      <c r="E2292" s="35" t="s">
        <v>45</v>
      </c>
      <c r="F2292" s="35"/>
      <c r="G2292" s="35" t="s">
        <v>689</v>
      </c>
      <c r="H2292" s="35" t="s">
        <v>61</v>
      </c>
      <c r="I2292" s="4"/>
    </row>
    <row r="2293" customFormat="false" ht="15" hidden="false" customHeight="false" outlineLevel="0" collapsed="false">
      <c r="A2293" s="35" t="s">
        <v>5570</v>
      </c>
      <c r="B2293" s="35" t="s">
        <v>5571</v>
      </c>
      <c r="C2293" s="35" t="s">
        <v>48</v>
      </c>
      <c r="D2293" s="35" t="s">
        <v>107</v>
      </c>
      <c r="E2293" s="35" t="s">
        <v>591</v>
      </c>
      <c r="F2293" s="35" t="s">
        <v>5572</v>
      </c>
      <c r="G2293" s="35" t="s">
        <v>687</v>
      </c>
      <c r="H2293" s="35" t="s">
        <v>61</v>
      </c>
      <c r="I2293" s="4"/>
    </row>
    <row r="2294" customFormat="false" ht="15" hidden="false" customHeight="false" outlineLevel="0" collapsed="false">
      <c r="A2294" s="35" t="s">
        <v>5573</v>
      </c>
      <c r="B2294" s="35" t="s">
        <v>5574</v>
      </c>
      <c r="C2294" s="35" t="s">
        <v>48</v>
      </c>
      <c r="D2294" s="35" t="s">
        <v>107</v>
      </c>
      <c r="E2294" s="35" t="s">
        <v>894</v>
      </c>
      <c r="F2294" s="35"/>
      <c r="G2294" s="35" t="s">
        <v>417</v>
      </c>
      <c r="H2294" s="35" t="s">
        <v>5573</v>
      </c>
      <c r="I2294" s="4"/>
    </row>
    <row r="2295" customFormat="false" ht="15" hidden="false" customHeight="false" outlineLevel="0" collapsed="false">
      <c r="A2295" s="35" t="s">
        <v>396</v>
      </c>
      <c r="B2295" s="35" t="s">
        <v>398</v>
      </c>
      <c r="C2295" s="35" t="s">
        <v>48</v>
      </c>
      <c r="D2295" s="35" t="s">
        <v>57</v>
      </c>
      <c r="E2295" s="35" t="s">
        <v>397</v>
      </c>
      <c r="F2295" s="35"/>
      <c r="G2295" s="35" t="s">
        <v>87</v>
      </c>
      <c r="H2295" s="35" t="s">
        <v>61</v>
      </c>
      <c r="I2295" s="4" t="s">
        <v>2025</v>
      </c>
    </row>
    <row r="2296" customFormat="false" ht="15" hidden="false" customHeight="false" outlineLevel="0" collapsed="false">
      <c r="A2296" s="35" t="s">
        <v>5575</v>
      </c>
      <c r="B2296" s="35" t="s">
        <v>5576</v>
      </c>
      <c r="C2296" s="35" t="s">
        <v>48</v>
      </c>
      <c r="D2296" s="35" t="s">
        <v>107</v>
      </c>
      <c r="E2296" s="35" t="s">
        <v>397</v>
      </c>
      <c r="F2296" s="35"/>
      <c r="G2296" s="35" t="s">
        <v>87</v>
      </c>
      <c r="H2296" s="35" t="s">
        <v>61</v>
      </c>
      <c r="I2296" s="4"/>
    </row>
    <row r="2297" customFormat="false" ht="15" hidden="false" customHeight="false" outlineLevel="0" collapsed="false">
      <c r="A2297" s="35" t="s">
        <v>1699</v>
      </c>
      <c r="B2297" s="35" t="s">
        <v>5577</v>
      </c>
      <c r="C2297" s="35" t="s">
        <v>48</v>
      </c>
      <c r="D2297" s="35" t="s">
        <v>57</v>
      </c>
      <c r="E2297" s="35" t="s">
        <v>1699</v>
      </c>
      <c r="F2297" s="35"/>
      <c r="G2297" s="35" t="s">
        <v>99</v>
      </c>
      <c r="H2297" s="35" t="s">
        <v>61</v>
      </c>
      <c r="I2297" s="4"/>
    </row>
    <row r="2298" customFormat="false" ht="15" hidden="false" customHeight="false" outlineLevel="0" collapsed="false">
      <c r="A2298" s="35" t="s">
        <v>5578</v>
      </c>
      <c r="B2298" s="35" t="s">
        <v>5579</v>
      </c>
      <c r="C2298" s="35" t="s">
        <v>48</v>
      </c>
      <c r="D2298" s="35" t="s">
        <v>57</v>
      </c>
      <c r="E2298" s="35" t="s">
        <v>239</v>
      </c>
      <c r="F2298" s="35"/>
      <c r="G2298" s="35" t="s">
        <v>725</v>
      </c>
      <c r="H2298" s="35" t="s">
        <v>61</v>
      </c>
      <c r="I2298" s="4"/>
    </row>
    <row r="2299" customFormat="false" ht="15" hidden="false" customHeight="false" outlineLevel="0" collapsed="false">
      <c r="A2299" s="35" t="s">
        <v>1700</v>
      </c>
      <c r="B2299" s="35" t="s">
        <v>5580</v>
      </c>
      <c r="C2299" s="35" t="s">
        <v>48</v>
      </c>
      <c r="D2299" s="35" t="s">
        <v>57</v>
      </c>
      <c r="E2299" s="35" t="s">
        <v>1700</v>
      </c>
      <c r="F2299" s="35"/>
      <c r="G2299" s="35" t="s">
        <v>725</v>
      </c>
      <c r="H2299" s="35" t="s">
        <v>61</v>
      </c>
      <c r="I2299" s="4"/>
    </row>
    <row r="2300" customFormat="false" ht="15" hidden="false" customHeight="false" outlineLevel="0" collapsed="false">
      <c r="A2300" s="35" t="s">
        <v>1701</v>
      </c>
      <c r="B2300" s="35" t="s">
        <v>5581</v>
      </c>
      <c r="C2300" s="35" t="s">
        <v>48</v>
      </c>
      <c r="D2300" s="35" t="s">
        <v>57</v>
      </c>
      <c r="E2300" s="35" t="s">
        <v>1701</v>
      </c>
      <c r="F2300" s="35"/>
      <c r="G2300" s="35" t="s">
        <v>725</v>
      </c>
      <c r="H2300" s="35" t="s">
        <v>61</v>
      </c>
      <c r="I2300" s="4"/>
    </row>
    <row r="2301" customFormat="false" ht="15" hidden="false" customHeight="false" outlineLevel="0" collapsed="false">
      <c r="A2301" s="35" t="s">
        <v>419</v>
      </c>
      <c r="B2301" s="35" t="s">
        <v>420</v>
      </c>
      <c r="C2301" s="35" t="s">
        <v>48</v>
      </c>
      <c r="D2301" s="35" t="s">
        <v>114</v>
      </c>
      <c r="E2301" s="35"/>
      <c r="F2301" s="35"/>
      <c r="G2301" s="35" t="s">
        <v>421</v>
      </c>
      <c r="H2301" s="35" t="s">
        <v>61</v>
      </c>
      <c r="I2301" s="4" t="s">
        <v>2025</v>
      </c>
    </row>
    <row r="2302" customFormat="false" ht="15" hidden="false" customHeight="false" outlineLevel="0" collapsed="false">
      <c r="A2302" s="35" t="s">
        <v>5582</v>
      </c>
      <c r="B2302" s="35" t="s">
        <v>5583</v>
      </c>
      <c r="C2302" s="35" t="s">
        <v>48</v>
      </c>
      <c r="D2302" s="35" t="s">
        <v>53</v>
      </c>
      <c r="E2302" s="35"/>
      <c r="F2302" s="35"/>
      <c r="G2302" s="35" t="s">
        <v>328</v>
      </c>
      <c r="H2302" s="35" t="s">
        <v>61</v>
      </c>
      <c r="I2302" s="4"/>
    </row>
    <row r="2303" customFormat="false" ht="15" hidden="false" customHeight="false" outlineLevel="0" collapsed="false">
      <c r="A2303" s="35" t="s">
        <v>1705</v>
      </c>
      <c r="B2303" s="35" t="s">
        <v>5584</v>
      </c>
      <c r="C2303" s="35" t="s">
        <v>48</v>
      </c>
      <c r="D2303" s="35" t="s">
        <v>107</v>
      </c>
      <c r="E2303" s="35" t="s">
        <v>1704</v>
      </c>
      <c r="F2303" s="35"/>
      <c r="G2303" s="35" t="s">
        <v>742</v>
      </c>
      <c r="H2303" s="35" t="s">
        <v>61</v>
      </c>
      <c r="I2303" s="4"/>
    </row>
    <row r="2304" customFormat="false" ht="15" hidden="false" customHeight="false" outlineLevel="0" collapsed="false">
      <c r="A2304" s="35" t="s">
        <v>5585</v>
      </c>
      <c r="B2304" s="35" t="s">
        <v>5586</v>
      </c>
      <c r="C2304" s="35" t="s">
        <v>48</v>
      </c>
      <c r="D2304" s="35" t="s">
        <v>107</v>
      </c>
      <c r="E2304" s="35" t="s">
        <v>351</v>
      </c>
      <c r="F2304" s="35"/>
      <c r="G2304" s="35" t="s">
        <v>337</v>
      </c>
      <c r="H2304" s="35" t="s">
        <v>61</v>
      </c>
      <c r="I2304" s="4"/>
    </row>
    <row r="2305" customFormat="false" ht="15" hidden="false" customHeight="false" outlineLevel="0" collapsed="false">
      <c r="A2305" s="35" t="s">
        <v>5587</v>
      </c>
      <c r="B2305" s="35" t="s">
        <v>5588</v>
      </c>
      <c r="C2305" s="35" t="s">
        <v>48</v>
      </c>
      <c r="D2305" s="35" t="s">
        <v>107</v>
      </c>
      <c r="E2305" s="35" t="s">
        <v>925</v>
      </c>
      <c r="F2305" s="35"/>
      <c r="G2305" s="35" t="s">
        <v>337</v>
      </c>
      <c r="H2305" s="35" t="s">
        <v>61</v>
      </c>
      <c r="I2305" s="4"/>
    </row>
    <row r="2306" customFormat="false" ht="15" hidden="false" customHeight="false" outlineLevel="0" collapsed="false">
      <c r="A2306" s="35" t="s">
        <v>5589</v>
      </c>
      <c r="B2306" s="35" t="s">
        <v>5590</v>
      </c>
      <c r="C2306" s="35" t="s">
        <v>48</v>
      </c>
      <c r="D2306" s="35" t="s">
        <v>107</v>
      </c>
      <c r="E2306" s="35" t="s">
        <v>351</v>
      </c>
      <c r="F2306" s="35"/>
      <c r="G2306" s="35" t="s">
        <v>337</v>
      </c>
      <c r="H2306" s="35" t="s">
        <v>61</v>
      </c>
      <c r="I2306" s="4"/>
    </row>
    <row r="2307" customFormat="false" ht="15" hidden="false" customHeight="false" outlineLevel="0" collapsed="false">
      <c r="A2307" s="35" t="s">
        <v>5591</v>
      </c>
      <c r="B2307" s="35" t="s">
        <v>5592</v>
      </c>
      <c r="C2307" s="35" t="s">
        <v>48</v>
      </c>
      <c r="D2307" s="35" t="s">
        <v>107</v>
      </c>
      <c r="E2307" s="35" t="s">
        <v>347</v>
      </c>
      <c r="F2307" s="35"/>
      <c r="G2307" s="35" t="s">
        <v>337</v>
      </c>
      <c r="H2307" s="35" t="s">
        <v>61</v>
      </c>
      <c r="I2307" s="4"/>
    </row>
    <row r="2308" customFormat="false" ht="15" hidden="false" customHeight="false" outlineLevel="0" collapsed="false">
      <c r="A2308" s="35" t="s">
        <v>5593</v>
      </c>
      <c r="B2308" s="35" t="s">
        <v>5594</v>
      </c>
      <c r="C2308" s="35" t="s">
        <v>48</v>
      </c>
      <c r="D2308" s="35" t="s">
        <v>107</v>
      </c>
      <c r="E2308" s="35" t="s">
        <v>989</v>
      </c>
      <c r="F2308" s="35"/>
      <c r="G2308" s="35" t="s">
        <v>337</v>
      </c>
      <c r="H2308" s="35" t="s">
        <v>61</v>
      </c>
      <c r="I2308" s="4"/>
    </row>
    <row r="2309" customFormat="false" ht="15" hidden="false" customHeight="false" outlineLevel="0" collapsed="false">
      <c r="A2309" s="35" t="s">
        <v>5595</v>
      </c>
      <c r="B2309" s="35" t="s">
        <v>5596</v>
      </c>
      <c r="C2309" s="35" t="s">
        <v>48</v>
      </c>
      <c r="D2309" s="35" t="s">
        <v>107</v>
      </c>
      <c r="E2309" s="35" t="s">
        <v>1109</v>
      </c>
      <c r="F2309" s="35"/>
      <c r="G2309" s="35" t="s">
        <v>49</v>
      </c>
      <c r="H2309" s="35" t="s">
        <v>49</v>
      </c>
      <c r="I2309" s="4"/>
    </row>
    <row r="2310" customFormat="false" ht="15" hidden="false" customHeight="false" outlineLevel="0" collapsed="false">
      <c r="A2310" s="35" t="s">
        <v>5597</v>
      </c>
      <c r="B2310" s="35" t="s">
        <v>5598</v>
      </c>
      <c r="C2310" s="35" t="s">
        <v>48</v>
      </c>
      <c r="D2310" s="35" t="s">
        <v>107</v>
      </c>
      <c r="E2310" s="35" t="s">
        <v>347</v>
      </c>
      <c r="F2310" s="35"/>
      <c r="G2310" s="35" t="s">
        <v>337</v>
      </c>
      <c r="H2310" s="35" t="s">
        <v>61</v>
      </c>
      <c r="I2310" s="4"/>
    </row>
    <row r="2311" customFormat="false" ht="15" hidden="false" customHeight="false" outlineLevel="0" collapsed="false">
      <c r="A2311" s="35" t="s">
        <v>5599</v>
      </c>
      <c r="B2311" s="35" t="s">
        <v>5600</v>
      </c>
      <c r="C2311" s="35" t="s">
        <v>48</v>
      </c>
      <c r="D2311" s="35" t="s">
        <v>114</v>
      </c>
      <c r="E2311" s="35"/>
      <c r="F2311" s="35"/>
      <c r="G2311" s="35" t="s">
        <v>720</v>
      </c>
      <c r="H2311" s="35" t="s">
        <v>61</v>
      </c>
      <c r="I2311" s="4"/>
    </row>
    <row r="2312" customFormat="false" ht="15" hidden="false" customHeight="false" outlineLevel="0" collapsed="false">
      <c r="A2312" s="35" t="s">
        <v>5601</v>
      </c>
      <c r="B2312" s="35" t="s">
        <v>5602</v>
      </c>
      <c r="C2312" s="35" t="s">
        <v>48</v>
      </c>
      <c r="D2312" s="35" t="s">
        <v>114</v>
      </c>
      <c r="E2312" s="35"/>
      <c r="F2312" s="35"/>
      <c r="G2312" s="35" t="s">
        <v>720</v>
      </c>
      <c r="H2312" s="35" t="s">
        <v>61</v>
      </c>
      <c r="I2312" s="4"/>
    </row>
    <row r="2313" customFormat="false" ht="15" hidden="false" customHeight="false" outlineLevel="0" collapsed="false">
      <c r="A2313" s="35" t="s">
        <v>5603</v>
      </c>
      <c r="B2313" s="35" t="s">
        <v>5604</v>
      </c>
      <c r="C2313" s="35" t="s">
        <v>48</v>
      </c>
      <c r="D2313" s="35" t="s">
        <v>114</v>
      </c>
      <c r="E2313" s="35"/>
      <c r="F2313" s="35"/>
      <c r="G2313" s="35" t="s">
        <v>720</v>
      </c>
      <c r="H2313" s="35" t="s">
        <v>61</v>
      </c>
      <c r="I2313" s="4"/>
    </row>
    <row r="2314" customFormat="false" ht="15" hidden="false" customHeight="false" outlineLevel="0" collapsed="false">
      <c r="A2314" s="35" t="s">
        <v>5605</v>
      </c>
      <c r="B2314" s="35" t="s">
        <v>5606</v>
      </c>
      <c r="C2314" s="35" t="s">
        <v>48</v>
      </c>
      <c r="D2314" s="35" t="s">
        <v>114</v>
      </c>
      <c r="E2314" s="35"/>
      <c r="F2314" s="35"/>
      <c r="G2314" s="35" t="s">
        <v>720</v>
      </c>
      <c r="H2314" s="35" t="s">
        <v>61</v>
      </c>
      <c r="I2314" s="4"/>
    </row>
    <row r="2315" customFormat="false" ht="15" hidden="false" customHeight="false" outlineLevel="0" collapsed="false">
      <c r="A2315" s="35" t="s">
        <v>5607</v>
      </c>
      <c r="B2315" s="35" t="s">
        <v>5608</v>
      </c>
      <c r="C2315" s="35" t="s">
        <v>48</v>
      </c>
      <c r="D2315" s="35" t="s">
        <v>114</v>
      </c>
      <c r="E2315" s="35"/>
      <c r="F2315" s="35"/>
      <c r="G2315" s="35" t="s">
        <v>720</v>
      </c>
      <c r="H2315" s="35" t="s">
        <v>61</v>
      </c>
      <c r="I2315" s="4"/>
    </row>
    <row r="2316" customFormat="false" ht="15" hidden="false" customHeight="false" outlineLevel="0" collapsed="false">
      <c r="A2316" s="35" t="s">
        <v>5609</v>
      </c>
      <c r="B2316" s="35" t="s">
        <v>5610</v>
      </c>
      <c r="C2316" s="35" t="s">
        <v>48</v>
      </c>
      <c r="D2316" s="35" t="s">
        <v>57</v>
      </c>
      <c r="E2316" s="35" t="s">
        <v>347</v>
      </c>
      <c r="F2316" s="35"/>
      <c r="G2316" s="35" t="s">
        <v>337</v>
      </c>
      <c r="H2316" s="35" t="s">
        <v>61</v>
      </c>
      <c r="I2316" s="4"/>
    </row>
    <row r="2317" customFormat="false" ht="15" hidden="false" customHeight="false" outlineLevel="0" collapsed="false">
      <c r="A2317" s="35" t="s">
        <v>5611</v>
      </c>
      <c r="B2317" s="35" t="s">
        <v>5612</v>
      </c>
      <c r="C2317" s="35" t="s">
        <v>48</v>
      </c>
      <c r="D2317" s="35" t="s">
        <v>57</v>
      </c>
      <c r="E2317" s="35" t="s">
        <v>351</v>
      </c>
      <c r="F2317" s="35"/>
      <c r="G2317" s="35" t="s">
        <v>337</v>
      </c>
      <c r="H2317" s="35" t="s">
        <v>61</v>
      </c>
      <c r="I2317" s="4"/>
    </row>
    <row r="2318" customFormat="false" ht="15" hidden="false" customHeight="false" outlineLevel="0" collapsed="false">
      <c r="A2318" s="35" t="s">
        <v>5613</v>
      </c>
      <c r="B2318" s="35" t="s">
        <v>5614</v>
      </c>
      <c r="C2318" s="35" t="s">
        <v>48</v>
      </c>
      <c r="D2318" s="35" t="s">
        <v>53</v>
      </c>
      <c r="E2318" s="35"/>
      <c r="F2318" s="35"/>
      <c r="G2318" s="35" t="s">
        <v>752</v>
      </c>
      <c r="H2318" s="35" t="s">
        <v>61</v>
      </c>
      <c r="I2318" s="4"/>
    </row>
    <row r="2319" customFormat="false" ht="15" hidden="false" customHeight="false" outlineLevel="0" collapsed="false">
      <c r="A2319" s="35" t="s">
        <v>5615</v>
      </c>
      <c r="B2319" s="35" t="s">
        <v>5616</v>
      </c>
      <c r="C2319" s="35" t="s">
        <v>48</v>
      </c>
      <c r="D2319" s="35" t="s">
        <v>57</v>
      </c>
      <c r="E2319" s="35" t="s">
        <v>347</v>
      </c>
      <c r="F2319" s="35"/>
      <c r="G2319" s="35" t="s">
        <v>337</v>
      </c>
      <c r="H2319" s="35" t="s">
        <v>61</v>
      </c>
      <c r="I2319" s="4"/>
    </row>
    <row r="2320" customFormat="false" ht="15" hidden="false" customHeight="false" outlineLevel="0" collapsed="false">
      <c r="A2320" s="35" t="s">
        <v>5617</v>
      </c>
      <c r="B2320" s="35" t="s">
        <v>5618</v>
      </c>
      <c r="C2320" s="35" t="s">
        <v>48</v>
      </c>
      <c r="D2320" s="35" t="s">
        <v>53</v>
      </c>
      <c r="E2320" s="35"/>
      <c r="F2320" s="35"/>
      <c r="G2320" s="35" t="s">
        <v>337</v>
      </c>
      <c r="H2320" s="35" t="s">
        <v>61</v>
      </c>
      <c r="I2320" s="4"/>
    </row>
    <row r="2321" customFormat="false" ht="15" hidden="false" customHeight="false" outlineLevel="0" collapsed="false">
      <c r="A2321" s="35" t="s">
        <v>5619</v>
      </c>
      <c r="B2321" s="35" t="s">
        <v>5620</v>
      </c>
      <c r="C2321" s="35" t="s">
        <v>48</v>
      </c>
      <c r="D2321" s="35" t="s">
        <v>57</v>
      </c>
      <c r="E2321" s="35" t="s">
        <v>351</v>
      </c>
      <c r="F2321" s="35"/>
      <c r="G2321" s="35" t="s">
        <v>337</v>
      </c>
      <c r="H2321" s="35" t="s">
        <v>61</v>
      </c>
      <c r="I2321" s="4"/>
    </row>
    <row r="2322" customFormat="false" ht="15" hidden="false" customHeight="false" outlineLevel="0" collapsed="false">
      <c r="A2322" s="35" t="s">
        <v>5621</v>
      </c>
      <c r="B2322" s="35" t="s">
        <v>5622</v>
      </c>
      <c r="C2322" s="35" t="s">
        <v>48</v>
      </c>
      <c r="D2322" s="35" t="s">
        <v>107</v>
      </c>
      <c r="E2322" s="35" t="s">
        <v>1054</v>
      </c>
      <c r="F2322" s="35"/>
      <c r="G2322" s="35" t="s">
        <v>337</v>
      </c>
      <c r="H2322" s="35" t="s">
        <v>61</v>
      </c>
      <c r="I2322" s="4"/>
    </row>
    <row r="2323" customFormat="false" ht="15" hidden="false" customHeight="false" outlineLevel="0" collapsed="false">
      <c r="A2323" s="35" t="s">
        <v>5623</v>
      </c>
      <c r="B2323" s="35" t="s">
        <v>5624</v>
      </c>
      <c r="C2323" s="35" t="s">
        <v>48</v>
      </c>
      <c r="D2323" s="35" t="s">
        <v>53</v>
      </c>
      <c r="E2323" s="35"/>
      <c r="F2323" s="35"/>
      <c r="G2323" s="35" t="s">
        <v>337</v>
      </c>
      <c r="H2323" s="35" t="s">
        <v>61</v>
      </c>
      <c r="I2323" s="4"/>
    </row>
    <row r="2324" customFormat="false" ht="15" hidden="false" customHeight="false" outlineLevel="0" collapsed="false">
      <c r="A2324" s="35" t="s">
        <v>5625</v>
      </c>
      <c r="B2324" s="35" t="s">
        <v>5626</v>
      </c>
      <c r="C2324" s="35" t="s">
        <v>48</v>
      </c>
      <c r="D2324" s="35" t="s">
        <v>107</v>
      </c>
      <c r="E2324" s="35" t="s">
        <v>347</v>
      </c>
      <c r="F2324" s="35"/>
      <c r="G2324" s="35" t="s">
        <v>337</v>
      </c>
      <c r="H2324" s="35" t="s">
        <v>61</v>
      </c>
      <c r="I2324" s="4"/>
    </row>
    <row r="2325" customFormat="false" ht="15" hidden="false" customHeight="false" outlineLevel="0" collapsed="false">
      <c r="A2325" s="35" t="s">
        <v>5627</v>
      </c>
      <c r="B2325" s="35" t="s">
        <v>5628</v>
      </c>
      <c r="C2325" s="35" t="s">
        <v>48</v>
      </c>
      <c r="D2325" s="35" t="s">
        <v>107</v>
      </c>
      <c r="E2325" s="35" t="s">
        <v>347</v>
      </c>
      <c r="F2325" s="35"/>
      <c r="G2325" s="35" t="s">
        <v>337</v>
      </c>
      <c r="H2325" s="35" t="s">
        <v>61</v>
      </c>
      <c r="I2325" s="4"/>
    </row>
    <row r="2326" customFormat="false" ht="15" hidden="false" customHeight="false" outlineLevel="0" collapsed="false">
      <c r="A2326" s="35" t="s">
        <v>1709</v>
      </c>
      <c r="B2326" s="35" t="s">
        <v>5629</v>
      </c>
      <c r="C2326" s="35" t="s">
        <v>48</v>
      </c>
      <c r="D2326" s="35" t="s">
        <v>107</v>
      </c>
      <c r="E2326" s="35" t="s">
        <v>1708</v>
      </c>
      <c r="F2326" s="35"/>
      <c r="G2326" s="35" t="s">
        <v>417</v>
      </c>
      <c r="H2326" s="35" t="s">
        <v>61</v>
      </c>
      <c r="I2326" s="4"/>
    </row>
    <row r="2327" customFormat="false" ht="15" hidden="false" customHeight="false" outlineLevel="0" collapsed="false">
      <c r="A2327" s="35" t="s">
        <v>5630</v>
      </c>
      <c r="B2327" s="35" t="s">
        <v>5631</v>
      </c>
      <c r="C2327" s="35" t="s">
        <v>48</v>
      </c>
      <c r="D2327" s="35" t="s">
        <v>53</v>
      </c>
      <c r="E2327" s="35"/>
      <c r="F2327" s="35"/>
      <c r="G2327" s="35" t="s">
        <v>328</v>
      </c>
      <c r="H2327" s="35" t="s">
        <v>61</v>
      </c>
      <c r="I2327" s="4"/>
    </row>
    <row r="2328" customFormat="false" ht="15" hidden="false" customHeight="false" outlineLevel="0" collapsed="false">
      <c r="A2328" s="35" t="s">
        <v>1712</v>
      </c>
      <c r="B2328" s="35" t="s">
        <v>5632</v>
      </c>
      <c r="C2328" s="35" t="s">
        <v>48</v>
      </c>
      <c r="D2328" s="35" t="s">
        <v>57</v>
      </c>
      <c r="E2328" s="35" t="s">
        <v>1712</v>
      </c>
      <c r="F2328" s="35"/>
      <c r="G2328" s="35" t="s">
        <v>417</v>
      </c>
      <c r="H2328" s="35" t="s">
        <v>61</v>
      </c>
      <c r="I2328" s="4"/>
    </row>
    <row r="2329" customFormat="false" ht="15" hidden="false" customHeight="false" outlineLevel="0" collapsed="false">
      <c r="A2329" s="35" t="s">
        <v>5633</v>
      </c>
      <c r="B2329" s="35" t="s">
        <v>5634</v>
      </c>
      <c r="C2329" s="35" t="s">
        <v>48</v>
      </c>
      <c r="D2329" s="35" t="s">
        <v>114</v>
      </c>
      <c r="E2329" s="35"/>
      <c r="F2329" s="35"/>
      <c r="G2329" s="35" t="s">
        <v>49</v>
      </c>
      <c r="H2329" s="35" t="s">
        <v>49</v>
      </c>
      <c r="I2329" s="4"/>
    </row>
    <row r="2330" customFormat="false" ht="15" hidden="false" customHeight="false" outlineLevel="0" collapsed="false">
      <c r="A2330" s="35" t="s">
        <v>402</v>
      </c>
      <c r="B2330" s="35" t="s">
        <v>404</v>
      </c>
      <c r="C2330" s="35" t="s">
        <v>48</v>
      </c>
      <c r="D2330" s="35" t="s">
        <v>57</v>
      </c>
      <c r="E2330" s="35" t="s">
        <v>403</v>
      </c>
      <c r="F2330" s="35"/>
      <c r="G2330" s="35" t="s">
        <v>87</v>
      </c>
      <c r="H2330" s="35" t="s">
        <v>61</v>
      </c>
      <c r="I2330" s="4" t="s">
        <v>2025</v>
      </c>
    </row>
    <row r="2331" customFormat="false" ht="15" hidden="false" customHeight="false" outlineLevel="0" collapsed="false">
      <c r="A2331" s="35" t="s">
        <v>5635</v>
      </c>
      <c r="B2331" s="35" t="s">
        <v>5636</v>
      </c>
      <c r="C2331" s="35" t="s">
        <v>48</v>
      </c>
      <c r="D2331" s="35" t="s">
        <v>57</v>
      </c>
      <c r="E2331" s="35" t="s">
        <v>403</v>
      </c>
      <c r="F2331" s="35"/>
      <c r="G2331" s="35" t="s">
        <v>87</v>
      </c>
      <c r="H2331" s="35" t="s">
        <v>61</v>
      </c>
      <c r="I2331" s="4"/>
    </row>
    <row r="2332" customFormat="false" ht="15" hidden="false" customHeight="false" outlineLevel="0" collapsed="false">
      <c r="A2332" s="35" t="s">
        <v>5637</v>
      </c>
      <c r="B2332" s="35" t="s">
        <v>5638</v>
      </c>
      <c r="C2332" s="35" t="s">
        <v>48</v>
      </c>
      <c r="D2332" s="35" t="s">
        <v>57</v>
      </c>
      <c r="E2332" s="35" t="s">
        <v>403</v>
      </c>
      <c r="F2332" s="35"/>
      <c r="G2332" s="35" t="s">
        <v>87</v>
      </c>
      <c r="H2332" s="35" t="s">
        <v>61</v>
      </c>
      <c r="I2332" s="4"/>
    </row>
    <row r="2333" customFormat="false" ht="15" hidden="false" customHeight="false" outlineLevel="0" collapsed="false">
      <c r="A2333" s="35" t="s">
        <v>5639</v>
      </c>
      <c r="B2333" s="35" t="s">
        <v>5640</v>
      </c>
      <c r="C2333" s="35" t="s">
        <v>48</v>
      </c>
      <c r="D2333" s="35" t="s">
        <v>57</v>
      </c>
      <c r="E2333" s="35" t="s">
        <v>403</v>
      </c>
      <c r="F2333" s="35"/>
      <c r="G2333" s="35" t="s">
        <v>87</v>
      </c>
      <c r="H2333" s="35" t="s">
        <v>61</v>
      </c>
      <c r="I2333" s="4"/>
    </row>
    <row r="2334" customFormat="false" ht="15" hidden="false" customHeight="false" outlineLevel="0" collapsed="false">
      <c r="A2334" s="35" t="s">
        <v>5641</v>
      </c>
      <c r="B2334" s="35" t="s">
        <v>5642</v>
      </c>
      <c r="C2334" s="35" t="s">
        <v>48</v>
      </c>
      <c r="D2334" s="35" t="s">
        <v>57</v>
      </c>
      <c r="E2334" s="35" t="s">
        <v>403</v>
      </c>
      <c r="F2334" s="35"/>
      <c r="G2334" s="35" t="s">
        <v>87</v>
      </c>
      <c r="H2334" s="35" t="s">
        <v>61</v>
      </c>
      <c r="I2334" s="4"/>
    </row>
    <row r="2335" customFormat="false" ht="15" hidden="false" customHeight="false" outlineLevel="0" collapsed="false">
      <c r="A2335" s="35" t="s">
        <v>5643</v>
      </c>
      <c r="B2335" s="35" t="s">
        <v>5644</v>
      </c>
      <c r="C2335" s="35" t="s">
        <v>48</v>
      </c>
      <c r="D2335" s="35" t="s">
        <v>107</v>
      </c>
      <c r="E2335" s="35" t="s">
        <v>403</v>
      </c>
      <c r="F2335" s="35"/>
      <c r="G2335" s="35" t="s">
        <v>87</v>
      </c>
      <c r="H2335" s="35" t="s">
        <v>61</v>
      </c>
      <c r="I2335" s="4"/>
    </row>
    <row r="2336" customFormat="false" ht="15" hidden="false" customHeight="false" outlineLevel="0" collapsed="false">
      <c r="A2336" s="35" t="s">
        <v>5645</v>
      </c>
      <c r="B2336" s="35" t="s">
        <v>5646</v>
      </c>
      <c r="C2336" s="35" t="s">
        <v>48</v>
      </c>
      <c r="D2336" s="35" t="s">
        <v>107</v>
      </c>
      <c r="E2336" s="35" t="s">
        <v>403</v>
      </c>
      <c r="F2336" s="35"/>
      <c r="G2336" s="35" t="s">
        <v>87</v>
      </c>
      <c r="H2336" s="35" t="s">
        <v>61</v>
      </c>
      <c r="I2336" s="4"/>
    </row>
    <row r="2337" customFormat="false" ht="15" hidden="false" customHeight="false" outlineLevel="0" collapsed="false">
      <c r="A2337" s="35" t="s">
        <v>1477</v>
      </c>
      <c r="B2337" s="35" t="s">
        <v>5647</v>
      </c>
      <c r="C2337" s="35" t="s">
        <v>48</v>
      </c>
      <c r="D2337" s="35" t="s">
        <v>107</v>
      </c>
      <c r="E2337" s="35" t="s">
        <v>1476</v>
      </c>
      <c r="F2337" s="35"/>
      <c r="G2337" s="35" t="s">
        <v>87</v>
      </c>
      <c r="H2337" s="35" t="s">
        <v>61</v>
      </c>
      <c r="I2337" s="4"/>
    </row>
    <row r="2338" customFormat="false" ht="15" hidden="false" customHeight="false" outlineLevel="0" collapsed="false">
      <c r="A2338" s="35" t="s">
        <v>1475</v>
      </c>
      <c r="B2338" s="35" t="s">
        <v>5648</v>
      </c>
      <c r="C2338" s="35" t="s">
        <v>48</v>
      </c>
      <c r="D2338" s="35" t="s">
        <v>107</v>
      </c>
      <c r="E2338" s="35" t="s">
        <v>1474</v>
      </c>
      <c r="F2338" s="35"/>
      <c r="G2338" s="35" t="s">
        <v>87</v>
      </c>
      <c r="H2338" s="35" t="s">
        <v>61</v>
      </c>
      <c r="I2338" s="4"/>
    </row>
    <row r="2339" customFormat="false" ht="15" hidden="false" customHeight="false" outlineLevel="0" collapsed="false">
      <c r="A2339" s="35" t="s">
        <v>5649</v>
      </c>
      <c r="B2339" s="35" t="s">
        <v>5650</v>
      </c>
      <c r="C2339" s="35" t="s">
        <v>48</v>
      </c>
      <c r="D2339" s="35" t="s">
        <v>57</v>
      </c>
      <c r="E2339" s="35" t="s">
        <v>403</v>
      </c>
      <c r="F2339" s="35"/>
      <c r="G2339" s="35" t="s">
        <v>686</v>
      </c>
      <c r="H2339" s="35" t="s">
        <v>61</v>
      </c>
      <c r="I2339" s="4"/>
    </row>
    <row r="2340" customFormat="false" ht="15" hidden="false" customHeight="false" outlineLevel="0" collapsed="false">
      <c r="A2340" s="35" t="s">
        <v>5651</v>
      </c>
      <c r="B2340" s="35" t="s">
        <v>5652</v>
      </c>
      <c r="C2340" s="35" t="s">
        <v>48</v>
      </c>
      <c r="D2340" s="35" t="s">
        <v>57</v>
      </c>
      <c r="E2340" s="35" t="s">
        <v>553</v>
      </c>
      <c r="F2340" s="35"/>
      <c r="G2340" s="35" t="s">
        <v>555</v>
      </c>
      <c r="H2340" s="35" t="s">
        <v>61</v>
      </c>
      <c r="I2340" s="4"/>
    </row>
    <row r="2341" customFormat="false" ht="15" hidden="false" customHeight="false" outlineLevel="0" collapsed="false">
      <c r="A2341" s="35" t="s">
        <v>5653</v>
      </c>
      <c r="B2341" s="35" t="s">
        <v>5652</v>
      </c>
      <c r="C2341" s="35" t="s">
        <v>48</v>
      </c>
      <c r="D2341" s="35" t="s">
        <v>57</v>
      </c>
      <c r="E2341" s="35" t="s">
        <v>553</v>
      </c>
      <c r="F2341" s="35"/>
      <c r="G2341" s="35" t="s">
        <v>555</v>
      </c>
      <c r="H2341" s="35" t="s">
        <v>61</v>
      </c>
      <c r="I2341" s="4"/>
    </row>
    <row r="2342" customFormat="false" ht="15" hidden="false" customHeight="false" outlineLevel="0" collapsed="false">
      <c r="A2342" s="35" t="s">
        <v>5654</v>
      </c>
      <c r="B2342" s="35" t="s">
        <v>5655</v>
      </c>
      <c r="C2342" s="35" t="s">
        <v>48</v>
      </c>
      <c r="D2342" s="35" t="s">
        <v>57</v>
      </c>
      <c r="E2342" s="35" t="s">
        <v>553</v>
      </c>
      <c r="F2342" s="35"/>
      <c r="G2342" s="35" t="s">
        <v>555</v>
      </c>
      <c r="H2342" s="35" t="s">
        <v>61</v>
      </c>
      <c r="I2342" s="4"/>
    </row>
    <row r="2343" customFormat="false" ht="15" hidden="false" customHeight="false" outlineLevel="0" collapsed="false">
      <c r="A2343" s="35" t="s">
        <v>5656</v>
      </c>
      <c r="B2343" s="35" t="s">
        <v>5657</v>
      </c>
      <c r="C2343" s="35" t="s">
        <v>48</v>
      </c>
      <c r="D2343" s="35" t="s">
        <v>57</v>
      </c>
      <c r="E2343" s="35" t="s">
        <v>553</v>
      </c>
      <c r="F2343" s="35"/>
      <c r="G2343" s="35" t="s">
        <v>555</v>
      </c>
      <c r="H2343" s="35" t="s">
        <v>61</v>
      </c>
      <c r="I2343" s="4"/>
    </row>
    <row r="2344" customFormat="false" ht="15" hidden="false" customHeight="false" outlineLevel="0" collapsed="false">
      <c r="A2344" s="35" t="s">
        <v>5658</v>
      </c>
      <c r="B2344" s="35" t="s">
        <v>5659</v>
      </c>
      <c r="C2344" s="35" t="s">
        <v>48</v>
      </c>
      <c r="D2344" s="35" t="s">
        <v>57</v>
      </c>
      <c r="E2344" s="35" t="s">
        <v>553</v>
      </c>
      <c r="F2344" s="35"/>
      <c r="G2344" s="35" t="s">
        <v>555</v>
      </c>
      <c r="H2344" s="35" t="s">
        <v>61</v>
      </c>
      <c r="I2344" s="4"/>
    </row>
    <row r="2345" customFormat="false" ht="15" hidden="false" customHeight="false" outlineLevel="0" collapsed="false">
      <c r="A2345" s="35" t="s">
        <v>5660</v>
      </c>
      <c r="B2345" s="35" t="s">
        <v>5661</v>
      </c>
      <c r="C2345" s="35" t="s">
        <v>48</v>
      </c>
      <c r="D2345" s="35" t="s">
        <v>57</v>
      </c>
      <c r="E2345" s="35" t="s">
        <v>553</v>
      </c>
      <c r="F2345" s="35"/>
      <c r="G2345" s="35" t="s">
        <v>555</v>
      </c>
      <c r="H2345" s="35" t="s">
        <v>245</v>
      </c>
      <c r="I2345" s="4"/>
    </row>
    <row r="2346" customFormat="false" ht="15" hidden="false" customHeight="false" outlineLevel="0" collapsed="false">
      <c r="A2346" s="35" t="s">
        <v>5662</v>
      </c>
      <c r="B2346" s="35" t="s">
        <v>5663</v>
      </c>
      <c r="C2346" s="35" t="s">
        <v>48</v>
      </c>
      <c r="D2346" s="35" t="s">
        <v>57</v>
      </c>
      <c r="E2346" s="35" t="s">
        <v>553</v>
      </c>
      <c r="F2346" s="35"/>
      <c r="G2346" s="35" t="s">
        <v>555</v>
      </c>
      <c r="H2346" s="35" t="s">
        <v>61</v>
      </c>
      <c r="I2346" s="4"/>
    </row>
    <row r="2347" customFormat="false" ht="15" hidden="false" customHeight="false" outlineLevel="0" collapsed="false">
      <c r="A2347" s="35" t="s">
        <v>5664</v>
      </c>
      <c r="B2347" s="35" t="s">
        <v>5665</v>
      </c>
      <c r="C2347" s="35" t="s">
        <v>48</v>
      </c>
      <c r="D2347" s="35" t="s">
        <v>57</v>
      </c>
      <c r="E2347" s="35" t="s">
        <v>553</v>
      </c>
      <c r="F2347" s="35"/>
      <c r="G2347" s="35" t="s">
        <v>555</v>
      </c>
      <c r="H2347" s="35" t="s">
        <v>61</v>
      </c>
      <c r="I2347" s="4"/>
    </row>
    <row r="2348" customFormat="false" ht="15" hidden="false" customHeight="false" outlineLevel="0" collapsed="false">
      <c r="A2348" s="35" t="s">
        <v>5666</v>
      </c>
      <c r="B2348" s="35" t="s">
        <v>5667</v>
      </c>
      <c r="C2348" s="35" t="s">
        <v>48</v>
      </c>
      <c r="D2348" s="35" t="s">
        <v>57</v>
      </c>
      <c r="E2348" s="35" t="s">
        <v>553</v>
      </c>
      <c r="F2348" s="35"/>
      <c r="G2348" s="35" t="s">
        <v>555</v>
      </c>
      <c r="H2348" s="35" t="s">
        <v>61</v>
      </c>
      <c r="I2348" s="4"/>
    </row>
    <row r="2349" customFormat="false" ht="15" hidden="false" customHeight="false" outlineLevel="0" collapsed="false">
      <c r="A2349" s="35" t="s">
        <v>5668</v>
      </c>
      <c r="B2349" s="35" t="s">
        <v>5669</v>
      </c>
      <c r="C2349" s="35" t="s">
        <v>48</v>
      </c>
      <c r="D2349" s="35" t="s">
        <v>57</v>
      </c>
      <c r="E2349" s="35" t="s">
        <v>553</v>
      </c>
      <c r="F2349" s="35"/>
      <c r="G2349" s="35" t="s">
        <v>555</v>
      </c>
      <c r="H2349" s="35" t="s">
        <v>208</v>
      </c>
      <c r="I2349" s="4"/>
    </row>
    <row r="2350" customFormat="false" ht="15" hidden="false" customHeight="false" outlineLevel="0" collapsed="false">
      <c r="A2350" s="35" t="s">
        <v>5670</v>
      </c>
      <c r="B2350" s="35" t="s">
        <v>5671</v>
      </c>
      <c r="C2350" s="35" t="s">
        <v>48</v>
      </c>
      <c r="D2350" s="35" t="s">
        <v>146</v>
      </c>
      <c r="E2350" s="35"/>
      <c r="F2350" s="35"/>
      <c r="G2350" s="35" t="s">
        <v>555</v>
      </c>
      <c r="H2350" s="35" t="s">
        <v>61</v>
      </c>
      <c r="I2350" s="4"/>
    </row>
    <row r="2351" customFormat="false" ht="15" hidden="false" customHeight="false" outlineLevel="0" collapsed="false">
      <c r="A2351" s="35" t="s">
        <v>5672</v>
      </c>
      <c r="B2351" s="35" t="s">
        <v>5673</v>
      </c>
      <c r="C2351" s="35" t="s">
        <v>48</v>
      </c>
      <c r="D2351" s="35" t="s">
        <v>107</v>
      </c>
      <c r="E2351" s="35" t="s">
        <v>1246</v>
      </c>
      <c r="F2351" s="35"/>
      <c r="G2351" s="35" t="s">
        <v>697</v>
      </c>
      <c r="H2351" s="35" t="s">
        <v>61</v>
      </c>
      <c r="I2351" s="4"/>
    </row>
    <row r="2352" customFormat="false" ht="15" hidden="false" customHeight="false" outlineLevel="0" collapsed="false">
      <c r="A2352" s="35" t="s">
        <v>5674</v>
      </c>
      <c r="B2352" s="35" t="s">
        <v>5675</v>
      </c>
      <c r="C2352" s="35" t="s">
        <v>48</v>
      </c>
      <c r="D2352" s="35" t="s">
        <v>114</v>
      </c>
      <c r="E2352" s="35"/>
      <c r="F2352" s="35"/>
      <c r="G2352" s="35" t="s">
        <v>99</v>
      </c>
      <c r="H2352" s="35" t="s">
        <v>61</v>
      </c>
      <c r="I2352" s="4"/>
    </row>
    <row r="2353" customFormat="false" ht="15" hidden="false" customHeight="false" outlineLevel="0" collapsed="false">
      <c r="A2353" s="35" t="s">
        <v>1718</v>
      </c>
      <c r="B2353" s="35" t="s">
        <v>5676</v>
      </c>
      <c r="C2353" s="35" t="s">
        <v>48</v>
      </c>
      <c r="D2353" s="35" t="s">
        <v>107</v>
      </c>
      <c r="E2353" s="35" t="s">
        <v>1717</v>
      </c>
      <c r="F2353" s="35"/>
      <c r="G2353" s="35" t="s">
        <v>99</v>
      </c>
      <c r="H2353" s="35" t="s">
        <v>61</v>
      </c>
      <c r="I2353" s="4"/>
    </row>
    <row r="2354" customFormat="false" ht="15" hidden="false" customHeight="false" outlineLevel="0" collapsed="false">
      <c r="A2354" s="35" t="s">
        <v>1716</v>
      </c>
      <c r="B2354" s="35" t="s">
        <v>5677</v>
      </c>
      <c r="C2354" s="35" t="s">
        <v>48</v>
      </c>
      <c r="D2354" s="35" t="s">
        <v>107</v>
      </c>
      <c r="E2354" s="35" t="s">
        <v>1715</v>
      </c>
      <c r="F2354" s="35"/>
      <c r="G2354" s="35" t="s">
        <v>99</v>
      </c>
      <c r="H2354" s="35" t="s">
        <v>61</v>
      </c>
      <c r="I2354" s="4"/>
    </row>
    <row r="2355" customFormat="false" ht="15" hidden="false" customHeight="false" outlineLevel="0" collapsed="false">
      <c r="A2355" s="35" t="s">
        <v>5678</v>
      </c>
      <c r="B2355" s="35" t="s">
        <v>5679</v>
      </c>
      <c r="C2355" s="35" t="s">
        <v>48</v>
      </c>
      <c r="D2355" s="35" t="s">
        <v>53</v>
      </c>
      <c r="E2355" s="35"/>
      <c r="F2355" s="35"/>
      <c r="G2355" s="35" t="s">
        <v>695</v>
      </c>
      <c r="H2355" s="35" t="s">
        <v>61</v>
      </c>
      <c r="I2355" s="4"/>
    </row>
    <row r="2356" customFormat="false" ht="15" hidden="false" customHeight="false" outlineLevel="0" collapsed="false">
      <c r="A2356" s="35" t="s">
        <v>5680</v>
      </c>
      <c r="B2356" s="35" t="s">
        <v>5681</v>
      </c>
      <c r="C2356" s="35" t="s">
        <v>48</v>
      </c>
      <c r="D2356" s="35" t="s">
        <v>53</v>
      </c>
      <c r="E2356" s="35"/>
      <c r="F2356" s="35"/>
      <c r="G2356" s="35" t="s">
        <v>421</v>
      </c>
      <c r="H2356" s="35" t="s">
        <v>61</v>
      </c>
      <c r="I2356" s="4"/>
    </row>
    <row r="2357" customFormat="false" ht="15" hidden="false" customHeight="false" outlineLevel="0" collapsed="false">
      <c r="A2357" s="35" t="s">
        <v>5682</v>
      </c>
      <c r="B2357" s="35" t="s">
        <v>5683</v>
      </c>
      <c r="C2357" s="35" t="s">
        <v>48</v>
      </c>
      <c r="D2357" s="35" t="s">
        <v>53</v>
      </c>
      <c r="E2357" s="35"/>
      <c r="F2357" s="35"/>
      <c r="G2357" s="35" t="s">
        <v>421</v>
      </c>
      <c r="H2357" s="35" t="s">
        <v>61</v>
      </c>
      <c r="I2357" s="4"/>
    </row>
    <row r="2358" customFormat="false" ht="15" hidden="false" customHeight="false" outlineLevel="0" collapsed="false">
      <c r="A2358" s="35" t="s">
        <v>5684</v>
      </c>
      <c r="B2358" s="35" t="s">
        <v>5685</v>
      </c>
      <c r="C2358" s="35" t="s">
        <v>48</v>
      </c>
      <c r="D2358" s="35" t="s">
        <v>53</v>
      </c>
      <c r="E2358" s="35"/>
      <c r="F2358" s="35"/>
      <c r="G2358" s="35" t="s">
        <v>421</v>
      </c>
      <c r="H2358" s="35" t="s">
        <v>61</v>
      </c>
      <c r="I2358" s="4"/>
    </row>
    <row r="2359" customFormat="false" ht="15" hidden="false" customHeight="false" outlineLevel="0" collapsed="false">
      <c r="A2359" s="35" t="s">
        <v>5686</v>
      </c>
      <c r="B2359" s="35" t="s">
        <v>5687</v>
      </c>
      <c r="C2359" s="35" t="s">
        <v>48</v>
      </c>
      <c r="D2359" s="35" t="s">
        <v>53</v>
      </c>
      <c r="E2359" s="35"/>
      <c r="F2359" s="35" t="s">
        <v>5688</v>
      </c>
      <c r="G2359" s="35" t="s">
        <v>695</v>
      </c>
      <c r="H2359" s="35" t="s">
        <v>2233</v>
      </c>
      <c r="I2359" s="4"/>
    </row>
    <row r="2360" customFormat="false" ht="15" hidden="false" customHeight="false" outlineLevel="0" collapsed="false">
      <c r="A2360" s="35" t="s">
        <v>1725</v>
      </c>
      <c r="B2360" s="35" t="s">
        <v>5689</v>
      </c>
      <c r="C2360" s="35" t="s">
        <v>48</v>
      </c>
      <c r="D2360" s="35" t="s">
        <v>107</v>
      </c>
      <c r="E2360" s="35" t="s">
        <v>768</v>
      </c>
      <c r="F2360" s="35"/>
      <c r="G2360" s="35" t="s">
        <v>768</v>
      </c>
      <c r="H2360" s="35" t="s">
        <v>61</v>
      </c>
      <c r="I2360" s="4"/>
    </row>
    <row r="2361" customFormat="false" ht="15" hidden="false" customHeight="false" outlineLevel="0" collapsed="false">
      <c r="A2361" s="35" t="s">
        <v>5690</v>
      </c>
      <c r="B2361" s="35" t="s">
        <v>5691</v>
      </c>
      <c r="C2361" s="35" t="s">
        <v>48</v>
      </c>
      <c r="D2361" s="35" t="s">
        <v>157</v>
      </c>
      <c r="E2361" s="35"/>
      <c r="F2361" s="35"/>
      <c r="G2361" s="35" t="s">
        <v>99</v>
      </c>
      <c r="H2361" s="35" t="s">
        <v>61</v>
      </c>
      <c r="I2361" s="4"/>
    </row>
    <row r="2362" customFormat="false" ht="15" hidden="false" customHeight="false" outlineLevel="0" collapsed="false">
      <c r="A2362" s="35" t="s">
        <v>5692</v>
      </c>
      <c r="B2362" s="35" t="s">
        <v>5693</v>
      </c>
      <c r="C2362" s="35" t="s">
        <v>48</v>
      </c>
      <c r="D2362" s="35" t="s">
        <v>157</v>
      </c>
      <c r="E2362" s="35"/>
      <c r="F2362" s="35"/>
      <c r="G2362" s="35" t="s">
        <v>726</v>
      </c>
      <c r="H2362" s="35" t="s">
        <v>61</v>
      </c>
      <c r="I2362" s="4"/>
    </row>
    <row r="2363" customFormat="false" ht="15" hidden="false" customHeight="false" outlineLevel="0" collapsed="false">
      <c r="A2363" s="35" t="s">
        <v>5694</v>
      </c>
      <c r="B2363" s="35" t="s">
        <v>5695</v>
      </c>
      <c r="C2363" s="35" t="s">
        <v>48</v>
      </c>
      <c r="D2363" s="35" t="s">
        <v>107</v>
      </c>
      <c r="E2363" s="35" t="s">
        <v>878</v>
      </c>
      <c r="F2363" s="35" t="s">
        <v>5696</v>
      </c>
      <c r="G2363" s="35" t="s">
        <v>99</v>
      </c>
      <c r="H2363" s="35" t="s">
        <v>61</v>
      </c>
      <c r="I2363" s="4"/>
    </row>
    <row r="2364" customFormat="false" ht="15" hidden="false" customHeight="false" outlineLevel="0" collapsed="false">
      <c r="A2364" s="35" t="s">
        <v>5697</v>
      </c>
      <c r="B2364" s="35" t="s">
        <v>5698</v>
      </c>
      <c r="C2364" s="35" t="s">
        <v>48</v>
      </c>
      <c r="D2364" s="35" t="s">
        <v>107</v>
      </c>
      <c r="E2364" s="35" t="s">
        <v>829</v>
      </c>
      <c r="F2364" s="35"/>
      <c r="G2364" s="35" t="s">
        <v>99</v>
      </c>
      <c r="H2364" s="35" t="s">
        <v>61</v>
      </c>
      <c r="I2364" s="4"/>
    </row>
    <row r="2365" customFormat="false" ht="15" hidden="false" customHeight="false" outlineLevel="0" collapsed="false">
      <c r="A2365" s="35" t="s">
        <v>5699</v>
      </c>
      <c r="B2365" s="35" t="s">
        <v>5700</v>
      </c>
      <c r="C2365" s="35" t="s">
        <v>48</v>
      </c>
      <c r="D2365" s="35" t="s">
        <v>146</v>
      </c>
      <c r="E2365" s="35"/>
      <c r="F2365" s="35" t="s">
        <v>2147</v>
      </c>
      <c r="G2365" s="35" t="s">
        <v>99</v>
      </c>
      <c r="H2365" s="35" t="s">
        <v>61</v>
      </c>
      <c r="I2365" s="4"/>
    </row>
    <row r="2366" customFormat="false" ht="15" hidden="false" customHeight="false" outlineLevel="0" collapsed="false">
      <c r="A2366" s="35" t="s">
        <v>5701</v>
      </c>
      <c r="B2366" s="35" t="s">
        <v>5702</v>
      </c>
      <c r="C2366" s="35" t="s">
        <v>48</v>
      </c>
      <c r="D2366" s="35" t="s">
        <v>57</v>
      </c>
      <c r="E2366" s="35" t="s">
        <v>725</v>
      </c>
      <c r="F2366" s="35"/>
      <c r="G2366" s="35" t="s">
        <v>99</v>
      </c>
      <c r="H2366" s="35" t="s">
        <v>61</v>
      </c>
      <c r="I2366" s="4"/>
    </row>
    <row r="2367" customFormat="false" ht="15" hidden="false" customHeight="false" outlineLevel="0" collapsed="false">
      <c r="A2367" s="35" t="s">
        <v>1728</v>
      </c>
      <c r="B2367" s="35" t="s">
        <v>5703</v>
      </c>
      <c r="C2367" s="35" t="s">
        <v>48</v>
      </c>
      <c r="D2367" s="35" t="s">
        <v>57</v>
      </c>
      <c r="E2367" s="35" t="s">
        <v>1728</v>
      </c>
      <c r="F2367" s="35"/>
      <c r="G2367" s="35" t="s">
        <v>726</v>
      </c>
      <c r="H2367" s="35" t="s">
        <v>61</v>
      </c>
      <c r="I2367" s="4"/>
    </row>
    <row r="2368" customFormat="false" ht="15" hidden="false" customHeight="false" outlineLevel="0" collapsed="false">
      <c r="A2368" s="35" t="s">
        <v>5704</v>
      </c>
      <c r="B2368" s="35" t="s">
        <v>5705</v>
      </c>
      <c r="C2368" s="35" t="s">
        <v>48</v>
      </c>
      <c r="D2368" s="35" t="s">
        <v>114</v>
      </c>
      <c r="E2368" s="35"/>
      <c r="F2368" s="35"/>
      <c r="G2368" s="35" t="s">
        <v>99</v>
      </c>
      <c r="H2368" s="35" t="s">
        <v>61</v>
      </c>
      <c r="I2368" s="4"/>
    </row>
    <row r="2369" customFormat="false" ht="15" hidden="false" customHeight="false" outlineLevel="0" collapsed="false">
      <c r="A2369" s="35" t="s">
        <v>5706</v>
      </c>
      <c r="B2369" s="35" t="s">
        <v>5707</v>
      </c>
      <c r="C2369" s="35" t="s">
        <v>48</v>
      </c>
      <c r="D2369" s="35" t="s">
        <v>107</v>
      </c>
      <c r="E2369" s="35" t="s">
        <v>45</v>
      </c>
      <c r="F2369" s="35"/>
      <c r="G2369" s="35" t="s">
        <v>726</v>
      </c>
      <c r="H2369" s="35" t="s">
        <v>61</v>
      </c>
      <c r="I2369" s="4"/>
    </row>
    <row r="2370" customFormat="false" ht="15" hidden="false" customHeight="false" outlineLevel="0" collapsed="false">
      <c r="A2370" s="35" t="s">
        <v>5708</v>
      </c>
      <c r="B2370" s="35" t="s">
        <v>5709</v>
      </c>
      <c r="C2370" s="35" t="s">
        <v>48</v>
      </c>
      <c r="D2370" s="35" t="s">
        <v>107</v>
      </c>
      <c r="E2370" s="35" t="s">
        <v>45</v>
      </c>
      <c r="F2370" s="35"/>
      <c r="G2370" s="35" t="s">
        <v>724</v>
      </c>
      <c r="H2370" s="35" t="s">
        <v>61</v>
      </c>
      <c r="I2370" s="4"/>
    </row>
    <row r="2371" customFormat="false" ht="15" hidden="false" customHeight="false" outlineLevel="0" collapsed="false">
      <c r="A2371" s="35" t="s">
        <v>302</v>
      </c>
      <c r="B2371" s="35" t="s">
        <v>303</v>
      </c>
      <c r="C2371" s="35" t="s">
        <v>48</v>
      </c>
      <c r="D2371" s="35" t="s">
        <v>57</v>
      </c>
      <c r="E2371" s="35" t="s">
        <v>302</v>
      </c>
      <c r="F2371" s="35"/>
      <c r="G2371" s="35" t="s">
        <v>262</v>
      </c>
      <c r="H2371" s="35" t="s">
        <v>50</v>
      </c>
      <c r="I2371" s="4" t="s">
        <v>2025</v>
      </c>
    </row>
    <row r="2372" customFormat="false" ht="15" hidden="false" customHeight="false" outlineLevel="0" collapsed="false">
      <c r="A2372" s="35" t="s">
        <v>5710</v>
      </c>
      <c r="B2372" s="35" t="s">
        <v>5711</v>
      </c>
      <c r="C2372" s="35" t="s">
        <v>48</v>
      </c>
      <c r="D2372" s="35" t="s">
        <v>53</v>
      </c>
      <c r="E2372" s="35"/>
      <c r="F2372" s="35"/>
      <c r="G2372" s="35" t="s">
        <v>262</v>
      </c>
      <c r="H2372" s="35" t="s">
        <v>61</v>
      </c>
      <c r="I2372" s="4"/>
    </row>
    <row r="2373" customFormat="false" ht="15" hidden="false" customHeight="false" outlineLevel="0" collapsed="false">
      <c r="A2373" s="35" t="s">
        <v>5712</v>
      </c>
      <c r="B2373" s="35" t="s">
        <v>5713</v>
      </c>
      <c r="C2373" s="35" t="s">
        <v>48</v>
      </c>
      <c r="D2373" s="35" t="s">
        <v>53</v>
      </c>
      <c r="E2373" s="35"/>
      <c r="F2373" s="35"/>
      <c r="G2373" s="35" t="s">
        <v>262</v>
      </c>
      <c r="H2373" s="35" t="s">
        <v>61</v>
      </c>
      <c r="I2373" s="4"/>
    </row>
    <row r="2374" customFormat="false" ht="15" hidden="false" customHeight="false" outlineLevel="0" collapsed="false">
      <c r="A2374" s="35" t="s">
        <v>1731</v>
      </c>
      <c r="B2374" s="35" t="s">
        <v>5714</v>
      </c>
      <c r="C2374" s="35" t="s">
        <v>48</v>
      </c>
      <c r="D2374" s="35" t="s">
        <v>107</v>
      </c>
      <c r="E2374" s="35" t="s">
        <v>262</v>
      </c>
      <c r="F2374" s="35"/>
      <c r="G2374" s="35" t="s">
        <v>262</v>
      </c>
      <c r="H2374" s="35" t="s">
        <v>61</v>
      </c>
      <c r="I2374" s="4"/>
    </row>
    <row r="2375" customFormat="false" ht="15" hidden="false" customHeight="false" outlineLevel="0" collapsed="false">
      <c r="A2375" s="35" t="s">
        <v>5715</v>
      </c>
      <c r="B2375" s="35" t="s">
        <v>5716</v>
      </c>
      <c r="C2375" s="35" t="s">
        <v>48</v>
      </c>
      <c r="D2375" s="35" t="s">
        <v>107</v>
      </c>
      <c r="E2375" s="35" t="s">
        <v>869</v>
      </c>
      <c r="F2375" s="35"/>
      <c r="G2375" s="35" t="s">
        <v>262</v>
      </c>
      <c r="H2375" s="35" t="s">
        <v>267</v>
      </c>
      <c r="I2375" s="4"/>
    </row>
    <row r="2376" customFormat="false" ht="15" hidden="false" customHeight="false" outlineLevel="0" collapsed="false">
      <c r="A2376" s="35" t="s">
        <v>5717</v>
      </c>
      <c r="B2376" s="35" t="s">
        <v>5718</v>
      </c>
      <c r="C2376" s="35" t="s">
        <v>48</v>
      </c>
      <c r="D2376" s="35" t="s">
        <v>57</v>
      </c>
      <c r="E2376" s="35" t="s">
        <v>357</v>
      </c>
      <c r="F2376" s="35"/>
      <c r="G2376" s="35" t="s">
        <v>87</v>
      </c>
      <c r="H2376" s="35" t="s">
        <v>61</v>
      </c>
      <c r="I2376" s="4"/>
    </row>
    <row r="2377" customFormat="false" ht="15" hidden="false" customHeight="false" outlineLevel="0" collapsed="false">
      <c r="A2377" s="35" t="s">
        <v>1734</v>
      </c>
      <c r="B2377" s="35" t="s">
        <v>5719</v>
      </c>
      <c r="C2377" s="35" t="s">
        <v>48</v>
      </c>
      <c r="D2377" s="35" t="s">
        <v>46</v>
      </c>
      <c r="E2377" s="35" t="s">
        <v>1733</v>
      </c>
      <c r="F2377" s="35"/>
      <c r="G2377" s="35" t="s">
        <v>262</v>
      </c>
      <c r="H2377" s="35" t="s">
        <v>61</v>
      </c>
      <c r="I2377" s="4"/>
    </row>
    <row r="2378" customFormat="false" ht="15" hidden="false" customHeight="false" outlineLevel="0" collapsed="false">
      <c r="A2378" s="35" t="s">
        <v>5720</v>
      </c>
      <c r="B2378" s="35" t="s">
        <v>5721</v>
      </c>
      <c r="C2378" s="35" t="s">
        <v>48</v>
      </c>
      <c r="D2378" s="35" t="s">
        <v>107</v>
      </c>
      <c r="E2378" s="35" t="s">
        <v>302</v>
      </c>
      <c r="F2378" s="35"/>
      <c r="G2378" s="35" t="s">
        <v>262</v>
      </c>
      <c r="H2378" s="35" t="s">
        <v>61</v>
      </c>
      <c r="I2378" s="4"/>
    </row>
    <row r="2379" customFormat="false" ht="15" hidden="false" customHeight="false" outlineLevel="0" collapsed="false">
      <c r="A2379" s="35" t="s">
        <v>5722</v>
      </c>
      <c r="B2379" s="35" t="s">
        <v>5723</v>
      </c>
      <c r="C2379" s="35" t="s">
        <v>48</v>
      </c>
      <c r="D2379" s="35" t="s">
        <v>107</v>
      </c>
      <c r="E2379" s="35" t="s">
        <v>302</v>
      </c>
      <c r="F2379" s="35"/>
      <c r="G2379" s="35" t="s">
        <v>262</v>
      </c>
      <c r="H2379" s="35" t="s">
        <v>267</v>
      </c>
      <c r="I2379" s="4"/>
    </row>
    <row r="2380" customFormat="false" ht="15" hidden="false" customHeight="false" outlineLevel="0" collapsed="false">
      <c r="A2380" s="35" t="s">
        <v>515</v>
      </c>
      <c r="B2380" s="35" t="s">
        <v>516</v>
      </c>
      <c r="C2380" s="35" t="s">
        <v>48</v>
      </c>
      <c r="D2380" s="35" t="s">
        <v>114</v>
      </c>
      <c r="E2380" s="35"/>
      <c r="F2380" s="35"/>
      <c r="G2380" s="35" t="s">
        <v>104</v>
      </c>
      <c r="H2380" s="35" t="s">
        <v>61</v>
      </c>
      <c r="I2380" s="4" t="s">
        <v>2025</v>
      </c>
    </row>
    <row r="2381" customFormat="false" ht="15" hidden="false" customHeight="false" outlineLevel="0" collapsed="false">
      <c r="A2381" s="35" t="s">
        <v>5724</v>
      </c>
      <c r="B2381" s="35" t="s">
        <v>516</v>
      </c>
      <c r="C2381" s="35" t="s">
        <v>48</v>
      </c>
      <c r="D2381" s="35" t="s">
        <v>57</v>
      </c>
      <c r="E2381" s="35" t="s">
        <v>519</v>
      </c>
      <c r="F2381" s="35"/>
      <c r="G2381" s="35" t="s">
        <v>104</v>
      </c>
      <c r="H2381" s="35" t="s">
        <v>61</v>
      </c>
      <c r="I2381" s="4"/>
    </row>
    <row r="2382" customFormat="false" ht="15" hidden="false" customHeight="false" outlineLevel="0" collapsed="false">
      <c r="A2382" s="35" t="s">
        <v>5725</v>
      </c>
      <c r="B2382" s="35" t="s">
        <v>5726</v>
      </c>
      <c r="C2382" s="35" t="s">
        <v>48</v>
      </c>
      <c r="D2382" s="35" t="s">
        <v>57</v>
      </c>
      <c r="E2382" s="35" t="s">
        <v>932</v>
      </c>
      <c r="F2382" s="35"/>
      <c r="G2382" s="35" t="s">
        <v>328</v>
      </c>
      <c r="H2382" s="35" t="s">
        <v>61</v>
      </c>
      <c r="I2382" s="4"/>
    </row>
    <row r="2383" customFormat="false" ht="15" hidden="false" customHeight="false" outlineLevel="0" collapsed="false">
      <c r="A2383" s="35" t="s">
        <v>5727</v>
      </c>
      <c r="B2383" s="35" t="s">
        <v>5728</v>
      </c>
      <c r="C2383" s="35" t="s">
        <v>48</v>
      </c>
      <c r="D2383" s="35" t="s">
        <v>57</v>
      </c>
      <c r="E2383" s="35" t="s">
        <v>454</v>
      </c>
      <c r="F2383" s="35" t="s">
        <v>2041</v>
      </c>
      <c r="G2383" s="35" t="s">
        <v>119</v>
      </c>
      <c r="H2383" s="35" t="s">
        <v>61</v>
      </c>
      <c r="I2383" s="4"/>
    </row>
    <row r="2384" customFormat="false" ht="15" hidden="false" customHeight="false" outlineLevel="0" collapsed="false">
      <c r="A2384" s="35" t="s">
        <v>1281</v>
      </c>
      <c r="B2384" s="35" t="s">
        <v>5729</v>
      </c>
      <c r="C2384" s="35" t="s">
        <v>48</v>
      </c>
      <c r="D2384" s="35" t="s">
        <v>107</v>
      </c>
      <c r="E2384" s="35" t="s">
        <v>1280</v>
      </c>
      <c r="F2384" s="35" t="s">
        <v>2147</v>
      </c>
      <c r="G2384" s="35" t="s">
        <v>545</v>
      </c>
      <c r="H2384" s="35" t="s">
        <v>61</v>
      </c>
      <c r="I2384" s="4"/>
    </row>
    <row r="2385" customFormat="false" ht="15" hidden="false" customHeight="false" outlineLevel="0" collapsed="false">
      <c r="A2385" s="35" t="s">
        <v>1736</v>
      </c>
      <c r="B2385" s="35" t="s">
        <v>5730</v>
      </c>
      <c r="C2385" s="35" t="s">
        <v>48</v>
      </c>
      <c r="D2385" s="35" t="s">
        <v>107</v>
      </c>
      <c r="E2385" s="35" t="s">
        <v>1735</v>
      </c>
      <c r="F2385" s="35"/>
      <c r="G2385" s="35" t="s">
        <v>87</v>
      </c>
      <c r="H2385" s="35" t="s">
        <v>61</v>
      </c>
      <c r="I2385" s="4"/>
    </row>
    <row r="2386" customFormat="false" ht="15" hidden="false" customHeight="false" outlineLevel="0" collapsed="false">
      <c r="A2386" s="35" t="s">
        <v>5731</v>
      </c>
      <c r="B2386" s="35" t="s">
        <v>5732</v>
      </c>
      <c r="C2386" s="35" t="s">
        <v>48</v>
      </c>
      <c r="D2386" s="35" t="s">
        <v>107</v>
      </c>
      <c r="E2386" s="35" t="s">
        <v>874</v>
      </c>
      <c r="F2386" s="35"/>
      <c r="G2386" s="35" t="s">
        <v>87</v>
      </c>
      <c r="H2386" s="35" t="s">
        <v>61</v>
      </c>
      <c r="I2386" s="4"/>
    </row>
    <row r="2387" customFormat="false" ht="15" hidden="false" customHeight="false" outlineLevel="0" collapsed="false">
      <c r="A2387" s="35" t="s">
        <v>5733</v>
      </c>
      <c r="B2387" s="35" t="s">
        <v>5734</v>
      </c>
      <c r="C2387" s="35" t="s">
        <v>48</v>
      </c>
      <c r="D2387" s="35" t="s">
        <v>107</v>
      </c>
      <c r="E2387" s="35" t="s">
        <v>888</v>
      </c>
      <c r="F2387" s="35"/>
      <c r="G2387" s="35" t="s">
        <v>87</v>
      </c>
      <c r="H2387" s="35" t="s">
        <v>61</v>
      </c>
      <c r="I2387" s="4"/>
    </row>
    <row r="2388" customFormat="false" ht="15" hidden="false" customHeight="false" outlineLevel="0" collapsed="false">
      <c r="A2388" s="35" t="s">
        <v>5735</v>
      </c>
      <c r="B2388" s="35" t="s">
        <v>5736</v>
      </c>
      <c r="C2388" s="35" t="s">
        <v>48</v>
      </c>
      <c r="D2388" s="35" t="s">
        <v>107</v>
      </c>
      <c r="E2388" s="35" t="s">
        <v>888</v>
      </c>
      <c r="F2388" s="35"/>
      <c r="G2388" s="35" t="s">
        <v>87</v>
      </c>
      <c r="H2388" s="35" t="s">
        <v>61</v>
      </c>
      <c r="I2388" s="4"/>
    </row>
    <row r="2389" customFormat="false" ht="15" hidden="false" customHeight="false" outlineLevel="0" collapsed="false">
      <c r="A2389" s="35" t="s">
        <v>942</v>
      </c>
      <c r="B2389" s="35" t="s">
        <v>5737</v>
      </c>
      <c r="C2389" s="35" t="s">
        <v>48</v>
      </c>
      <c r="D2389" s="35" t="s">
        <v>107</v>
      </c>
      <c r="E2389" s="35" t="s">
        <v>942</v>
      </c>
      <c r="F2389" s="35"/>
      <c r="G2389" s="35" t="s">
        <v>87</v>
      </c>
      <c r="H2389" s="35" t="s">
        <v>61</v>
      </c>
      <c r="I2389" s="4"/>
    </row>
    <row r="2390" customFormat="false" ht="15" hidden="false" customHeight="false" outlineLevel="0" collapsed="false">
      <c r="A2390" s="35" t="s">
        <v>5738</v>
      </c>
      <c r="B2390" s="35" t="s">
        <v>5739</v>
      </c>
      <c r="C2390" s="35" t="s">
        <v>48</v>
      </c>
      <c r="D2390" s="35" t="s">
        <v>107</v>
      </c>
      <c r="E2390" s="35" t="s">
        <v>942</v>
      </c>
      <c r="F2390" s="35"/>
      <c r="G2390" s="35" t="s">
        <v>87</v>
      </c>
      <c r="H2390" s="35" t="s">
        <v>61</v>
      </c>
      <c r="I2390" s="4"/>
    </row>
    <row r="2391" customFormat="false" ht="15" hidden="false" customHeight="false" outlineLevel="0" collapsed="false">
      <c r="A2391" s="35" t="s">
        <v>5740</v>
      </c>
      <c r="B2391" s="35" t="s">
        <v>5741</v>
      </c>
      <c r="C2391" s="35" t="s">
        <v>48</v>
      </c>
      <c r="D2391" s="35" t="s">
        <v>107</v>
      </c>
      <c r="E2391" s="35" t="s">
        <v>942</v>
      </c>
      <c r="F2391" s="35"/>
      <c r="G2391" s="35" t="s">
        <v>87</v>
      </c>
      <c r="H2391" s="35" t="s">
        <v>61</v>
      </c>
      <c r="I2391" s="4"/>
    </row>
    <row r="2392" customFormat="false" ht="15" hidden="false" customHeight="false" outlineLevel="0" collapsed="false">
      <c r="A2392" s="35" t="s">
        <v>5742</v>
      </c>
      <c r="B2392" s="35" t="s">
        <v>5743</v>
      </c>
      <c r="C2392" s="35" t="s">
        <v>48</v>
      </c>
      <c r="D2392" s="35" t="s">
        <v>107</v>
      </c>
      <c r="E2392" s="35" t="s">
        <v>942</v>
      </c>
      <c r="F2392" s="35"/>
      <c r="G2392" s="35" t="s">
        <v>87</v>
      </c>
      <c r="H2392" s="35" t="s">
        <v>61</v>
      </c>
      <c r="I2392" s="4"/>
    </row>
    <row r="2393" customFormat="false" ht="15" hidden="false" customHeight="false" outlineLevel="0" collapsed="false">
      <c r="A2393" s="35" t="s">
        <v>5744</v>
      </c>
      <c r="B2393" s="35" t="s">
        <v>5745</v>
      </c>
      <c r="C2393" s="35" t="s">
        <v>48</v>
      </c>
      <c r="D2393" s="35" t="s">
        <v>57</v>
      </c>
      <c r="E2393" s="35" t="s">
        <v>824</v>
      </c>
      <c r="F2393" s="35"/>
      <c r="G2393" s="35" t="s">
        <v>687</v>
      </c>
      <c r="H2393" s="35" t="s">
        <v>61</v>
      </c>
      <c r="I2393" s="4"/>
    </row>
    <row r="2394" customFormat="false" ht="15" hidden="false" customHeight="false" outlineLevel="0" collapsed="false">
      <c r="A2394" s="35" t="s">
        <v>5746</v>
      </c>
      <c r="B2394" s="35" t="s">
        <v>5747</v>
      </c>
      <c r="C2394" s="35" t="s">
        <v>48</v>
      </c>
      <c r="D2394" s="35" t="s">
        <v>57</v>
      </c>
      <c r="E2394" s="35" t="s">
        <v>824</v>
      </c>
      <c r="F2394" s="35"/>
      <c r="G2394" s="35" t="s">
        <v>687</v>
      </c>
      <c r="H2394" s="35" t="s">
        <v>61</v>
      </c>
      <c r="I2394" s="4"/>
    </row>
    <row r="2395" customFormat="false" ht="15" hidden="false" customHeight="false" outlineLevel="0" collapsed="false">
      <c r="A2395" s="35" t="s">
        <v>5748</v>
      </c>
      <c r="B2395" s="35" t="s">
        <v>5749</v>
      </c>
      <c r="C2395" s="35" t="s">
        <v>48</v>
      </c>
      <c r="D2395" s="35" t="s">
        <v>53</v>
      </c>
      <c r="E2395" s="35"/>
      <c r="F2395" s="35"/>
      <c r="G2395" s="35" t="s">
        <v>687</v>
      </c>
      <c r="H2395" s="35" t="s">
        <v>61</v>
      </c>
      <c r="I2395" s="4"/>
    </row>
    <row r="2396" customFormat="false" ht="15" hidden="false" customHeight="false" outlineLevel="0" collapsed="false">
      <c r="A2396" s="35" t="s">
        <v>5750</v>
      </c>
      <c r="B2396" s="35" t="s">
        <v>5751</v>
      </c>
      <c r="C2396" s="35" t="s">
        <v>48</v>
      </c>
      <c r="D2396" s="35" t="s">
        <v>57</v>
      </c>
      <c r="E2396" s="35" t="s">
        <v>1213</v>
      </c>
      <c r="F2396" s="35"/>
      <c r="G2396" s="35" t="s">
        <v>687</v>
      </c>
      <c r="H2396" s="35" t="s">
        <v>61</v>
      </c>
      <c r="I2396" s="4"/>
    </row>
    <row r="2397" customFormat="false" ht="15" hidden="false" customHeight="false" outlineLevel="0" collapsed="false">
      <c r="A2397" s="35" t="s">
        <v>5752</v>
      </c>
      <c r="B2397" s="35" t="s">
        <v>5753</v>
      </c>
      <c r="C2397" s="35" t="s">
        <v>48</v>
      </c>
      <c r="D2397" s="35" t="s">
        <v>107</v>
      </c>
      <c r="E2397" s="35" t="s">
        <v>1213</v>
      </c>
      <c r="F2397" s="35"/>
      <c r="G2397" s="35" t="s">
        <v>687</v>
      </c>
      <c r="H2397" s="35" t="s">
        <v>61</v>
      </c>
      <c r="I2397" s="4"/>
    </row>
    <row r="2398" customFormat="false" ht="15" hidden="false" customHeight="false" outlineLevel="0" collapsed="false">
      <c r="A2398" s="35" t="s">
        <v>5754</v>
      </c>
      <c r="B2398" s="35" t="s">
        <v>5755</v>
      </c>
      <c r="C2398" s="35" t="s">
        <v>48</v>
      </c>
      <c r="D2398" s="35" t="s">
        <v>157</v>
      </c>
      <c r="E2398" s="35"/>
      <c r="F2398" s="35"/>
      <c r="G2398" s="35" t="s">
        <v>687</v>
      </c>
      <c r="H2398" s="35" t="s">
        <v>61</v>
      </c>
      <c r="I2398" s="4"/>
    </row>
    <row r="2399" customFormat="false" ht="15" hidden="false" customHeight="false" outlineLevel="0" collapsed="false">
      <c r="A2399" s="35" t="s">
        <v>5756</v>
      </c>
      <c r="B2399" s="35" t="s">
        <v>5757</v>
      </c>
      <c r="C2399" s="35" t="s">
        <v>48</v>
      </c>
      <c r="D2399" s="35" t="s">
        <v>114</v>
      </c>
      <c r="E2399" s="35"/>
      <c r="F2399" s="35"/>
      <c r="G2399" s="35" t="s">
        <v>571</v>
      </c>
      <c r="H2399" s="35" t="s">
        <v>61</v>
      </c>
      <c r="I2399" s="4"/>
    </row>
    <row r="2400" customFormat="false" ht="15" hidden="false" customHeight="false" outlineLevel="0" collapsed="false">
      <c r="A2400" s="35" t="s">
        <v>1737</v>
      </c>
      <c r="B2400" s="35" t="s">
        <v>5758</v>
      </c>
      <c r="C2400" s="35" t="s">
        <v>48</v>
      </c>
      <c r="D2400" s="35" t="s">
        <v>107</v>
      </c>
      <c r="E2400" s="35" t="s">
        <v>1737</v>
      </c>
      <c r="F2400" s="35"/>
      <c r="G2400" s="35" t="s">
        <v>730</v>
      </c>
      <c r="H2400" s="35" t="s">
        <v>61</v>
      </c>
      <c r="I2400" s="4"/>
    </row>
    <row r="2401" customFormat="false" ht="15" hidden="false" customHeight="false" outlineLevel="0" collapsed="false">
      <c r="A2401" s="35" t="s">
        <v>5759</v>
      </c>
      <c r="B2401" s="35" t="s">
        <v>5760</v>
      </c>
      <c r="C2401" s="35" t="s">
        <v>48</v>
      </c>
      <c r="D2401" s="35" t="s">
        <v>53</v>
      </c>
      <c r="E2401" s="35"/>
      <c r="F2401" s="35"/>
      <c r="G2401" s="35" t="s">
        <v>337</v>
      </c>
      <c r="H2401" s="35" t="s">
        <v>61</v>
      </c>
      <c r="I2401" s="4"/>
    </row>
    <row r="2402" customFormat="false" ht="15" hidden="false" customHeight="false" outlineLevel="0" collapsed="false">
      <c r="A2402" s="35" t="s">
        <v>5761</v>
      </c>
      <c r="B2402" s="35" t="s">
        <v>5762</v>
      </c>
      <c r="C2402" s="35" t="s">
        <v>48</v>
      </c>
      <c r="D2402" s="35" t="s">
        <v>53</v>
      </c>
      <c r="E2402" s="35"/>
      <c r="F2402" s="35"/>
      <c r="G2402" s="35" t="s">
        <v>337</v>
      </c>
      <c r="H2402" s="35" t="s">
        <v>61</v>
      </c>
      <c r="I2402" s="4"/>
    </row>
    <row r="2403" customFormat="false" ht="15" hidden="false" customHeight="false" outlineLevel="0" collapsed="false">
      <c r="A2403" s="35" t="s">
        <v>5763</v>
      </c>
      <c r="B2403" s="35" t="s">
        <v>5764</v>
      </c>
      <c r="C2403" s="35" t="s">
        <v>48</v>
      </c>
      <c r="D2403" s="35" t="s">
        <v>53</v>
      </c>
      <c r="E2403" s="35"/>
      <c r="F2403" s="35"/>
      <c r="G2403" s="35" t="s">
        <v>421</v>
      </c>
      <c r="H2403" s="35" t="s">
        <v>61</v>
      </c>
      <c r="I2403" s="4"/>
    </row>
    <row r="2404" customFormat="false" ht="15" hidden="false" customHeight="false" outlineLevel="0" collapsed="false">
      <c r="A2404" s="35" t="s">
        <v>5765</v>
      </c>
      <c r="B2404" s="35" t="s">
        <v>5764</v>
      </c>
      <c r="C2404" s="35" t="s">
        <v>48</v>
      </c>
      <c r="D2404" s="35" t="s">
        <v>53</v>
      </c>
      <c r="E2404" s="35"/>
      <c r="F2404" s="35"/>
      <c r="G2404" s="35" t="s">
        <v>421</v>
      </c>
      <c r="H2404" s="35" t="s">
        <v>61</v>
      </c>
      <c r="I2404" s="4"/>
    </row>
    <row r="2405" customFormat="false" ht="15" hidden="false" customHeight="false" outlineLevel="0" collapsed="false">
      <c r="A2405" s="35" t="s">
        <v>5766</v>
      </c>
      <c r="B2405" s="35" t="s">
        <v>5764</v>
      </c>
      <c r="C2405" s="35" t="s">
        <v>48</v>
      </c>
      <c r="D2405" s="35" t="s">
        <v>53</v>
      </c>
      <c r="E2405" s="35"/>
      <c r="F2405" s="35"/>
      <c r="G2405" s="35" t="s">
        <v>421</v>
      </c>
      <c r="H2405" s="35" t="s">
        <v>61</v>
      </c>
      <c r="I2405" s="4"/>
    </row>
    <row r="2406" customFormat="false" ht="15" hidden="false" customHeight="false" outlineLevel="0" collapsed="false">
      <c r="A2406" s="35" t="s">
        <v>1545</v>
      </c>
      <c r="B2406" s="35" t="s">
        <v>5767</v>
      </c>
      <c r="C2406" s="35" t="s">
        <v>48</v>
      </c>
      <c r="D2406" s="35" t="s">
        <v>57</v>
      </c>
      <c r="E2406" s="35" t="s">
        <v>1544</v>
      </c>
      <c r="F2406" s="35"/>
      <c r="G2406" s="35" t="s">
        <v>743</v>
      </c>
      <c r="H2406" s="35" t="s">
        <v>61</v>
      </c>
      <c r="I2406" s="4"/>
    </row>
    <row r="2407" customFormat="false" ht="15" hidden="false" customHeight="false" outlineLevel="0" collapsed="false">
      <c r="A2407" s="35" t="s">
        <v>389</v>
      </c>
      <c r="B2407" s="35" t="s">
        <v>390</v>
      </c>
      <c r="C2407" s="35" t="s">
        <v>48</v>
      </c>
      <c r="D2407" s="35" t="s">
        <v>57</v>
      </c>
      <c r="E2407" s="35" t="s">
        <v>386</v>
      </c>
      <c r="F2407" s="35"/>
      <c r="G2407" s="35" t="s">
        <v>87</v>
      </c>
      <c r="H2407" s="35" t="s">
        <v>61</v>
      </c>
      <c r="I2407" s="4" t="s">
        <v>2025</v>
      </c>
    </row>
    <row r="2408" customFormat="false" ht="15" hidden="false" customHeight="false" outlineLevel="0" collapsed="false">
      <c r="A2408" s="35" t="s">
        <v>5768</v>
      </c>
      <c r="B2408" s="35" t="s">
        <v>5769</v>
      </c>
      <c r="C2408" s="35" t="s">
        <v>48</v>
      </c>
      <c r="D2408" s="35" t="s">
        <v>57</v>
      </c>
      <c r="E2408" s="35" t="s">
        <v>386</v>
      </c>
      <c r="F2408" s="35"/>
      <c r="G2408" s="35" t="s">
        <v>87</v>
      </c>
      <c r="H2408" s="35" t="s">
        <v>61</v>
      </c>
      <c r="I2408" s="4"/>
    </row>
    <row r="2409" customFormat="false" ht="15" hidden="false" customHeight="false" outlineLevel="0" collapsed="false">
      <c r="A2409" s="35" t="s">
        <v>5770</v>
      </c>
      <c r="B2409" s="35" t="s">
        <v>5771</v>
      </c>
      <c r="C2409" s="35" t="s">
        <v>48</v>
      </c>
      <c r="D2409" s="35" t="s">
        <v>53</v>
      </c>
      <c r="E2409" s="35"/>
      <c r="F2409" s="35"/>
      <c r="G2409" s="35" t="s">
        <v>262</v>
      </c>
      <c r="H2409" s="35" t="s">
        <v>61</v>
      </c>
      <c r="I2409" s="4"/>
    </row>
    <row r="2410" customFormat="false" ht="15" hidden="false" customHeight="false" outlineLevel="0" collapsed="false">
      <c r="A2410" s="35" t="s">
        <v>5772</v>
      </c>
      <c r="B2410" s="35" t="s">
        <v>5773</v>
      </c>
      <c r="C2410" s="35" t="s">
        <v>48</v>
      </c>
      <c r="D2410" s="35" t="s">
        <v>665</v>
      </c>
      <c r="E2410" s="35"/>
      <c r="F2410" s="35"/>
      <c r="G2410" s="35" t="s">
        <v>99</v>
      </c>
      <c r="H2410" s="35" t="s">
        <v>61</v>
      </c>
      <c r="I2410" s="4"/>
    </row>
    <row r="2411" customFormat="false" ht="15" hidden="false" customHeight="false" outlineLevel="0" collapsed="false">
      <c r="A2411" s="35" t="s">
        <v>5774</v>
      </c>
      <c r="B2411" s="35" t="s">
        <v>5775</v>
      </c>
      <c r="C2411" s="35" t="s">
        <v>48</v>
      </c>
      <c r="D2411" s="35" t="s">
        <v>57</v>
      </c>
      <c r="E2411" s="35" t="s">
        <v>951</v>
      </c>
      <c r="F2411" s="35"/>
      <c r="G2411" s="35" t="s">
        <v>99</v>
      </c>
      <c r="H2411" s="35" t="s">
        <v>61</v>
      </c>
      <c r="I2411" s="4"/>
    </row>
    <row r="2412" customFormat="false" ht="15" hidden="false" customHeight="false" outlineLevel="0" collapsed="false">
      <c r="A2412" s="35" t="s">
        <v>5776</v>
      </c>
      <c r="B2412" s="35" t="s">
        <v>5777</v>
      </c>
      <c r="C2412" s="35" t="s">
        <v>48</v>
      </c>
      <c r="D2412" s="35" t="s">
        <v>665</v>
      </c>
      <c r="E2412" s="35"/>
      <c r="F2412" s="35"/>
      <c r="G2412" s="35" t="s">
        <v>99</v>
      </c>
      <c r="H2412" s="35" t="s">
        <v>61</v>
      </c>
      <c r="I2412" s="4"/>
    </row>
    <row r="2413" customFormat="false" ht="15" hidden="false" customHeight="false" outlineLevel="0" collapsed="false">
      <c r="A2413" s="35" t="s">
        <v>5778</v>
      </c>
      <c r="B2413" s="35" t="s">
        <v>5779</v>
      </c>
      <c r="C2413" s="35" t="s">
        <v>48</v>
      </c>
      <c r="D2413" s="35" t="s">
        <v>157</v>
      </c>
      <c r="E2413" s="35"/>
      <c r="F2413" s="35"/>
      <c r="G2413" s="35" t="s">
        <v>99</v>
      </c>
      <c r="H2413" s="35" t="s">
        <v>61</v>
      </c>
      <c r="I2413" s="4"/>
    </row>
    <row r="2414" customFormat="false" ht="15" hidden="false" customHeight="false" outlineLevel="0" collapsed="false">
      <c r="A2414" s="35" t="s">
        <v>5780</v>
      </c>
      <c r="B2414" s="35" t="s">
        <v>5781</v>
      </c>
      <c r="C2414" s="35" t="s">
        <v>48</v>
      </c>
      <c r="D2414" s="35" t="s">
        <v>107</v>
      </c>
      <c r="E2414" s="35" t="s">
        <v>739</v>
      </c>
      <c r="F2414" s="35"/>
      <c r="G2414" s="35" t="s">
        <v>739</v>
      </c>
      <c r="H2414" s="35" t="s">
        <v>61</v>
      </c>
      <c r="I2414" s="4"/>
    </row>
    <row r="2415" customFormat="false" ht="15" hidden="false" customHeight="false" outlineLevel="0" collapsed="false">
      <c r="A2415" s="35" t="s">
        <v>1740</v>
      </c>
      <c r="B2415" s="35" t="s">
        <v>5782</v>
      </c>
      <c r="C2415" s="35" t="s">
        <v>48</v>
      </c>
      <c r="D2415" s="35" t="s">
        <v>107</v>
      </c>
      <c r="E2415" s="35" t="s">
        <v>770</v>
      </c>
      <c r="F2415" s="35"/>
      <c r="G2415" s="35" t="s">
        <v>770</v>
      </c>
      <c r="H2415" s="35" t="s">
        <v>61</v>
      </c>
      <c r="I2415" s="4"/>
    </row>
    <row r="2416" customFormat="false" ht="15" hidden="false" customHeight="false" outlineLevel="0" collapsed="false">
      <c r="A2416" s="35" t="s">
        <v>1741</v>
      </c>
      <c r="B2416" s="35" t="s">
        <v>5783</v>
      </c>
      <c r="C2416" s="35" t="s">
        <v>48</v>
      </c>
      <c r="D2416" s="35" t="s">
        <v>107</v>
      </c>
      <c r="E2416" s="35" t="s">
        <v>771</v>
      </c>
      <c r="F2416" s="35"/>
      <c r="G2416" s="35" t="s">
        <v>771</v>
      </c>
      <c r="H2416" s="35" t="s">
        <v>61</v>
      </c>
      <c r="I2416" s="4"/>
    </row>
    <row r="2417" customFormat="false" ht="15" hidden="false" customHeight="false" outlineLevel="0" collapsed="false">
      <c r="A2417" s="35" t="s">
        <v>5784</v>
      </c>
      <c r="B2417" s="35" t="s">
        <v>5785</v>
      </c>
      <c r="C2417" s="35" t="s">
        <v>48</v>
      </c>
      <c r="D2417" s="35" t="s">
        <v>157</v>
      </c>
      <c r="E2417" s="35"/>
      <c r="F2417" s="35"/>
      <c r="G2417" s="35" t="s">
        <v>104</v>
      </c>
      <c r="H2417" s="35" t="s">
        <v>61</v>
      </c>
      <c r="I2417" s="4"/>
    </row>
    <row r="2418" customFormat="false" ht="15" hidden="false" customHeight="false" outlineLevel="0" collapsed="false">
      <c r="A2418" s="35" t="s">
        <v>5786</v>
      </c>
      <c r="B2418" s="35" t="s">
        <v>5787</v>
      </c>
      <c r="C2418" s="35" t="s">
        <v>48</v>
      </c>
      <c r="D2418" s="35" t="s">
        <v>107</v>
      </c>
      <c r="E2418" s="35" t="s">
        <v>1014</v>
      </c>
      <c r="F2418" s="35"/>
      <c r="G2418" s="35" t="s">
        <v>712</v>
      </c>
      <c r="H2418" s="35" t="s">
        <v>61</v>
      </c>
      <c r="I2418" s="4"/>
    </row>
    <row r="2419" customFormat="false" ht="15" hidden="false" customHeight="false" outlineLevel="0" collapsed="false">
      <c r="A2419" s="35" t="s">
        <v>5788</v>
      </c>
      <c r="B2419" s="35" t="s">
        <v>5789</v>
      </c>
      <c r="C2419" s="35" t="s">
        <v>48</v>
      </c>
      <c r="D2419" s="35" t="s">
        <v>107</v>
      </c>
      <c r="E2419" s="35" t="s">
        <v>1014</v>
      </c>
      <c r="F2419" s="35"/>
      <c r="G2419" s="35" t="s">
        <v>712</v>
      </c>
      <c r="H2419" s="35" t="s">
        <v>61</v>
      </c>
      <c r="I2419" s="4"/>
    </row>
    <row r="2420" customFormat="false" ht="15" hidden="false" customHeight="false" outlineLevel="0" collapsed="false">
      <c r="A2420" s="35" t="s">
        <v>1216</v>
      </c>
      <c r="B2420" s="35" t="s">
        <v>5790</v>
      </c>
      <c r="C2420" s="35" t="s">
        <v>48</v>
      </c>
      <c r="D2420" s="35" t="s">
        <v>107</v>
      </c>
      <c r="E2420" s="35" t="s">
        <v>1215</v>
      </c>
      <c r="F2420" s="35"/>
      <c r="G2420" s="35" t="s">
        <v>712</v>
      </c>
      <c r="H2420" s="35" t="s">
        <v>61</v>
      </c>
      <c r="I2420" s="4"/>
    </row>
    <row r="2421" customFormat="false" ht="15" hidden="false" customHeight="false" outlineLevel="0" collapsed="false">
      <c r="A2421" s="35" t="s">
        <v>5791</v>
      </c>
      <c r="B2421" s="35" t="s">
        <v>5792</v>
      </c>
      <c r="C2421" s="35" t="s">
        <v>48</v>
      </c>
      <c r="D2421" s="35" t="s">
        <v>107</v>
      </c>
      <c r="E2421" s="35" t="s">
        <v>729</v>
      </c>
      <c r="F2421" s="35"/>
      <c r="G2421" s="35" t="s">
        <v>696</v>
      </c>
      <c r="H2421" s="35" t="s">
        <v>61</v>
      </c>
      <c r="I2421" s="4"/>
    </row>
    <row r="2422" customFormat="false" ht="15" hidden="false" customHeight="false" outlineLevel="0" collapsed="false">
      <c r="A2422" s="35" t="s">
        <v>5793</v>
      </c>
      <c r="B2422" s="35" t="s">
        <v>5794</v>
      </c>
      <c r="C2422" s="35" t="s">
        <v>48</v>
      </c>
      <c r="D2422" s="35" t="s">
        <v>53</v>
      </c>
      <c r="E2422" s="35"/>
      <c r="F2422" s="35"/>
      <c r="G2422" s="35" t="s">
        <v>204</v>
      </c>
      <c r="H2422" s="35" t="s">
        <v>245</v>
      </c>
      <c r="I2422" s="4"/>
    </row>
    <row r="2423" customFormat="false" ht="15" hidden="false" customHeight="false" outlineLevel="0" collapsed="false">
      <c r="A2423" s="35" t="s">
        <v>5795</v>
      </c>
      <c r="B2423" s="35" t="s">
        <v>5796</v>
      </c>
      <c r="C2423" s="35" t="s">
        <v>48</v>
      </c>
      <c r="D2423" s="35" t="s">
        <v>57</v>
      </c>
      <c r="E2423" s="35" t="s">
        <v>436</v>
      </c>
      <c r="F2423" s="35"/>
      <c r="G2423" s="35" t="s">
        <v>444</v>
      </c>
      <c r="H2423" s="35" t="s">
        <v>61</v>
      </c>
      <c r="I2423" s="4"/>
    </row>
    <row r="2424" customFormat="false" ht="15" hidden="false" customHeight="false" outlineLevel="0" collapsed="false">
      <c r="A2424" s="35" t="s">
        <v>5797</v>
      </c>
      <c r="B2424" s="35" t="s">
        <v>5798</v>
      </c>
      <c r="C2424" s="35" t="s">
        <v>48</v>
      </c>
      <c r="D2424" s="35" t="s">
        <v>57</v>
      </c>
      <c r="E2424" s="35" t="s">
        <v>439</v>
      </c>
      <c r="F2424" s="35"/>
      <c r="G2424" s="35" t="s">
        <v>444</v>
      </c>
      <c r="H2424" s="35" t="s">
        <v>61</v>
      </c>
      <c r="I2424" s="4"/>
    </row>
    <row r="2425" customFormat="false" ht="15" hidden="false" customHeight="false" outlineLevel="0" collapsed="false">
      <c r="A2425" s="35" t="s">
        <v>5799</v>
      </c>
      <c r="B2425" s="35" t="s">
        <v>5800</v>
      </c>
      <c r="C2425" s="35" t="s">
        <v>48</v>
      </c>
      <c r="D2425" s="35" t="s">
        <v>57</v>
      </c>
      <c r="E2425" s="35" t="s">
        <v>442</v>
      </c>
      <c r="F2425" s="35"/>
      <c r="G2425" s="35" t="s">
        <v>444</v>
      </c>
      <c r="H2425" s="35" t="s">
        <v>61</v>
      </c>
      <c r="I2425" s="4"/>
    </row>
    <row r="2426" customFormat="false" ht="15" hidden="false" customHeight="false" outlineLevel="0" collapsed="false">
      <c r="A2426" s="35" t="s">
        <v>5801</v>
      </c>
      <c r="B2426" s="35" t="s">
        <v>5802</v>
      </c>
      <c r="C2426" s="35" t="s">
        <v>48</v>
      </c>
      <c r="D2426" s="35" t="s">
        <v>57</v>
      </c>
      <c r="E2426" s="35" t="s">
        <v>965</v>
      </c>
      <c r="F2426" s="35"/>
      <c r="G2426" s="35" t="s">
        <v>444</v>
      </c>
      <c r="H2426" s="35" t="s">
        <v>61</v>
      </c>
      <c r="I2426" s="4"/>
    </row>
    <row r="2427" customFormat="false" ht="15" hidden="false" customHeight="false" outlineLevel="0" collapsed="false">
      <c r="A2427" s="35" t="s">
        <v>5803</v>
      </c>
      <c r="B2427" s="35" t="s">
        <v>5804</v>
      </c>
      <c r="C2427" s="35" t="s">
        <v>48</v>
      </c>
      <c r="D2427" s="35" t="s">
        <v>157</v>
      </c>
      <c r="E2427" s="35"/>
      <c r="F2427" s="35"/>
      <c r="G2427" s="35" t="s">
        <v>444</v>
      </c>
      <c r="H2427" s="35" t="s">
        <v>61</v>
      </c>
      <c r="I2427" s="4"/>
    </row>
    <row r="2428" customFormat="false" ht="15" hidden="false" customHeight="false" outlineLevel="0" collapsed="false">
      <c r="A2428" s="35" t="s">
        <v>575</v>
      </c>
      <c r="B2428" s="35" t="s">
        <v>576</v>
      </c>
      <c r="C2428" s="35" t="s">
        <v>48</v>
      </c>
      <c r="D2428" s="35" t="s">
        <v>57</v>
      </c>
      <c r="E2428" s="35" t="s">
        <v>575</v>
      </c>
      <c r="F2428" s="35"/>
      <c r="G2428" s="35" t="s">
        <v>571</v>
      </c>
      <c r="H2428" s="35" t="s">
        <v>245</v>
      </c>
      <c r="I2428" s="4" t="s">
        <v>2025</v>
      </c>
    </row>
    <row r="2429" customFormat="false" ht="15" hidden="false" customHeight="false" outlineLevel="0" collapsed="false">
      <c r="A2429" s="35" t="s">
        <v>5805</v>
      </c>
      <c r="B2429" s="35" t="s">
        <v>5806</v>
      </c>
      <c r="C2429" s="35" t="s">
        <v>48</v>
      </c>
      <c r="D2429" s="35" t="s">
        <v>157</v>
      </c>
      <c r="E2429" s="35"/>
      <c r="F2429" s="35"/>
      <c r="G2429" s="35" t="s">
        <v>444</v>
      </c>
      <c r="H2429" s="35" t="s">
        <v>61</v>
      </c>
      <c r="I2429" s="4"/>
    </row>
    <row r="2430" customFormat="false" ht="15" hidden="false" customHeight="false" outlineLevel="0" collapsed="false">
      <c r="A2430" s="35" t="s">
        <v>5807</v>
      </c>
      <c r="B2430" s="35" t="s">
        <v>5808</v>
      </c>
      <c r="C2430" s="35" t="s">
        <v>48</v>
      </c>
      <c r="D2430" s="35" t="s">
        <v>157</v>
      </c>
      <c r="E2430" s="35"/>
      <c r="F2430" s="35"/>
      <c r="G2430" s="35" t="s">
        <v>421</v>
      </c>
      <c r="H2430" s="35" t="s">
        <v>61</v>
      </c>
      <c r="I2430" s="4"/>
    </row>
    <row r="2431" customFormat="false" ht="15" hidden="false" customHeight="false" outlineLevel="0" collapsed="false">
      <c r="A2431" s="35" t="s">
        <v>5809</v>
      </c>
      <c r="B2431" s="35" t="s">
        <v>5810</v>
      </c>
      <c r="C2431" s="35" t="s">
        <v>48</v>
      </c>
      <c r="D2431" s="35" t="s">
        <v>146</v>
      </c>
      <c r="E2431" s="35"/>
      <c r="F2431" s="35"/>
      <c r="G2431" s="35" t="s">
        <v>571</v>
      </c>
      <c r="H2431" s="35" t="s">
        <v>61</v>
      </c>
      <c r="I2431" s="4"/>
    </row>
    <row r="2432" customFormat="false" ht="15" hidden="false" customHeight="false" outlineLevel="0" collapsed="false">
      <c r="A2432" s="35" t="s">
        <v>1743</v>
      </c>
      <c r="B2432" s="35" t="s">
        <v>5811</v>
      </c>
      <c r="C2432" s="35" t="s">
        <v>48</v>
      </c>
      <c r="D2432" s="35" t="s">
        <v>57</v>
      </c>
      <c r="E2432" s="35" t="s">
        <v>1742</v>
      </c>
      <c r="F2432" s="35"/>
      <c r="G2432" s="35" t="s">
        <v>746</v>
      </c>
      <c r="H2432" s="35" t="s">
        <v>267</v>
      </c>
      <c r="I2432" s="4"/>
    </row>
    <row r="2433" customFormat="false" ht="15" hidden="false" customHeight="false" outlineLevel="0" collapsed="false">
      <c r="A2433" s="35" t="s">
        <v>190</v>
      </c>
      <c r="B2433" s="35" t="s">
        <v>191</v>
      </c>
      <c r="C2433" s="35" t="s">
        <v>48</v>
      </c>
      <c r="D2433" s="35" t="s">
        <v>157</v>
      </c>
      <c r="E2433" s="35"/>
      <c r="F2433" s="35"/>
      <c r="G2433" s="35" t="s">
        <v>49</v>
      </c>
      <c r="H2433" s="35" t="s">
        <v>49</v>
      </c>
      <c r="I2433" s="4" t="s">
        <v>2025</v>
      </c>
    </row>
    <row r="2434" customFormat="false" ht="15" hidden="false" customHeight="false" outlineLevel="0" collapsed="false">
      <c r="A2434" s="35" t="s">
        <v>5812</v>
      </c>
      <c r="B2434" s="35" t="s">
        <v>5813</v>
      </c>
      <c r="C2434" s="35" t="s">
        <v>48</v>
      </c>
      <c r="D2434" s="35" t="s">
        <v>157</v>
      </c>
      <c r="E2434" s="35"/>
      <c r="F2434" s="35"/>
      <c r="G2434" s="35" t="s">
        <v>49</v>
      </c>
      <c r="H2434" s="35" t="s">
        <v>49</v>
      </c>
      <c r="I2434" s="4"/>
    </row>
    <row r="2435" customFormat="false" ht="15" hidden="false" customHeight="false" outlineLevel="0" collapsed="false">
      <c r="A2435" s="35" t="s">
        <v>5814</v>
      </c>
      <c r="B2435" s="35" t="s">
        <v>5815</v>
      </c>
      <c r="C2435" s="35" t="s">
        <v>48</v>
      </c>
      <c r="D2435" s="35" t="s">
        <v>157</v>
      </c>
      <c r="E2435" s="35"/>
      <c r="F2435" s="35"/>
      <c r="G2435" s="35" t="s">
        <v>49</v>
      </c>
      <c r="H2435" s="35" t="s">
        <v>49</v>
      </c>
      <c r="I2435" s="4"/>
    </row>
    <row r="2436" customFormat="false" ht="15" hidden="false" customHeight="false" outlineLevel="0" collapsed="false">
      <c r="A2436" s="35" t="s">
        <v>5816</v>
      </c>
      <c r="B2436" s="35" t="s">
        <v>5817</v>
      </c>
      <c r="C2436" s="35" t="s">
        <v>48</v>
      </c>
      <c r="D2436" s="35" t="s">
        <v>107</v>
      </c>
      <c r="E2436" s="35" t="s">
        <v>1218</v>
      </c>
      <c r="F2436" s="35"/>
      <c r="G2436" s="35" t="s">
        <v>681</v>
      </c>
      <c r="H2436" s="35" t="s">
        <v>61</v>
      </c>
      <c r="I2436" s="4"/>
    </row>
    <row r="2437" customFormat="false" ht="15" hidden="false" customHeight="false" outlineLevel="0" collapsed="false">
      <c r="A2437" s="35" t="s">
        <v>5818</v>
      </c>
      <c r="B2437" s="35" t="s">
        <v>5819</v>
      </c>
      <c r="C2437" s="35" t="s">
        <v>48</v>
      </c>
      <c r="D2437" s="35" t="s">
        <v>114</v>
      </c>
      <c r="E2437" s="35"/>
      <c r="F2437" s="35"/>
      <c r="G2437" s="35" t="s">
        <v>524</v>
      </c>
      <c r="H2437" s="35" t="s">
        <v>61</v>
      </c>
      <c r="I2437" s="4"/>
    </row>
    <row r="2438" customFormat="false" ht="15" hidden="false" customHeight="false" outlineLevel="0" collapsed="false">
      <c r="A2438" s="35" t="s">
        <v>5820</v>
      </c>
      <c r="B2438" s="35" t="s">
        <v>5821</v>
      </c>
      <c r="C2438" s="35" t="s">
        <v>48</v>
      </c>
      <c r="D2438" s="35" t="s">
        <v>57</v>
      </c>
      <c r="E2438" s="35" t="s">
        <v>560</v>
      </c>
      <c r="F2438" s="35"/>
      <c r="G2438" s="35" t="s">
        <v>555</v>
      </c>
      <c r="H2438" s="35" t="s">
        <v>61</v>
      </c>
      <c r="I2438" s="4"/>
    </row>
    <row r="2439" customFormat="false" ht="15" hidden="false" customHeight="false" outlineLevel="0" collapsed="false">
      <c r="A2439" s="35" t="s">
        <v>5822</v>
      </c>
      <c r="B2439" s="35" t="s">
        <v>5823</v>
      </c>
      <c r="C2439" s="35" t="s">
        <v>48</v>
      </c>
      <c r="D2439" s="35" t="s">
        <v>57</v>
      </c>
      <c r="E2439" s="35" t="s">
        <v>560</v>
      </c>
      <c r="F2439" s="35"/>
      <c r="G2439" s="35" t="s">
        <v>555</v>
      </c>
      <c r="H2439" s="35" t="s">
        <v>61</v>
      </c>
      <c r="I2439" s="4"/>
    </row>
    <row r="2440" customFormat="false" ht="15" hidden="false" customHeight="false" outlineLevel="0" collapsed="false">
      <c r="A2440" s="35" t="s">
        <v>5824</v>
      </c>
      <c r="B2440" s="35" t="s">
        <v>5825</v>
      </c>
      <c r="C2440" s="35" t="s">
        <v>48</v>
      </c>
      <c r="D2440" s="35" t="s">
        <v>107</v>
      </c>
      <c r="E2440" s="35" t="s">
        <v>747</v>
      </c>
      <c r="F2440" s="35"/>
      <c r="G2440" s="35" t="s">
        <v>747</v>
      </c>
      <c r="H2440" s="35" t="s">
        <v>61</v>
      </c>
      <c r="I2440" s="4"/>
    </row>
    <row r="2441" customFormat="false" ht="15" hidden="false" customHeight="false" outlineLevel="0" collapsed="false">
      <c r="A2441" s="35" t="s">
        <v>5826</v>
      </c>
      <c r="B2441" s="35" t="s">
        <v>5827</v>
      </c>
      <c r="C2441" s="35" t="s">
        <v>48</v>
      </c>
      <c r="D2441" s="35" t="s">
        <v>146</v>
      </c>
      <c r="E2441" s="35"/>
      <c r="F2441" s="35"/>
      <c r="G2441" s="35" t="s">
        <v>555</v>
      </c>
      <c r="H2441" s="35" t="s">
        <v>61</v>
      </c>
      <c r="I2441" s="4"/>
    </row>
    <row r="2442" customFormat="false" ht="15" hidden="false" customHeight="false" outlineLevel="0" collapsed="false">
      <c r="A2442" s="35" t="s">
        <v>5828</v>
      </c>
      <c r="B2442" s="35" t="s">
        <v>5829</v>
      </c>
      <c r="C2442" s="35" t="s">
        <v>48</v>
      </c>
      <c r="D2442" s="35" t="s">
        <v>146</v>
      </c>
      <c r="E2442" s="35"/>
      <c r="F2442" s="35"/>
      <c r="G2442" s="35" t="s">
        <v>555</v>
      </c>
      <c r="H2442" s="35" t="s">
        <v>61</v>
      </c>
      <c r="I2442" s="4"/>
    </row>
    <row r="2443" customFormat="false" ht="15" hidden="false" customHeight="false" outlineLevel="0" collapsed="false">
      <c r="A2443" s="35" t="s">
        <v>5830</v>
      </c>
      <c r="B2443" s="35" t="s">
        <v>5831</v>
      </c>
      <c r="C2443" s="35" t="s">
        <v>48</v>
      </c>
      <c r="D2443" s="35" t="s">
        <v>107</v>
      </c>
      <c r="E2443" s="35" t="s">
        <v>553</v>
      </c>
      <c r="F2443" s="35" t="s">
        <v>5832</v>
      </c>
      <c r="G2443" s="35" t="s">
        <v>555</v>
      </c>
      <c r="H2443" s="35" t="s">
        <v>61</v>
      </c>
      <c r="I2443" s="4"/>
    </row>
    <row r="2444" customFormat="false" ht="15" hidden="false" customHeight="false" outlineLevel="0" collapsed="false">
      <c r="A2444" s="35" t="s">
        <v>1460</v>
      </c>
      <c r="B2444" s="35" t="s">
        <v>5833</v>
      </c>
      <c r="C2444" s="35" t="s">
        <v>48</v>
      </c>
      <c r="D2444" s="35" t="s">
        <v>107</v>
      </c>
      <c r="E2444" s="35" t="s">
        <v>1459</v>
      </c>
      <c r="F2444" s="35"/>
      <c r="G2444" s="35" t="s">
        <v>555</v>
      </c>
      <c r="H2444" s="35" t="s">
        <v>61</v>
      </c>
      <c r="I2444" s="4"/>
    </row>
    <row r="2445" customFormat="false" ht="15" hidden="false" customHeight="false" outlineLevel="0" collapsed="false">
      <c r="A2445" s="35" t="s">
        <v>5834</v>
      </c>
      <c r="B2445" s="35" t="s">
        <v>5835</v>
      </c>
      <c r="C2445" s="35" t="s">
        <v>48</v>
      </c>
      <c r="D2445" s="35" t="s">
        <v>146</v>
      </c>
      <c r="E2445" s="35"/>
      <c r="F2445" s="35"/>
      <c r="G2445" s="35" t="s">
        <v>555</v>
      </c>
      <c r="H2445" s="35" t="s">
        <v>61</v>
      </c>
      <c r="I2445" s="4"/>
    </row>
    <row r="2446" customFormat="false" ht="15" hidden="false" customHeight="false" outlineLevel="0" collapsed="false">
      <c r="A2446" s="35" t="s">
        <v>5836</v>
      </c>
      <c r="B2446" s="35" t="s">
        <v>5837</v>
      </c>
      <c r="C2446" s="35" t="s">
        <v>48</v>
      </c>
      <c r="D2446" s="35" t="s">
        <v>107</v>
      </c>
      <c r="E2446" s="35" t="s">
        <v>560</v>
      </c>
      <c r="F2446" s="35"/>
      <c r="G2446" s="35" t="s">
        <v>555</v>
      </c>
      <c r="H2446" s="35" t="s">
        <v>562</v>
      </c>
      <c r="I2446" s="4"/>
    </row>
    <row r="2447" customFormat="false" ht="15" hidden="false" customHeight="false" outlineLevel="0" collapsed="false">
      <c r="A2447" s="35" t="s">
        <v>5838</v>
      </c>
      <c r="B2447" s="35" t="s">
        <v>5839</v>
      </c>
      <c r="C2447" s="35" t="s">
        <v>48</v>
      </c>
      <c r="D2447" s="35" t="s">
        <v>107</v>
      </c>
      <c r="E2447" s="35" t="s">
        <v>560</v>
      </c>
      <c r="F2447" s="35"/>
      <c r="G2447" s="35" t="s">
        <v>555</v>
      </c>
      <c r="H2447" s="35" t="s">
        <v>61</v>
      </c>
      <c r="I2447" s="4"/>
    </row>
    <row r="2448" customFormat="false" ht="15" hidden="false" customHeight="false" outlineLevel="0" collapsed="false">
      <c r="A2448" s="35" t="s">
        <v>5840</v>
      </c>
      <c r="B2448" s="35" t="s">
        <v>5841</v>
      </c>
      <c r="C2448" s="35" t="s">
        <v>48</v>
      </c>
      <c r="D2448" s="35" t="s">
        <v>107</v>
      </c>
      <c r="E2448" s="35" t="s">
        <v>560</v>
      </c>
      <c r="F2448" s="35"/>
      <c r="G2448" s="35" t="s">
        <v>555</v>
      </c>
      <c r="H2448" s="35" t="s">
        <v>61</v>
      </c>
      <c r="I2448" s="4"/>
    </row>
    <row r="2449" customFormat="false" ht="15" hidden="false" customHeight="false" outlineLevel="0" collapsed="false">
      <c r="A2449" s="35" t="s">
        <v>5842</v>
      </c>
      <c r="B2449" s="35" t="s">
        <v>5843</v>
      </c>
      <c r="C2449" s="35" t="s">
        <v>48</v>
      </c>
      <c r="D2449" s="35" t="s">
        <v>107</v>
      </c>
      <c r="E2449" s="35" t="s">
        <v>560</v>
      </c>
      <c r="F2449" s="35"/>
      <c r="G2449" s="35" t="s">
        <v>555</v>
      </c>
      <c r="H2449" s="35" t="s">
        <v>2071</v>
      </c>
      <c r="I2449" s="4"/>
    </row>
    <row r="2450" customFormat="false" ht="15" hidden="false" customHeight="false" outlineLevel="0" collapsed="false">
      <c r="A2450" s="35" t="s">
        <v>5844</v>
      </c>
      <c r="B2450" s="35" t="s">
        <v>5845</v>
      </c>
      <c r="C2450" s="35" t="s">
        <v>48</v>
      </c>
      <c r="D2450" s="35" t="s">
        <v>107</v>
      </c>
      <c r="E2450" s="35" t="s">
        <v>560</v>
      </c>
      <c r="F2450" s="35"/>
      <c r="G2450" s="35" t="s">
        <v>555</v>
      </c>
      <c r="H2450" s="35" t="s">
        <v>562</v>
      </c>
      <c r="I2450" s="4"/>
    </row>
    <row r="2451" customFormat="false" ht="15" hidden="false" customHeight="false" outlineLevel="0" collapsed="false">
      <c r="A2451" s="35" t="s">
        <v>5846</v>
      </c>
      <c r="B2451" s="35" t="s">
        <v>561</v>
      </c>
      <c r="C2451" s="35" t="s">
        <v>48</v>
      </c>
      <c r="D2451" s="35" t="s">
        <v>107</v>
      </c>
      <c r="E2451" s="35" t="s">
        <v>560</v>
      </c>
      <c r="F2451" s="35"/>
      <c r="G2451" s="35" t="s">
        <v>555</v>
      </c>
      <c r="H2451" s="35" t="s">
        <v>2071</v>
      </c>
      <c r="I2451" s="4"/>
    </row>
    <row r="2452" customFormat="false" ht="15" hidden="false" customHeight="false" outlineLevel="0" collapsed="false">
      <c r="A2452" s="35" t="s">
        <v>5847</v>
      </c>
      <c r="B2452" s="35" t="s">
        <v>5848</v>
      </c>
      <c r="C2452" s="35" t="s">
        <v>48</v>
      </c>
      <c r="D2452" s="35" t="s">
        <v>53</v>
      </c>
      <c r="E2452" s="35"/>
      <c r="F2452" s="35"/>
      <c r="G2452" s="35" t="s">
        <v>91</v>
      </c>
      <c r="H2452" s="35" t="s">
        <v>61</v>
      </c>
      <c r="I2452" s="4"/>
    </row>
    <row r="2453" customFormat="false" ht="15" hidden="false" customHeight="false" outlineLevel="0" collapsed="false">
      <c r="A2453" s="35" t="s">
        <v>5849</v>
      </c>
      <c r="B2453" s="35"/>
      <c r="C2453" s="35" t="s">
        <v>632</v>
      </c>
      <c r="D2453" s="35" t="s">
        <v>146</v>
      </c>
      <c r="E2453" s="35"/>
      <c r="F2453" s="35"/>
      <c r="G2453" s="35" t="s">
        <v>45</v>
      </c>
      <c r="H2453" s="35" t="s">
        <v>61</v>
      </c>
      <c r="I2453" s="4"/>
    </row>
    <row r="2454" customFormat="false" ht="15" hidden="false" customHeight="false" outlineLevel="0" collapsed="false">
      <c r="A2454" s="35" t="s">
        <v>5850</v>
      </c>
      <c r="B2454" s="35" t="s">
        <v>5851</v>
      </c>
      <c r="C2454" s="35" t="s">
        <v>632</v>
      </c>
      <c r="D2454" s="35" t="s">
        <v>146</v>
      </c>
      <c r="E2454" s="35"/>
      <c r="F2454" s="35" t="s">
        <v>2022</v>
      </c>
      <c r="G2454" s="35" t="s">
        <v>45</v>
      </c>
      <c r="H2454" s="35" t="s">
        <v>61</v>
      </c>
      <c r="I2454" s="4"/>
    </row>
    <row r="2455" customFormat="false" ht="15" hidden="false" customHeight="false" outlineLevel="0" collapsed="false">
      <c r="A2455" s="35" t="s">
        <v>5852</v>
      </c>
      <c r="B2455" s="35" t="s">
        <v>5853</v>
      </c>
      <c r="C2455" s="35" t="s">
        <v>632</v>
      </c>
      <c r="D2455" s="35" t="s">
        <v>157</v>
      </c>
      <c r="E2455" s="35"/>
      <c r="F2455" s="35"/>
      <c r="G2455" s="35" t="s">
        <v>45</v>
      </c>
      <c r="H2455" s="35" t="s">
        <v>61</v>
      </c>
      <c r="I2455" s="4"/>
    </row>
    <row r="2456" customFormat="false" ht="15" hidden="false" customHeight="false" outlineLevel="0" collapsed="false">
      <c r="A2456" s="35" t="s">
        <v>5854</v>
      </c>
      <c r="B2456" s="35"/>
      <c r="C2456" s="35" t="s">
        <v>632</v>
      </c>
      <c r="D2456" s="35" t="s">
        <v>53</v>
      </c>
      <c r="E2456" s="35"/>
      <c r="F2456" s="35"/>
      <c r="G2456" s="35" t="s">
        <v>45</v>
      </c>
      <c r="H2456" s="35" t="s">
        <v>61</v>
      </c>
      <c r="I2456" s="4"/>
    </row>
    <row r="2457" customFormat="false" ht="15" hidden="false" customHeight="false" outlineLevel="0" collapsed="false">
      <c r="A2457" s="35" t="s">
        <v>5855</v>
      </c>
      <c r="B2457" s="35" t="s">
        <v>5856</v>
      </c>
      <c r="C2457" s="35" t="s">
        <v>632</v>
      </c>
      <c r="D2457" s="35" t="s">
        <v>53</v>
      </c>
      <c r="E2457" s="35"/>
      <c r="F2457" s="35" t="s">
        <v>2022</v>
      </c>
      <c r="G2457" s="35" t="s">
        <v>104</v>
      </c>
      <c r="H2457" s="35" t="s">
        <v>61</v>
      </c>
      <c r="I2457" s="4"/>
    </row>
    <row r="2458" customFormat="false" ht="15" hidden="false" customHeight="false" outlineLevel="0" collapsed="false">
      <c r="A2458" s="35" t="s">
        <v>5857</v>
      </c>
      <c r="B2458" s="35"/>
      <c r="C2458" s="35" t="s">
        <v>632</v>
      </c>
      <c r="D2458" s="35" t="s">
        <v>107</v>
      </c>
      <c r="E2458" s="35" t="s">
        <v>907</v>
      </c>
      <c r="F2458" s="35" t="s">
        <v>2147</v>
      </c>
      <c r="G2458" s="35" t="s">
        <v>681</v>
      </c>
      <c r="H2458" s="35" t="s">
        <v>61</v>
      </c>
      <c r="I2458" s="4"/>
    </row>
    <row r="2459" customFormat="false" ht="15" hidden="false" customHeight="false" outlineLevel="0" collapsed="false">
      <c r="A2459" s="35" t="s">
        <v>5858</v>
      </c>
      <c r="B2459" s="35"/>
      <c r="C2459" s="35" t="s">
        <v>632</v>
      </c>
      <c r="D2459" s="35" t="s">
        <v>57</v>
      </c>
      <c r="E2459" s="35" t="s">
        <v>841</v>
      </c>
      <c r="F2459" s="35"/>
      <c r="G2459" s="35" t="s">
        <v>769</v>
      </c>
      <c r="H2459" s="35" t="s">
        <v>61</v>
      </c>
      <c r="I2459" s="4"/>
    </row>
    <row r="2460" customFormat="false" ht="15" hidden="false" customHeight="false" outlineLevel="0" collapsed="false">
      <c r="A2460" s="35" t="s">
        <v>5859</v>
      </c>
      <c r="B2460" s="35"/>
      <c r="C2460" s="35" t="s">
        <v>632</v>
      </c>
      <c r="D2460" s="35" t="s">
        <v>57</v>
      </c>
      <c r="E2460" s="35" t="s">
        <v>845</v>
      </c>
      <c r="F2460" s="35"/>
      <c r="G2460" s="35" t="s">
        <v>328</v>
      </c>
      <c r="H2460" s="35" t="s">
        <v>61</v>
      </c>
      <c r="I2460" s="4"/>
    </row>
    <row r="2461" customFormat="false" ht="15" hidden="false" customHeight="false" outlineLevel="0" collapsed="false">
      <c r="A2461" s="35" t="s">
        <v>5860</v>
      </c>
      <c r="B2461" s="35"/>
      <c r="C2461" s="35" t="s">
        <v>632</v>
      </c>
      <c r="D2461" s="35" t="s">
        <v>57</v>
      </c>
      <c r="E2461" s="35" t="s">
        <v>845</v>
      </c>
      <c r="F2461" s="35"/>
      <c r="G2461" s="35" t="s">
        <v>328</v>
      </c>
      <c r="H2461" s="35" t="s">
        <v>61</v>
      </c>
      <c r="I2461" s="4"/>
    </row>
    <row r="2462" customFormat="false" ht="15" hidden="false" customHeight="false" outlineLevel="0" collapsed="false">
      <c r="A2462" s="35" t="s">
        <v>5861</v>
      </c>
      <c r="B2462" s="35"/>
      <c r="C2462" s="35" t="s">
        <v>632</v>
      </c>
      <c r="D2462" s="35" t="s">
        <v>57</v>
      </c>
      <c r="E2462" s="35" t="s">
        <v>548</v>
      </c>
      <c r="F2462" s="35"/>
      <c r="G2462" s="35" t="s">
        <v>545</v>
      </c>
      <c r="H2462" s="35" t="s">
        <v>61</v>
      </c>
      <c r="I2462" s="4"/>
    </row>
    <row r="2463" customFormat="false" ht="15" hidden="false" customHeight="false" outlineLevel="0" collapsed="false">
      <c r="A2463" s="35" t="s">
        <v>5862</v>
      </c>
      <c r="B2463" s="35"/>
      <c r="C2463" s="35" t="s">
        <v>632</v>
      </c>
      <c r="D2463" s="35" t="s">
        <v>57</v>
      </c>
      <c r="E2463" s="35" t="s">
        <v>932</v>
      </c>
      <c r="F2463" s="35"/>
      <c r="G2463" s="35" t="s">
        <v>328</v>
      </c>
      <c r="H2463" s="35" t="s">
        <v>61</v>
      </c>
      <c r="I2463" s="4"/>
    </row>
    <row r="2464" customFormat="false" ht="15" hidden="false" customHeight="false" outlineLevel="0" collapsed="false">
      <c r="A2464" s="35" t="s">
        <v>5863</v>
      </c>
      <c r="B2464" s="35"/>
      <c r="C2464" s="35" t="s">
        <v>632</v>
      </c>
      <c r="D2464" s="35" t="s">
        <v>57</v>
      </c>
      <c r="E2464" s="35" t="s">
        <v>932</v>
      </c>
      <c r="F2464" s="35"/>
      <c r="G2464" s="35" t="s">
        <v>328</v>
      </c>
      <c r="H2464" s="35" t="s">
        <v>61</v>
      </c>
      <c r="I2464" s="4"/>
    </row>
    <row r="2465" customFormat="false" ht="15" hidden="false" customHeight="false" outlineLevel="0" collapsed="false">
      <c r="A2465" s="35" t="s">
        <v>5864</v>
      </c>
      <c r="B2465" s="35"/>
      <c r="C2465" s="35" t="s">
        <v>632</v>
      </c>
      <c r="D2465" s="35" t="s">
        <v>57</v>
      </c>
      <c r="E2465" s="35" t="s">
        <v>1050</v>
      </c>
      <c r="F2465" s="35"/>
      <c r="G2465" s="35" t="s">
        <v>781</v>
      </c>
      <c r="H2465" s="35" t="s">
        <v>61</v>
      </c>
      <c r="I2465" s="4"/>
    </row>
    <row r="2466" customFormat="false" ht="15" hidden="false" customHeight="false" outlineLevel="0" collapsed="false">
      <c r="A2466" s="35" t="s">
        <v>5865</v>
      </c>
      <c r="B2466" s="35"/>
      <c r="C2466" s="35" t="s">
        <v>632</v>
      </c>
      <c r="D2466" s="35" t="s">
        <v>57</v>
      </c>
      <c r="E2466" s="35" t="s">
        <v>1211</v>
      </c>
      <c r="F2466" s="35"/>
      <c r="G2466" s="35" t="s">
        <v>49</v>
      </c>
      <c r="H2466" s="35" t="s">
        <v>61</v>
      </c>
      <c r="I2466" s="4"/>
    </row>
    <row r="2467" customFormat="false" ht="15" hidden="false" customHeight="false" outlineLevel="0" collapsed="false">
      <c r="A2467" s="35" t="s">
        <v>5866</v>
      </c>
      <c r="B2467" s="35"/>
      <c r="C2467" s="35" t="s">
        <v>632</v>
      </c>
      <c r="D2467" s="35" t="s">
        <v>114</v>
      </c>
      <c r="E2467" s="35"/>
      <c r="F2467" s="35"/>
      <c r="G2467" s="35" t="s">
        <v>119</v>
      </c>
      <c r="H2467" s="35" t="s">
        <v>61</v>
      </c>
      <c r="I2467" s="4"/>
    </row>
    <row r="2468" customFormat="false" ht="15" hidden="false" customHeight="false" outlineLevel="0" collapsed="false">
      <c r="A2468" s="35" t="s">
        <v>5867</v>
      </c>
      <c r="B2468" s="35"/>
      <c r="C2468" s="35" t="s">
        <v>632</v>
      </c>
      <c r="D2468" s="35" t="s">
        <v>53</v>
      </c>
      <c r="E2468" s="35"/>
      <c r="F2468" s="35"/>
      <c r="G2468" s="35" t="s">
        <v>681</v>
      </c>
      <c r="H2468" s="35" t="s">
        <v>61</v>
      </c>
      <c r="I2468" s="4"/>
    </row>
    <row r="2469" customFormat="false" ht="15" hidden="false" customHeight="false" outlineLevel="0" collapsed="false">
      <c r="A2469" s="35" t="s">
        <v>5868</v>
      </c>
      <c r="B2469" s="35"/>
      <c r="C2469" s="35" t="s">
        <v>632</v>
      </c>
      <c r="D2469" s="35" t="s">
        <v>107</v>
      </c>
      <c r="E2469" s="35" t="s">
        <v>45</v>
      </c>
      <c r="F2469" s="35"/>
      <c r="G2469" s="35" t="s">
        <v>45</v>
      </c>
      <c r="H2469" s="35" t="s">
        <v>61</v>
      </c>
      <c r="I2469" s="4"/>
    </row>
    <row r="2470" customFormat="false" ht="15" hidden="false" customHeight="false" outlineLevel="0" collapsed="false">
      <c r="A2470" s="35" t="s">
        <v>5869</v>
      </c>
      <c r="B2470" s="35"/>
      <c r="C2470" s="35" t="s">
        <v>632</v>
      </c>
      <c r="D2470" s="35" t="s">
        <v>114</v>
      </c>
      <c r="E2470" s="35"/>
      <c r="F2470" s="35"/>
      <c r="G2470" s="35" t="s">
        <v>328</v>
      </c>
      <c r="H2470" s="35" t="s">
        <v>61</v>
      </c>
      <c r="I2470" s="4"/>
    </row>
    <row r="2471" customFormat="false" ht="15" hidden="false" customHeight="false" outlineLevel="0" collapsed="false">
      <c r="A2471" s="35" t="s">
        <v>5870</v>
      </c>
      <c r="B2471" s="35"/>
      <c r="C2471" s="35" t="s">
        <v>632</v>
      </c>
      <c r="D2471" s="35" t="s">
        <v>107</v>
      </c>
      <c r="E2471" s="35" t="s">
        <v>932</v>
      </c>
      <c r="F2471" s="35"/>
      <c r="G2471" s="35" t="s">
        <v>328</v>
      </c>
      <c r="H2471" s="35" t="s">
        <v>61</v>
      </c>
      <c r="I2471" s="4"/>
    </row>
    <row r="2472" customFormat="false" ht="15" hidden="false" customHeight="false" outlineLevel="0" collapsed="false">
      <c r="A2472" s="35" t="s">
        <v>5871</v>
      </c>
      <c r="B2472" s="35"/>
      <c r="C2472" s="35" t="s">
        <v>632</v>
      </c>
      <c r="D2472" s="35" t="s">
        <v>146</v>
      </c>
      <c r="E2472" s="35"/>
      <c r="F2472" s="35" t="s">
        <v>5872</v>
      </c>
      <c r="G2472" s="35" t="s">
        <v>45</v>
      </c>
      <c r="H2472" s="35" t="s">
        <v>61</v>
      </c>
      <c r="I2472" s="4"/>
    </row>
    <row r="2473" customFormat="false" ht="15" hidden="false" customHeight="false" outlineLevel="0" collapsed="false">
      <c r="A2473" s="35" t="s">
        <v>5873</v>
      </c>
      <c r="B2473" s="35"/>
      <c r="C2473" s="35" t="s">
        <v>632</v>
      </c>
      <c r="D2473" s="35" t="s">
        <v>146</v>
      </c>
      <c r="E2473" s="35"/>
      <c r="F2473" s="35" t="s">
        <v>5872</v>
      </c>
      <c r="G2473" s="35" t="s">
        <v>545</v>
      </c>
      <c r="H2473" s="35" t="s">
        <v>61</v>
      </c>
      <c r="I2473" s="4"/>
    </row>
    <row r="2474" customFormat="false" ht="15" hidden="false" customHeight="false" outlineLevel="0" collapsed="false">
      <c r="A2474" s="35" t="s">
        <v>5874</v>
      </c>
      <c r="B2474" s="35"/>
      <c r="C2474" s="35" t="s">
        <v>632</v>
      </c>
      <c r="D2474" s="35" t="s">
        <v>146</v>
      </c>
      <c r="E2474" s="35"/>
      <c r="F2474" s="35" t="s">
        <v>5872</v>
      </c>
      <c r="G2474" s="35" t="s">
        <v>545</v>
      </c>
      <c r="H2474" s="35" t="s">
        <v>61</v>
      </c>
      <c r="I2474" s="4"/>
    </row>
    <row r="2475" customFormat="false" ht="15" hidden="false" customHeight="false" outlineLevel="0" collapsed="false">
      <c r="A2475" s="35" t="s">
        <v>5875</v>
      </c>
      <c r="B2475" s="35"/>
      <c r="C2475" s="35" t="s">
        <v>632</v>
      </c>
      <c r="D2475" s="35" t="s">
        <v>114</v>
      </c>
      <c r="E2475" s="35"/>
      <c r="F2475" s="35"/>
      <c r="G2475" s="35" t="s">
        <v>715</v>
      </c>
      <c r="H2475" s="35" t="s">
        <v>61</v>
      </c>
      <c r="I2475" s="4"/>
    </row>
    <row r="2476" customFormat="false" ht="15" hidden="false" customHeight="false" outlineLevel="0" collapsed="false">
      <c r="A2476" s="35" t="s">
        <v>5876</v>
      </c>
      <c r="B2476" s="35"/>
      <c r="C2476" s="35" t="s">
        <v>632</v>
      </c>
      <c r="D2476" s="35" t="s">
        <v>114</v>
      </c>
      <c r="E2476" s="35"/>
      <c r="F2476" s="35"/>
      <c r="G2476" s="35" t="s">
        <v>715</v>
      </c>
      <c r="H2476" s="35" t="s">
        <v>61</v>
      </c>
      <c r="I2476" s="4"/>
    </row>
    <row r="2477" customFormat="false" ht="15" hidden="false" customHeight="false" outlineLevel="0" collapsed="false">
      <c r="A2477" s="35" t="s">
        <v>5877</v>
      </c>
      <c r="B2477" s="35"/>
      <c r="C2477" s="35" t="s">
        <v>632</v>
      </c>
      <c r="D2477" s="35" t="s">
        <v>114</v>
      </c>
      <c r="E2477" s="35"/>
      <c r="F2477" s="35"/>
      <c r="G2477" s="35" t="s">
        <v>685</v>
      </c>
      <c r="H2477" s="35" t="s">
        <v>61</v>
      </c>
      <c r="I2477" s="4"/>
    </row>
    <row r="2478" customFormat="false" ht="15" hidden="false" customHeight="false" outlineLevel="0" collapsed="false">
      <c r="A2478" s="35" t="s">
        <v>5878</v>
      </c>
      <c r="B2478" s="35"/>
      <c r="C2478" s="35" t="s">
        <v>632</v>
      </c>
      <c r="D2478" s="35" t="s">
        <v>114</v>
      </c>
      <c r="E2478" s="35"/>
      <c r="F2478" s="35"/>
      <c r="G2478" s="35" t="s">
        <v>681</v>
      </c>
      <c r="H2478" s="35" t="s">
        <v>61</v>
      </c>
      <c r="I2478" s="4"/>
    </row>
    <row r="2479" customFormat="false" ht="15" hidden="false" customHeight="false" outlineLevel="0" collapsed="false">
      <c r="A2479" s="35" t="s">
        <v>5879</v>
      </c>
      <c r="B2479" s="35"/>
      <c r="C2479" s="35" t="s">
        <v>632</v>
      </c>
      <c r="D2479" s="35" t="s">
        <v>114</v>
      </c>
      <c r="E2479" s="35"/>
      <c r="F2479" s="35"/>
      <c r="G2479" s="35" t="s">
        <v>444</v>
      </c>
      <c r="H2479" s="35" t="s">
        <v>61</v>
      </c>
      <c r="I2479" s="4"/>
    </row>
    <row r="2480" customFormat="false" ht="15" hidden="false" customHeight="false" outlineLevel="0" collapsed="false">
      <c r="A2480" s="35" t="s">
        <v>5880</v>
      </c>
      <c r="B2480" s="35" t="s">
        <v>5881</v>
      </c>
      <c r="C2480" s="35" t="s">
        <v>632</v>
      </c>
      <c r="D2480" s="35" t="s">
        <v>114</v>
      </c>
      <c r="E2480" s="35"/>
      <c r="F2480" s="35"/>
      <c r="G2480" s="35" t="s">
        <v>104</v>
      </c>
      <c r="H2480" s="35" t="s">
        <v>61</v>
      </c>
      <c r="I2480" s="4"/>
    </row>
    <row r="2481" customFormat="false" ht="15" hidden="false" customHeight="false" outlineLevel="0" collapsed="false">
      <c r="A2481" s="35" t="s">
        <v>5882</v>
      </c>
      <c r="B2481" s="35" t="s">
        <v>5883</v>
      </c>
      <c r="C2481" s="35" t="s">
        <v>632</v>
      </c>
      <c r="D2481" s="35" t="s">
        <v>114</v>
      </c>
      <c r="E2481" s="35"/>
      <c r="F2481" s="35"/>
      <c r="G2481" s="35" t="s">
        <v>104</v>
      </c>
      <c r="H2481" s="35" t="s">
        <v>61</v>
      </c>
      <c r="I2481" s="4"/>
    </row>
    <row r="2482" customFormat="false" ht="15" hidden="false" customHeight="false" outlineLevel="0" collapsed="false">
      <c r="A2482" s="35" t="s">
        <v>5884</v>
      </c>
      <c r="B2482" s="35"/>
      <c r="C2482" s="35" t="s">
        <v>632</v>
      </c>
      <c r="D2482" s="35" t="s">
        <v>114</v>
      </c>
      <c r="E2482" s="35"/>
      <c r="F2482" s="35"/>
      <c r="G2482" s="35" t="s">
        <v>685</v>
      </c>
      <c r="H2482" s="35" t="s">
        <v>61</v>
      </c>
      <c r="I2482" s="4"/>
    </row>
    <row r="2483" customFormat="false" ht="15" hidden="false" customHeight="false" outlineLevel="0" collapsed="false">
      <c r="A2483" s="35" t="s">
        <v>1751</v>
      </c>
      <c r="B2483" s="35" t="s">
        <v>5885</v>
      </c>
      <c r="C2483" s="35" t="s">
        <v>48</v>
      </c>
      <c r="D2483" s="35" t="s">
        <v>107</v>
      </c>
      <c r="E2483" s="35" t="s">
        <v>1750</v>
      </c>
      <c r="F2483" s="35"/>
      <c r="G2483" s="35" t="s">
        <v>772</v>
      </c>
      <c r="H2483" s="35" t="s">
        <v>61</v>
      </c>
      <c r="I2483" s="4"/>
    </row>
    <row r="2484" customFormat="false" ht="15" hidden="false" customHeight="false" outlineLevel="0" collapsed="false">
      <c r="A2484" s="35" t="s">
        <v>5886</v>
      </c>
      <c r="B2484" s="35" t="s">
        <v>5887</v>
      </c>
      <c r="C2484" s="35" t="s">
        <v>48</v>
      </c>
      <c r="D2484" s="35" t="s">
        <v>53</v>
      </c>
      <c r="E2484" s="35"/>
      <c r="F2484" s="35"/>
      <c r="G2484" s="35" t="s">
        <v>444</v>
      </c>
      <c r="H2484" s="35" t="s">
        <v>61</v>
      </c>
      <c r="I2484" s="4"/>
    </row>
    <row r="2485" customFormat="false" ht="15" hidden="false" customHeight="false" outlineLevel="0" collapsed="false">
      <c r="A2485" s="35" t="s">
        <v>483</v>
      </c>
      <c r="B2485" s="35" t="s">
        <v>485</v>
      </c>
      <c r="C2485" s="35" t="s">
        <v>48</v>
      </c>
      <c r="D2485" s="35" t="s">
        <v>107</v>
      </c>
      <c r="E2485" s="35" t="s">
        <v>484</v>
      </c>
      <c r="F2485" s="35"/>
      <c r="G2485" s="35" t="s">
        <v>444</v>
      </c>
      <c r="H2485" s="35" t="s">
        <v>61</v>
      </c>
      <c r="I2485" s="4" t="s">
        <v>2025</v>
      </c>
    </row>
    <row r="2486" customFormat="false" ht="15" hidden="false" customHeight="false" outlineLevel="0" collapsed="false">
      <c r="A2486" s="35" t="s">
        <v>1462</v>
      </c>
      <c r="B2486" s="35" t="s">
        <v>5888</v>
      </c>
      <c r="C2486" s="35" t="s">
        <v>48</v>
      </c>
      <c r="D2486" s="35" t="s">
        <v>107</v>
      </c>
      <c r="E2486" s="35" t="s">
        <v>1461</v>
      </c>
      <c r="F2486" s="35"/>
      <c r="G2486" s="35" t="s">
        <v>731</v>
      </c>
      <c r="H2486" s="35" t="s">
        <v>61</v>
      </c>
      <c r="I2486" s="4"/>
    </row>
    <row r="2487" customFormat="false" ht="15" hidden="false" customHeight="false" outlineLevel="0" collapsed="false">
      <c r="A2487" s="35" t="s">
        <v>5889</v>
      </c>
      <c r="B2487" s="35"/>
      <c r="C2487" s="35" t="s">
        <v>673</v>
      </c>
      <c r="D2487" s="35" t="s">
        <v>53</v>
      </c>
      <c r="E2487" s="35"/>
      <c r="F2487" s="35"/>
      <c r="G2487" s="35" t="s">
        <v>707</v>
      </c>
      <c r="H2487" s="35" t="s">
        <v>61</v>
      </c>
      <c r="I2487" s="4"/>
    </row>
    <row r="2488" customFormat="false" ht="15" hidden="false" customHeight="false" outlineLevel="0" collapsed="false">
      <c r="A2488" s="35" t="s">
        <v>5890</v>
      </c>
      <c r="B2488" s="35"/>
      <c r="C2488" s="35" t="s">
        <v>673</v>
      </c>
      <c r="D2488" s="35" t="s">
        <v>53</v>
      </c>
      <c r="E2488" s="35"/>
      <c r="F2488" s="35"/>
      <c r="G2488" s="35" t="s">
        <v>707</v>
      </c>
      <c r="H2488" s="35" t="s">
        <v>61</v>
      </c>
      <c r="I2488" s="4"/>
    </row>
    <row r="2489" customFormat="false" ht="15" hidden="false" customHeight="false" outlineLevel="0" collapsed="false">
      <c r="A2489" s="35" t="s">
        <v>5891</v>
      </c>
      <c r="B2489" s="35" t="s">
        <v>5892</v>
      </c>
      <c r="C2489" s="35" t="s">
        <v>48</v>
      </c>
      <c r="D2489" s="35" t="s">
        <v>114</v>
      </c>
      <c r="E2489" s="35"/>
      <c r="F2489" s="35" t="s">
        <v>174</v>
      </c>
      <c r="G2489" s="35" t="s">
        <v>692</v>
      </c>
      <c r="H2489" s="35" t="s">
        <v>50</v>
      </c>
      <c r="I2489" s="4"/>
    </row>
    <row r="2490" customFormat="false" ht="15" hidden="false" customHeight="false" outlineLevel="0" collapsed="false">
      <c r="A2490" s="35" t="s">
        <v>1755</v>
      </c>
      <c r="B2490" s="35" t="s">
        <v>5893</v>
      </c>
      <c r="C2490" s="35" t="s">
        <v>48</v>
      </c>
      <c r="D2490" s="35" t="s">
        <v>107</v>
      </c>
      <c r="E2490" s="35" t="s">
        <v>1754</v>
      </c>
      <c r="F2490" s="35" t="s">
        <v>2147</v>
      </c>
      <c r="G2490" s="35" t="s">
        <v>783</v>
      </c>
      <c r="H2490" s="35" t="s">
        <v>61</v>
      </c>
      <c r="I2490" s="4"/>
    </row>
    <row r="2491" customFormat="false" ht="15" hidden="false" customHeight="false" outlineLevel="0" collapsed="false">
      <c r="A2491" s="35" t="s">
        <v>1226</v>
      </c>
      <c r="B2491" s="35" t="s">
        <v>5894</v>
      </c>
      <c r="C2491" s="35" t="s">
        <v>48</v>
      </c>
      <c r="D2491" s="35" t="s">
        <v>107</v>
      </c>
      <c r="E2491" s="35" t="s">
        <v>1225</v>
      </c>
      <c r="F2491" s="35" t="s">
        <v>2147</v>
      </c>
      <c r="G2491" s="35" t="s">
        <v>692</v>
      </c>
      <c r="H2491" s="35" t="s">
        <v>61</v>
      </c>
      <c r="I2491" s="4"/>
    </row>
    <row r="2492" customFormat="false" ht="15" hidden="false" customHeight="false" outlineLevel="0" collapsed="false">
      <c r="A2492" s="35" t="s">
        <v>5895</v>
      </c>
      <c r="B2492" s="35" t="s">
        <v>5896</v>
      </c>
      <c r="C2492" s="35" t="s">
        <v>48</v>
      </c>
      <c r="D2492" s="35" t="s">
        <v>146</v>
      </c>
      <c r="E2492" s="35"/>
      <c r="F2492" s="35" t="s">
        <v>2147</v>
      </c>
      <c r="G2492" s="35" t="s">
        <v>689</v>
      </c>
      <c r="H2492" s="35" t="s">
        <v>61</v>
      </c>
      <c r="I2492" s="4"/>
    </row>
    <row r="2493" customFormat="false" ht="15" hidden="false" customHeight="false" outlineLevel="0" collapsed="false">
      <c r="A2493" s="35" t="s">
        <v>149</v>
      </c>
      <c r="B2493" s="35" t="s">
        <v>150</v>
      </c>
      <c r="C2493" s="35" t="s">
        <v>48</v>
      </c>
      <c r="D2493" s="35" t="s">
        <v>146</v>
      </c>
      <c r="E2493" s="35"/>
      <c r="F2493" s="35"/>
      <c r="G2493" s="35" t="s">
        <v>49</v>
      </c>
      <c r="H2493" s="35" t="s">
        <v>49</v>
      </c>
      <c r="I2493" s="4" t="s">
        <v>2025</v>
      </c>
    </row>
    <row r="2494" customFormat="false" ht="15" hidden="false" customHeight="false" outlineLevel="0" collapsed="false">
      <c r="A2494" s="35" t="s">
        <v>5897</v>
      </c>
      <c r="B2494" s="35" t="s">
        <v>5898</v>
      </c>
      <c r="C2494" s="35" t="s">
        <v>48</v>
      </c>
      <c r="D2494" s="35" t="s">
        <v>146</v>
      </c>
      <c r="E2494" s="35"/>
      <c r="F2494" s="35"/>
      <c r="G2494" s="35" t="s">
        <v>49</v>
      </c>
      <c r="H2494" s="35" t="s">
        <v>49</v>
      </c>
      <c r="I2494" s="4"/>
    </row>
    <row r="2495" customFormat="false" ht="15" hidden="false" customHeight="false" outlineLevel="0" collapsed="false">
      <c r="A2495" s="35" t="s">
        <v>5899</v>
      </c>
      <c r="B2495" s="35" t="s">
        <v>5900</v>
      </c>
      <c r="C2495" s="35" t="s">
        <v>48</v>
      </c>
      <c r="D2495" s="35" t="s">
        <v>146</v>
      </c>
      <c r="E2495" s="35"/>
      <c r="F2495" s="35" t="s">
        <v>2147</v>
      </c>
      <c r="G2495" s="35" t="s">
        <v>689</v>
      </c>
      <c r="H2495" s="35" t="s">
        <v>61</v>
      </c>
      <c r="I2495" s="4"/>
    </row>
    <row r="2496" customFormat="false" ht="15" hidden="false" customHeight="false" outlineLevel="0" collapsed="false">
      <c r="A2496" s="35" t="s">
        <v>5901</v>
      </c>
      <c r="B2496" s="35" t="s">
        <v>5902</v>
      </c>
      <c r="C2496" s="35" t="s">
        <v>48</v>
      </c>
      <c r="D2496" s="35" t="s">
        <v>57</v>
      </c>
      <c r="E2496" s="35" t="s">
        <v>1056</v>
      </c>
      <c r="F2496" s="35" t="s">
        <v>157</v>
      </c>
      <c r="G2496" s="35" t="s">
        <v>706</v>
      </c>
      <c r="H2496" s="35" t="s">
        <v>61</v>
      </c>
      <c r="I2496" s="4"/>
    </row>
    <row r="2497" customFormat="false" ht="15" hidden="false" customHeight="false" outlineLevel="0" collapsed="false">
      <c r="A2497" s="35" t="s">
        <v>1228</v>
      </c>
      <c r="B2497" s="35" t="s">
        <v>5903</v>
      </c>
      <c r="C2497" s="35" t="s">
        <v>48</v>
      </c>
      <c r="D2497" s="35" t="s">
        <v>57</v>
      </c>
      <c r="E2497" s="35" t="s">
        <v>1227</v>
      </c>
      <c r="F2497" s="35" t="s">
        <v>157</v>
      </c>
      <c r="G2497" s="35" t="s">
        <v>692</v>
      </c>
      <c r="H2497" s="35" t="s">
        <v>61</v>
      </c>
      <c r="I2497" s="4"/>
    </row>
    <row r="2498" customFormat="false" ht="15" hidden="false" customHeight="false" outlineLevel="0" collapsed="false">
      <c r="A2498" s="35" t="s">
        <v>1230</v>
      </c>
      <c r="B2498" s="35" t="s">
        <v>5904</v>
      </c>
      <c r="C2498" s="35" t="s">
        <v>48</v>
      </c>
      <c r="D2498" s="35" t="s">
        <v>57</v>
      </c>
      <c r="E2498" s="35" t="s">
        <v>1229</v>
      </c>
      <c r="F2498" s="35" t="s">
        <v>157</v>
      </c>
      <c r="G2498" s="35" t="s">
        <v>692</v>
      </c>
      <c r="H2498" s="35" t="s">
        <v>61</v>
      </c>
      <c r="I2498" s="4"/>
    </row>
    <row r="2499" customFormat="false" ht="15" hidden="false" customHeight="false" outlineLevel="0" collapsed="false">
      <c r="A2499" s="35" t="s">
        <v>1761</v>
      </c>
      <c r="B2499" s="35" t="s">
        <v>5905</v>
      </c>
      <c r="C2499" s="35" t="s">
        <v>48</v>
      </c>
      <c r="D2499" s="35" t="s">
        <v>57</v>
      </c>
      <c r="E2499" s="35" t="s">
        <v>1760</v>
      </c>
      <c r="F2499" s="35"/>
      <c r="G2499" s="35" t="s">
        <v>692</v>
      </c>
      <c r="H2499" s="35" t="s">
        <v>61</v>
      </c>
      <c r="I2499" s="4"/>
    </row>
    <row r="2500" customFormat="false" ht="15" hidden="false" customHeight="false" outlineLevel="0" collapsed="false">
      <c r="A2500" s="35" t="s">
        <v>1855</v>
      </c>
      <c r="B2500" s="35" t="s">
        <v>5906</v>
      </c>
      <c r="C2500" s="35" t="s">
        <v>48</v>
      </c>
      <c r="D2500" s="35" t="s">
        <v>57</v>
      </c>
      <c r="E2500" s="35" t="s">
        <v>1854</v>
      </c>
      <c r="F2500" s="35" t="s">
        <v>157</v>
      </c>
      <c r="G2500" s="35" t="s">
        <v>706</v>
      </c>
      <c r="H2500" s="35" t="s">
        <v>61</v>
      </c>
      <c r="I2500" s="4"/>
    </row>
    <row r="2501" customFormat="false" ht="15" hidden="false" customHeight="false" outlineLevel="0" collapsed="false">
      <c r="A2501" s="35" t="s">
        <v>5907</v>
      </c>
      <c r="B2501" s="35" t="s">
        <v>5908</v>
      </c>
      <c r="C2501" s="35" t="s">
        <v>48</v>
      </c>
      <c r="D2501" s="35" t="s">
        <v>107</v>
      </c>
      <c r="E2501" s="35" t="s">
        <v>892</v>
      </c>
      <c r="F2501" s="35"/>
      <c r="G2501" s="35" t="s">
        <v>417</v>
      </c>
      <c r="H2501" s="35" t="s">
        <v>245</v>
      </c>
      <c r="I2501" s="4"/>
    </row>
    <row r="2502" customFormat="false" ht="15" hidden="false" customHeight="false" outlineLevel="0" collapsed="false">
      <c r="A2502" s="35" t="s">
        <v>5909</v>
      </c>
      <c r="B2502" s="35" t="s">
        <v>5910</v>
      </c>
      <c r="C2502" s="35" t="s">
        <v>48</v>
      </c>
      <c r="D2502" s="35" t="s">
        <v>53</v>
      </c>
      <c r="E2502" s="35"/>
      <c r="F2502" s="35"/>
      <c r="G2502" s="35" t="s">
        <v>204</v>
      </c>
      <c r="H2502" s="35" t="s">
        <v>61</v>
      </c>
      <c r="I2502" s="4"/>
    </row>
    <row r="2503" customFormat="false" ht="15" hidden="false" customHeight="false" outlineLevel="0" collapsed="false">
      <c r="A2503" s="35" t="s">
        <v>5911</v>
      </c>
      <c r="B2503" s="35" t="s">
        <v>5912</v>
      </c>
      <c r="C2503" s="35" t="s">
        <v>48</v>
      </c>
      <c r="D2503" s="35" t="s">
        <v>107</v>
      </c>
      <c r="E2503" s="35" t="s">
        <v>892</v>
      </c>
      <c r="F2503" s="35"/>
      <c r="G2503" s="35" t="s">
        <v>417</v>
      </c>
      <c r="H2503" s="35" t="s">
        <v>61</v>
      </c>
      <c r="I2503" s="4"/>
    </row>
    <row r="2504" customFormat="false" ht="15" hidden="false" customHeight="false" outlineLevel="0" collapsed="false">
      <c r="A2504" s="35" t="s">
        <v>5913</v>
      </c>
      <c r="B2504" s="35" t="s">
        <v>5914</v>
      </c>
      <c r="C2504" s="35" t="s">
        <v>48</v>
      </c>
      <c r="D2504" s="35" t="s">
        <v>447</v>
      </c>
      <c r="E2504" s="35"/>
      <c r="F2504" s="35"/>
      <c r="G2504" s="35" t="s">
        <v>444</v>
      </c>
      <c r="H2504" s="35" t="s">
        <v>61</v>
      </c>
      <c r="I2504" s="4"/>
    </row>
    <row r="2505" customFormat="false" ht="15" hidden="false" customHeight="false" outlineLevel="0" collapsed="false">
      <c r="A2505" s="35" t="s">
        <v>5915</v>
      </c>
      <c r="B2505" s="35" t="s">
        <v>5916</v>
      </c>
      <c r="C2505" s="35" t="s">
        <v>48</v>
      </c>
      <c r="D2505" s="35" t="s">
        <v>157</v>
      </c>
      <c r="E2505" s="35"/>
      <c r="F2505" s="35"/>
      <c r="G2505" s="35" t="s">
        <v>444</v>
      </c>
      <c r="H2505" s="35" t="s">
        <v>61</v>
      </c>
      <c r="I2505" s="4"/>
    </row>
    <row r="2506" customFormat="false" ht="15" hidden="false" customHeight="false" outlineLevel="0" collapsed="false">
      <c r="A2506" s="35" t="s">
        <v>5917</v>
      </c>
      <c r="B2506" s="35" t="s">
        <v>5918</v>
      </c>
      <c r="C2506" s="35" t="s">
        <v>48</v>
      </c>
      <c r="D2506" s="35" t="s">
        <v>146</v>
      </c>
      <c r="E2506" s="35"/>
      <c r="F2506" s="35"/>
      <c r="G2506" s="35" t="s">
        <v>444</v>
      </c>
      <c r="H2506" s="35" t="s">
        <v>61</v>
      </c>
      <c r="I2506" s="4"/>
    </row>
    <row r="2507" customFormat="false" ht="15" hidden="false" customHeight="false" outlineLevel="0" collapsed="false">
      <c r="A2507" s="35" t="s">
        <v>5919</v>
      </c>
      <c r="B2507" s="35" t="s">
        <v>5920</v>
      </c>
      <c r="C2507" s="35" t="s">
        <v>48</v>
      </c>
      <c r="D2507" s="35" t="s">
        <v>57</v>
      </c>
      <c r="E2507" s="35" t="s">
        <v>853</v>
      </c>
      <c r="F2507" s="35"/>
      <c r="G2507" s="35" t="s">
        <v>444</v>
      </c>
      <c r="H2507" s="35" t="s">
        <v>61</v>
      </c>
      <c r="I2507" s="4"/>
    </row>
    <row r="2508" customFormat="false" ht="15" hidden="false" customHeight="false" outlineLevel="0" collapsed="false">
      <c r="A2508" s="35" t="s">
        <v>5921</v>
      </c>
      <c r="B2508" s="35" t="s">
        <v>5922</v>
      </c>
      <c r="C2508" s="35" t="s">
        <v>48</v>
      </c>
      <c r="D2508" s="35" t="s">
        <v>53</v>
      </c>
      <c r="E2508" s="35"/>
      <c r="F2508" s="35"/>
      <c r="G2508" s="35" t="s">
        <v>87</v>
      </c>
      <c r="H2508" s="35" t="s">
        <v>61</v>
      </c>
      <c r="I2508" s="4"/>
    </row>
    <row r="2509" customFormat="false" ht="15" hidden="false" customHeight="false" outlineLevel="0" collapsed="false">
      <c r="A2509" s="35" t="s">
        <v>509</v>
      </c>
      <c r="B2509" s="35" t="s">
        <v>510</v>
      </c>
      <c r="C2509" s="35" t="s">
        <v>48</v>
      </c>
      <c r="D2509" s="35" t="s">
        <v>107</v>
      </c>
      <c r="E2509" s="35" t="s">
        <v>506</v>
      </c>
      <c r="F2509" s="35"/>
      <c r="G2509" s="35" t="s">
        <v>49</v>
      </c>
      <c r="H2509" s="35" t="s">
        <v>49</v>
      </c>
      <c r="I2509" s="4" t="s">
        <v>2025</v>
      </c>
    </row>
    <row r="2510" customFormat="false" ht="15" hidden="false" customHeight="false" outlineLevel="0" collapsed="false">
      <c r="A2510" s="35" t="s">
        <v>5923</v>
      </c>
      <c r="B2510" s="35" t="s">
        <v>5924</v>
      </c>
      <c r="C2510" s="35" t="s">
        <v>48</v>
      </c>
      <c r="D2510" s="35" t="s">
        <v>57</v>
      </c>
      <c r="E2510" s="35" t="s">
        <v>94</v>
      </c>
      <c r="F2510" s="35"/>
      <c r="G2510" s="35" t="s">
        <v>87</v>
      </c>
      <c r="H2510" s="35" t="s">
        <v>61</v>
      </c>
      <c r="I2510" s="4"/>
    </row>
    <row r="2511" customFormat="false" ht="15" hidden="false" customHeight="false" outlineLevel="0" collapsed="false">
      <c r="A2511" s="35" t="s">
        <v>5925</v>
      </c>
      <c r="B2511" s="35" t="s">
        <v>5926</v>
      </c>
      <c r="C2511" s="35" t="s">
        <v>48</v>
      </c>
      <c r="D2511" s="35" t="s">
        <v>447</v>
      </c>
      <c r="E2511" s="35"/>
      <c r="F2511" s="35"/>
      <c r="G2511" s="35" t="s">
        <v>444</v>
      </c>
      <c r="H2511" s="35" t="s">
        <v>61</v>
      </c>
      <c r="I2511" s="4"/>
    </row>
    <row r="2512" customFormat="false" ht="15" hidden="false" customHeight="false" outlineLevel="0" collapsed="false">
      <c r="A2512" s="35" t="s">
        <v>5927</v>
      </c>
      <c r="B2512" s="35" t="s">
        <v>5928</v>
      </c>
      <c r="C2512" s="35" t="s">
        <v>48</v>
      </c>
      <c r="D2512" s="35" t="s">
        <v>447</v>
      </c>
      <c r="E2512" s="35"/>
      <c r="F2512" s="35"/>
      <c r="G2512" s="35" t="s">
        <v>444</v>
      </c>
      <c r="H2512" s="35" t="s">
        <v>61</v>
      </c>
      <c r="I2512" s="4"/>
    </row>
    <row r="2513" customFormat="false" ht="15" hidden="false" customHeight="false" outlineLevel="0" collapsed="false">
      <c r="A2513" s="35" t="s">
        <v>5929</v>
      </c>
      <c r="B2513" s="35" t="s">
        <v>5930</v>
      </c>
      <c r="C2513" s="35" t="s">
        <v>48</v>
      </c>
      <c r="D2513" s="35" t="s">
        <v>447</v>
      </c>
      <c r="E2513" s="35"/>
      <c r="F2513" s="35"/>
      <c r="G2513" s="35" t="s">
        <v>444</v>
      </c>
      <c r="H2513" s="35" t="s">
        <v>61</v>
      </c>
      <c r="I2513" s="4"/>
    </row>
    <row r="2514" customFormat="false" ht="15" hidden="false" customHeight="false" outlineLevel="0" collapsed="false">
      <c r="A2514" s="35" t="s">
        <v>5931</v>
      </c>
      <c r="B2514" s="35" t="s">
        <v>5932</v>
      </c>
      <c r="C2514" s="35" t="s">
        <v>48</v>
      </c>
      <c r="D2514" s="35" t="s">
        <v>447</v>
      </c>
      <c r="E2514" s="35"/>
      <c r="F2514" s="35"/>
      <c r="G2514" s="35" t="s">
        <v>444</v>
      </c>
      <c r="H2514" s="35" t="s">
        <v>61</v>
      </c>
      <c r="I2514" s="4"/>
    </row>
    <row r="2515" customFormat="false" ht="15" hidden="false" customHeight="false" outlineLevel="0" collapsed="false">
      <c r="A2515" s="35" t="s">
        <v>5933</v>
      </c>
      <c r="B2515" s="35" t="s">
        <v>5934</v>
      </c>
      <c r="C2515" s="35" t="s">
        <v>48</v>
      </c>
      <c r="D2515" s="35" t="s">
        <v>447</v>
      </c>
      <c r="E2515" s="35"/>
      <c r="F2515" s="35"/>
      <c r="G2515" s="35" t="s">
        <v>444</v>
      </c>
      <c r="H2515" s="35" t="s">
        <v>61</v>
      </c>
      <c r="I2515" s="4"/>
    </row>
    <row r="2516" customFormat="false" ht="15" hidden="false" customHeight="false" outlineLevel="0" collapsed="false">
      <c r="A2516" s="35" t="s">
        <v>5935</v>
      </c>
      <c r="B2516" s="35" t="s">
        <v>5936</v>
      </c>
      <c r="C2516" s="35" t="s">
        <v>48</v>
      </c>
      <c r="D2516" s="35" t="s">
        <v>57</v>
      </c>
      <c r="E2516" s="35" t="s">
        <v>262</v>
      </c>
      <c r="F2516" s="35" t="s">
        <v>5937</v>
      </c>
      <c r="G2516" s="35" t="s">
        <v>699</v>
      </c>
      <c r="H2516" s="35" t="s">
        <v>61</v>
      </c>
      <c r="I2516" s="4"/>
    </row>
    <row r="2517" customFormat="false" ht="15" hidden="false" customHeight="false" outlineLevel="0" collapsed="false">
      <c r="A2517" s="35" t="s">
        <v>5938</v>
      </c>
      <c r="B2517" s="35" t="s">
        <v>5939</v>
      </c>
      <c r="C2517" s="35" t="s">
        <v>48</v>
      </c>
      <c r="D2517" s="35" t="s">
        <v>107</v>
      </c>
      <c r="E2517" s="35" t="s">
        <v>262</v>
      </c>
      <c r="F2517" s="35" t="s">
        <v>5937</v>
      </c>
      <c r="G2517" s="35" t="s">
        <v>699</v>
      </c>
      <c r="H2517" s="35" t="s">
        <v>61</v>
      </c>
      <c r="I2517" s="4"/>
    </row>
    <row r="2518" customFormat="false" ht="15" hidden="false" customHeight="false" outlineLevel="0" collapsed="false">
      <c r="A2518" s="35" t="s">
        <v>5940</v>
      </c>
      <c r="B2518" s="35" t="s">
        <v>5941</v>
      </c>
      <c r="C2518" s="35" t="s">
        <v>48</v>
      </c>
      <c r="D2518" s="35" t="s">
        <v>57</v>
      </c>
      <c r="E2518" s="35" t="s">
        <v>824</v>
      </c>
      <c r="F2518" s="35"/>
      <c r="G2518" s="35" t="s">
        <v>87</v>
      </c>
      <c r="H2518" s="35" t="s">
        <v>61</v>
      </c>
      <c r="I2518" s="4"/>
    </row>
    <row r="2519" customFormat="false" ht="15" hidden="false" customHeight="false" outlineLevel="0" collapsed="false">
      <c r="A2519" s="35" t="s">
        <v>5942</v>
      </c>
      <c r="B2519" s="35" t="s">
        <v>5943</v>
      </c>
      <c r="C2519" s="35" t="s">
        <v>48</v>
      </c>
      <c r="D2519" s="35" t="s">
        <v>57</v>
      </c>
      <c r="E2519" s="35" t="s">
        <v>824</v>
      </c>
      <c r="F2519" s="35" t="s">
        <v>2013</v>
      </c>
      <c r="G2519" s="35" t="s">
        <v>87</v>
      </c>
      <c r="H2519" s="35" t="s">
        <v>61</v>
      </c>
      <c r="I2519" s="4"/>
    </row>
    <row r="2520" customFormat="false" ht="15" hidden="false" customHeight="false" outlineLevel="0" collapsed="false">
      <c r="A2520" s="35" t="s">
        <v>5944</v>
      </c>
      <c r="B2520" s="35" t="s">
        <v>5945</v>
      </c>
      <c r="C2520" s="35" t="s">
        <v>48</v>
      </c>
      <c r="D2520" s="35" t="s">
        <v>53</v>
      </c>
      <c r="E2520" s="35"/>
      <c r="F2520" s="35"/>
      <c r="G2520" s="35" t="s">
        <v>685</v>
      </c>
      <c r="H2520" s="35" t="s">
        <v>61</v>
      </c>
      <c r="I2520" s="4"/>
    </row>
    <row r="2521" customFormat="false" ht="15" hidden="false" customHeight="false" outlineLevel="0" collapsed="false">
      <c r="A2521" s="35" t="s">
        <v>1231</v>
      </c>
      <c r="B2521" s="35" t="s">
        <v>5946</v>
      </c>
      <c r="C2521" s="35" t="s">
        <v>48</v>
      </c>
      <c r="D2521" s="35" t="s">
        <v>57</v>
      </c>
      <c r="E2521" s="35" t="s">
        <v>1231</v>
      </c>
      <c r="F2521" s="35"/>
      <c r="G2521" s="35" t="s">
        <v>685</v>
      </c>
      <c r="H2521" s="35" t="s">
        <v>61</v>
      </c>
      <c r="I2521" s="4"/>
    </row>
    <row r="2522" customFormat="false" ht="15" hidden="false" customHeight="false" outlineLevel="0" collapsed="false">
      <c r="A2522" s="35" t="s">
        <v>5947</v>
      </c>
      <c r="B2522" s="35" t="s">
        <v>5948</v>
      </c>
      <c r="C2522" s="35" t="s">
        <v>48</v>
      </c>
      <c r="D2522" s="35" t="s">
        <v>53</v>
      </c>
      <c r="E2522" s="35"/>
      <c r="F2522" s="35"/>
      <c r="G2522" s="35" t="s">
        <v>685</v>
      </c>
      <c r="H2522" s="35" t="s">
        <v>61</v>
      </c>
      <c r="I2522" s="4"/>
    </row>
    <row r="2523" customFormat="false" ht="15" hidden="false" customHeight="false" outlineLevel="0" collapsed="false">
      <c r="A2523" s="35" t="s">
        <v>1233</v>
      </c>
      <c r="B2523" s="35" t="s">
        <v>5949</v>
      </c>
      <c r="C2523" s="35" t="s">
        <v>48</v>
      </c>
      <c r="D2523" s="35" t="s">
        <v>107</v>
      </c>
      <c r="E2523" s="35" t="s">
        <v>1233</v>
      </c>
      <c r="F2523" s="35"/>
      <c r="G2523" s="35" t="s">
        <v>685</v>
      </c>
      <c r="H2523" s="35" t="s">
        <v>61</v>
      </c>
      <c r="I2523" s="4"/>
    </row>
    <row r="2524" customFormat="false" ht="15" hidden="false" customHeight="false" outlineLevel="0" collapsed="false">
      <c r="A2524" s="35" t="s">
        <v>5950</v>
      </c>
      <c r="B2524" s="35" t="s">
        <v>5951</v>
      </c>
      <c r="C2524" s="35" t="s">
        <v>48</v>
      </c>
      <c r="D2524" s="35" t="s">
        <v>107</v>
      </c>
      <c r="E2524" s="35" t="s">
        <v>1235</v>
      </c>
      <c r="F2524" s="35"/>
      <c r="G2524" s="35" t="s">
        <v>417</v>
      </c>
      <c r="H2524" s="35" t="s">
        <v>61</v>
      </c>
      <c r="I2524" s="4"/>
    </row>
    <row r="2525" customFormat="false" ht="15" hidden="false" customHeight="false" outlineLevel="0" collapsed="false">
      <c r="A2525" s="35" t="s">
        <v>166</v>
      </c>
      <c r="B2525" s="35" t="s">
        <v>167</v>
      </c>
      <c r="C2525" s="35" t="s">
        <v>48</v>
      </c>
      <c r="D2525" s="35" t="s">
        <v>157</v>
      </c>
      <c r="E2525" s="35"/>
      <c r="F2525" s="35"/>
      <c r="G2525" s="35" t="s">
        <v>49</v>
      </c>
      <c r="H2525" s="35" t="s">
        <v>49</v>
      </c>
      <c r="I2525" s="4" t="s">
        <v>2025</v>
      </c>
    </row>
    <row r="2526" customFormat="false" ht="15" hidden="false" customHeight="false" outlineLevel="0" collapsed="false">
      <c r="A2526" s="35" t="s">
        <v>5952</v>
      </c>
      <c r="B2526" s="35" t="s">
        <v>5953</v>
      </c>
      <c r="C2526" s="35" t="s">
        <v>48</v>
      </c>
      <c r="D2526" s="35" t="s">
        <v>157</v>
      </c>
      <c r="E2526" s="35"/>
      <c r="F2526" s="35"/>
      <c r="G2526" s="35" t="s">
        <v>328</v>
      </c>
      <c r="H2526" s="35" t="s">
        <v>61</v>
      </c>
      <c r="I2526" s="4"/>
    </row>
    <row r="2527" customFormat="false" ht="15" hidden="false" customHeight="false" outlineLevel="0" collapsed="false">
      <c r="A2527" s="35" t="s">
        <v>1765</v>
      </c>
      <c r="B2527" s="35" t="s">
        <v>5954</v>
      </c>
      <c r="C2527" s="35" t="s">
        <v>48</v>
      </c>
      <c r="D2527" s="35" t="s">
        <v>107</v>
      </c>
      <c r="E2527" s="35" t="s">
        <v>1764</v>
      </c>
      <c r="F2527" s="35"/>
      <c r="G2527" s="35" t="s">
        <v>421</v>
      </c>
      <c r="H2527" s="35" t="s">
        <v>61</v>
      </c>
      <c r="I2527" s="4"/>
    </row>
    <row r="2528" customFormat="false" ht="15" hidden="false" customHeight="false" outlineLevel="0" collapsed="false">
      <c r="A2528" s="35" t="s">
        <v>5955</v>
      </c>
      <c r="B2528" s="35" t="s">
        <v>5956</v>
      </c>
      <c r="C2528" s="35" t="s">
        <v>48</v>
      </c>
      <c r="D2528" s="35" t="s">
        <v>157</v>
      </c>
      <c r="E2528" s="35"/>
      <c r="F2528" s="35"/>
      <c r="G2528" s="35" t="s">
        <v>49</v>
      </c>
      <c r="H2528" s="35" t="s">
        <v>49</v>
      </c>
      <c r="I2528" s="4"/>
    </row>
    <row r="2529" customFormat="false" ht="15" hidden="false" customHeight="false" outlineLevel="0" collapsed="false">
      <c r="A2529" s="35" t="s">
        <v>5957</v>
      </c>
      <c r="B2529" s="35" t="s">
        <v>5958</v>
      </c>
      <c r="C2529" s="35" t="s">
        <v>48</v>
      </c>
      <c r="D2529" s="35" t="s">
        <v>114</v>
      </c>
      <c r="E2529" s="35"/>
      <c r="F2529" s="35"/>
      <c r="G2529" s="35" t="s">
        <v>775</v>
      </c>
      <c r="H2529" s="35" t="s">
        <v>61</v>
      </c>
      <c r="I2529" s="4"/>
    </row>
    <row r="2530" customFormat="false" ht="15" hidden="false" customHeight="false" outlineLevel="0" collapsed="false">
      <c r="A2530" s="35" t="s">
        <v>5959</v>
      </c>
      <c r="B2530" s="35" t="s">
        <v>5960</v>
      </c>
      <c r="C2530" s="35" t="s">
        <v>48</v>
      </c>
      <c r="D2530" s="35" t="s">
        <v>107</v>
      </c>
      <c r="E2530" s="35" t="s">
        <v>1161</v>
      </c>
      <c r="F2530" s="35"/>
      <c r="G2530" s="35" t="s">
        <v>87</v>
      </c>
      <c r="H2530" s="35" t="s">
        <v>61</v>
      </c>
      <c r="I2530" s="4"/>
    </row>
    <row r="2531" customFormat="false" ht="15" hidden="false" customHeight="false" outlineLevel="0" collapsed="false">
      <c r="A2531" s="35" t="s">
        <v>5961</v>
      </c>
      <c r="B2531" s="35" t="s">
        <v>5962</v>
      </c>
      <c r="C2531" s="35" t="s">
        <v>48</v>
      </c>
      <c r="D2531" s="35" t="s">
        <v>107</v>
      </c>
      <c r="E2531" s="35" t="s">
        <v>1161</v>
      </c>
      <c r="F2531" s="35"/>
      <c r="G2531" s="35" t="s">
        <v>87</v>
      </c>
      <c r="H2531" s="35" t="s">
        <v>61</v>
      </c>
      <c r="I2531" s="4"/>
    </row>
    <row r="2532" customFormat="false" ht="15" hidden="false" customHeight="false" outlineLevel="0" collapsed="false">
      <c r="A2532" s="35" t="s">
        <v>5963</v>
      </c>
      <c r="B2532" s="35" t="s">
        <v>5964</v>
      </c>
      <c r="C2532" s="35" t="s">
        <v>48</v>
      </c>
      <c r="D2532" s="35" t="s">
        <v>57</v>
      </c>
      <c r="E2532" s="35" t="s">
        <v>1023</v>
      </c>
      <c r="F2532" s="35"/>
      <c r="G2532" s="35" t="s">
        <v>87</v>
      </c>
      <c r="H2532" s="35" t="s">
        <v>61</v>
      </c>
      <c r="I2532" s="4"/>
    </row>
    <row r="2533" customFormat="false" ht="15" hidden="false" customHeight="false" outlineLevel="0" collapsed="false">
      <c r="A2533" s="35" t="s">
        <v>5965</v>
      </c>
      <c r="B2533" s="35" t="s">
        <v>5966</v>
      </c>
      <c r="C2533" s="35" t="s">
        <v>48</v>
      </c>
      <c r="D2533" s="35" t="s">
        <v>107</v>
      </c>
      <c r="E2533" s="35" t="s">
        <v>1023</v>
      </c>
      <c r="F2533" s="35"/>
      <c r="G2533" s="35" t="s">
        <v>87</v>
      </c>
      <c r="H2533" s="35" t="s">
        <v>61</v>
      </c>
      <c r="I2533" s="4"/>
    </row>
    <row r="2534" customFormat="false" ht="15" hidden="false" customHeight="false" outlineLevel="0" collapsed="false">
      <c r="A2534" s="35" t="s">
        <v>5967</v>
      </c>
      <c r="B2534" s="35" t="s">
        <v>5968</v>
      </c>
      <c r="C2534" s="35" t="s">
        <v>48</v>
      </c>
      <c r="D2534" s="35" t="s">
        <v>53</v>
      </c>
      <c r="E2534" s="35"/>
      <c r="F2534" s="35"/>
      <c r="G2534" s="35" t="s">
        <v>755</v>
      </c>
      <c r="H2534" s="35" t="s">
        <v>61</v>
      </c>
      <c r="I2534" s="4"/>
    </row>
    <row r="2535" customFormat="false" ht="15" hidden="false" customHeight="false" outlineLevel="0" collapsed="false">
      <c r="A2535" s="35" t="s">
        <v>1767</v>
      </c>
      <c r="B2535" s="35" t="s">
        <v>5969</v>
      </c>
      <c r="C2535" s="35" t="s">
        <v>48</v>
      </c>
      <c r="D2535" s="35" t="s">
        <v>107</v>
      </c>
      <c r="E2535" s="35" t="s">
        <v>1766</v>
      </c>
      <c r="F2535" s="35" t="s">
        <v>157</v>
      </c>
      <c r="G2535" s="35" t="s">
        <v>692</v>
      </c>
      <c r="H2535" s="35" t="s">
        <v>61</v>
      </c>
      <c r="I2535" s="4"/>
    </row>
    <row r="2536" customFormat="false" ht="15" hidden="false" customHeight="false" outlineLevel="0" collapsed="false">
      <c r="A2536" s="35" t="s">
        <v>1337</v>
      </c>
      <c r="B2536" s="35" t="s">
        <v>5970</v>
      </c>
      <c r="C2536" s="35" t="s">
        <v>48</v>
      </c>
      <c r="D2536" s="35" t="s">
        <v>107</v>
      </c>
      <c r="E2536" s="35" t="s">
        <v>1336</v>
      </c>
      <c r="F2536" s="35"/>
      <c r="G2536" s="35" t="s">
        <v>421</v>
      </c>
      <c r="H2536" s="35" t="s">
        <v>61</v>
      </c>
      <c r="I2536" s="4"/>
    </row>
    <row r="2537" customFormat="false" ht="15" hidden="false" customHeight="false" outlineLevel="0" collapsed="false">
      <c r="A2537" s="35" t="s">
        <v>5971</v>
      </c>
      <c r="B2537" s="35" t="s">
        <v>5972</v>
      </c>
      <c r="C2537" s="35" t="s">
        <v>48</v>
      </c>
      <c r="D2537" s="35" t="s">
        <v>53</v>
      </c>
      <c r="E2537" s="35"/>
      <c r="F2537" s="35"/>
      <c r="G2537" s="35" t="s">
        <v>433</v>
      </c>
      <c r="H2537" s="35" t="s">
        <v>61</v>
      </c>
      <c r="I2537" s="4"/>
    </row>
    <row r="2538" customFormat="false" ht="15" hidden="false" customHeight="false" outlineLevel="0" collapsed="false">
      <c r="A2538" s="35" t="s">
        <v>5973</v>
      </c>
      <c r="B2538" s="35" t="s">
        <v>5974</v>
      </c>
      <c r="C2538" s="35" t="s">
        <v>48</v>
      </c>
      <c r="D2538" s="35" t="s">
        <v>53</v>
      </c>
      <c r="E2538" s="35"/>
      <c r="F2538" s="35"/>
      <c r="G2538" s="35" t="s">
        <v>433</v>
      </c>
      <c r="H2538" s="35" t="s">
        <v>61</v>
      </c>
      <c r="I2538" s="4"/>
    </row>
    <row r="2539" customFormat="false" ht="15" hidden="false" customHeight="false" outlineLevel="0" collapsed="false">
      <c r="A2539" s="35" t="s">
        <v>5975</v>
      </c>
      <c r="B2539" s="35" t="s">
        <v>5976</v>
      </c>
      <c r="C2539" s="35" t="s">
        <v>48</v>
      </c>
      <c r="D2539" s="35" t="s">
        <v>57</v>
      </c>
      <c r="E2539" s="35" t="s">
        <v>226</v>
      </c>
      <c r="F2539" s="35"/>
      <c r="G2539" s="35" t="s">
        <v>119</v>
      </c>
      <c r="H2539" s="35" t="s">
        <v>61</v>
      </c>
      <c r="I2539" s="4"/>
    </row>
    <row r="2540" customFormat="false" ht="15" hidden="false" customHeight="false" outlineLevel="0" collapsed="false">
      <c r="A2540" s="35" t="s">
        <v>1773</v>
      </c>
      <c r="B2540" s="35" t="s">
        <v>5977</v>
      </c>
      <c r="C2540" s="35" t="s">
        <v>48</v>
      </c>
      <c r="D2540" s="35" t="s">
        <v>107</v>
      </c>
      <c r="E2540" s="35" t="s">
        <v>1772</v>
      </c>
      <c r="F2540" s="35"/>
      <c r="G2540" s="35" t="s">
        <v>417</v>
      </c>
      <c r="H2540" s="35" t="s">
        <v>61</v>
      </c>
      <c r="I2540" s="4"/>
    </row>
    <row r="2541" customFormat="false" ht="15" hidden="false" customHeight="false" outlineLevel="0" collapsed="false">
      <c r="A2541" s="35" t="s">
        <v>5978</v>
      </c>
      <c r="B2541" s="35" t="s">
        <v>5979</v>
      </c>
      <c r="C2541" s="35" t="s">
        <v>48</v>
      </c>
      <c r="D2541" s="35" t="s">
        <v>107</v>
      </c>
      <c r="E2541" s="35" t="s">
        <v>1025</v>
      </c>
      <c r="F2541" s="35"/>
      <c r="G2541" s="35" t="s">
        <v>417</v>
      </c>
      <c r="H2541" s="35" t="s">
        <v>61</v>
      </c>
      <c r="I2541" s="4"/>
    </row>
    <row r="2542" customFormat="false" ht="15" hidden="false" customHeight="false" outlineLevel="0" collapsed="false">
      <c r="A2542" s="35" t="s">
        <v>5572</v>
      </c>
      <c r="B2542" s="35" t="s">
        <v>5980</v>
      </c>
      <c r="C2542" s="35" t="s">
        <v>48</v>
      </c>
      <c r="D2542" s="35" t="s">
        <v>107</v>
      </c>
      <c r="E2542" s="35" t="s">
        <v>1027</v>
      </c>
      <c r="F2542" s="35"/>
      <c r="G2542" s="35" t="s">
        <v>687</v>
      </c>
      <c r="H2542" s="35" t="s">
        <v>61</v>
      </c>
      <c r="I2542" s="4"/>
    </row>
    <row r="2543" customFormat="false" ht="15" hidden="false" customHeight="false" outlineLevel="0" collapsed="false">
      <c r="A2543" s="35" t="s">
        <v>1769</v>
      </c>
      <c r="B2543" s="35" t="s">
        <v>5981</v>
      </c>
      <c r="C2543" s="35" t="s">
        <v>48</v>
      </c>
      <c r="D2543" s="35" t="s">
        <v>107</v>
      </c>
      <c r="E2543" s="35" t="s">
        <v>1768</v>
      </c>
      <c r="F2543" s="35"/>
      <c r="G2543" s="35" t="s">
        <v>417</v>
      </c>
      <c r="H2543" s="35" t="s">
        <v>61</v>
      </c>
      <c r="I2543" s="4"/>
    </row>
    <row r="2544" customFormat="false" ht="15" hidden="false" customHeight="false" outlineLevel="0" collapsed="false">
      <c r="A2544" s="35" t="s">
        <v>1771</v>
      </c>
      <c r="B2544" s="35" t="s">
        <v>5982</v>
      </c>
      <c r="C2544" s="35" t="s">
        <v>48</v>
      </c>
      <c r="D2544" s="35" t="s">
        <v>107</v>
      </c>
      <c r="E2544" s="35" t="s">
        <v>1770</v>
      </c>
      <c r="F2544" s="35"/>
      <c r="G2544" s="35" t="s">
        <v>417</v>
      </c>
      <c r="H2544" s="35" t="s">
        <v>61</v>
      </c>
      <c r="I2544" s="4"/>
    </row>
    <row r="2545" customFormat="false" ht="15" hidden="false" customHeight="false" outlineLevel="0" collapsed="false">
      <c r="A2545" s="35" t="s">
        <v>5983</v>
      </c>
      <c r="B2545" s="35" t="s">
        <v>5984</v>
      </c>
      <c r="C2545" s="35" t="s">
        <v>48</v>
      </c>
      <c r="D2545" s="35" t="s">
        <v>107</v>
      </c>
      <c r="E2545" s="35" t="s">
        <v>1235</v>
      </c>
      <c r="F2545" s="35"/>
      <c r="G2545" s="35" t="s">
        <v>417</v>
      </c>
      <c r="H2545" s="35" t="s">
        <v>61</v>
      </c>
      <c r="I2545" s="4"/>
    </row>
    <row r="2546" customFormat="false" ht="15" hidden="false" customHeight="false" outlineLevel="0" collapsed="false">
      <c r="A2546" s="35" t="s">
        <v>590</v>
      </c>
      <c r="B2546" s="35" t="s">
        <v>592</v>
      </c>
      <c r="C2546" s="35" t="s">
        <v>48</v>
      </c>
      <c r="D2546" s="35" t="s">
        <v>107</v>
      </c>
      <c r="E2546" s="35" t="s">
        <v>591</v>
      </c>
      <c r="F2546" s="35"/>
      <c r="G2546" s="35" t="s">
        <v>417</v>
      </c>
      <c r="H2546" s="35" t="s">
        <v>61</v>
      </c>
      <c r="I2546" s="4" t="s">
        <v>2025</v>
      </c>
    </row>
    <row r="2547" customFormat="false" ht="15" hidden="false" customHeight="false" outlineLevel="0" collapsed="false">
      <c r="A2547" s="35" t="s">
        <v>594</v>
      </c>
      <c r="B2547" s="35" t="s">
        <v>595</v>
      </c>
      <c r="C2547" s="35" t="s">
        <v>48</v>
      </c>
      <c r="D2547" s="35" t="s">
        <v>53</v>
      </c>
      <c r="E2547" s="35"/>
      <c r="F2547" s="35"/>
      <c r="G2547" s="35" t="s">
        <v>204</v>
      </c>
      <c r="H2547" s="35" t="s">
        <v>61</v>
      </c>
      <c r="I2547" s="4" t="s">
        <v>2025</v>
      </c>
    </row>
    <row r="2548" customFormat="false" ht="15" hidden="false" customHeight="false" outlineLevel="0" collapsed="false">
      <c r="A2548" s="35" t="s">
        <v>5985</v>
      </c>
      <c r="B2548" s="35" t="s">
        <v>5986</v>
      </c>
      <c r="C2548" s="35" t="s">
        <v>48</v>
      </c>
      <c r="D2548" s="35" t="s">
        <v>53</v>
      </c>
      <c r="E2548" s="35"/>
      <c r="F2548" s="35"/>
      <c r="G2548" s="35" t="s">
        <v>204</v>
      </c>
      <c r="H2548" s="35" t="s">
        <v>2109</v>
      </c>
      <c r="I2548" s="4"/>
    </row>
    <row r="2549" customFormat="false" ht="15" hidden="false" customHeight="false" outlineLevel="0" collapsed="false">
      <c r="A2549" s="35" t="s">
        <v>5985</v>
      </c>
      <c r="B2549" s="35" t="s">
        <v>5987</v>
      </c>
      <c r="C2549" s="35" t="s">
        <v>48</v>
      </c>
      <c r="D2549" s="35" t="s">
        <v>53</v>
      </c>
      <c r="E2549" s="35"/>
      <c r="F2549" s="35"/>
      <c r="G2549" s="35" t="s">
        <v>686</v>
      </c>
      <c r="H2549" s="35" t="s">
        <v>2109</v>
      </c>
      <c r="I2549" s="4"/>
    </row>
    <row r="2550" customFormat="false" ht="15" hidden="false" customHeight="false" outlineLevel="0" collapsed="false">
      <c r="A2550" s="35" t="s">
        <v>1775</v>
      </c>
      <c r="B2550" s="35" t="s">
        <v>5988</v>
      </c>
      <c r="C2550" s="35" t="s">
        <v>48</v>
      </c>
      <c r="D2550" s="35" t="s">
        <v>107</v>
      </c>
      <c r="E2550" s="35" t="s">
        <v>1774</v>
      </c>
      <c r="F2550" s="35"/>
      <c r="G2550" s="35" t="s">
        <v>417</v>
      </c>
      <c r="H2550" s="35" t="s">
        <v>61</v>
      </c>
      <c r="I2550" s="4"/>
    </row>
    <row r="2551" customFormat="false" ht="15" hidden="false" customHeight="false" outlineLevel="0" collapsed="false">
      <c r="A2551" s="35" t="s">
        <v>5989</v>
      </c>
      <c r="B2551" s="35" t="s">
        <v>5990</v>
      </c>
      <c r="C2551" s="35" t="s">
        <v>48</v>
      </c>
      <c r="D2551" s="35" t="s">
        <v>107</v>
      </c>
      <c r="E2551" s="35" t="s">
        <v>894</v>
      </c>
      <c r="F2551" s="35"/>
      <c r="G2551" s="35" t="s">
        <v>686</v>
      </c>
      <c r="H2551" s="35" t="s">
        <v>61</v>
      </c>
      <c r="I2551" s="4"/>
    </row>
    <row r="2552" customFormat="false" ht="15" hidden="false" customHeight="false" outlineLevel="0" collapsed="false">
      <c r="A2552" s="35" t="s">
        <v>5991</v>
      </c>
      <c r="B2552" s="35" t="s">
        <v>5992</v>
      </c>
      <c r="C2552" s="35" t="s">
        <v>48</v>
      </c>
      <c r="D2552" s="35" t="s">
        <v>107</v>
      </c>
      <c r="E2552" s="35" t="s">
        <v>894</v>
      </c>
      <c r="F2552" s="35"/>
      <c r="G2552" s="35" t="s">
        <v>417</v>
      </c>
      <c r="H2552" s="35" t="s">
        <v>61</v>
      </c>
      <c r="I2552" s="4"/>
    </row>
    <row r="2553" customFormat="false" ht="15" hidden="false" customHeight="false" outlineLevel="0" collapsed="false">
      <c r="A2553" s="35" t="s">
        <v>5993</v>
      </c>
      <c r="B2553" s="35" t="s">
        <v>5994</v>
      </c>
      <c r="C2553" s="35" t="s">
        <v>48</v>
      </c>
      <c r="D2553" s="35" t="s">
        <v>114</v>
      </c>
      <c r="E2553" s="35"/>
      <c r="F2553" s="35"/>
      <c r="G2553" s="35" t="s">
        <v>687</v>
      </c>
      <c r="H2553" s="35" t="s">
        <v>61</v>
      </c>
      <c r="I2553" s="4"/>
    </row>
    <row r="2554" customFormat="false" ht="15" hidden="false" customHeight="false" outlineLevel="0" collapsed="false">
      <c r="A2554" s="35" t="s">
        <v>5995</v>
      </c>
      <c r="B2554" s="35" t="s">
        <v>5996</v>
      </c>
      <c r="C2554" s="35" t="s">
        <v>48</v>
      </c>
      <c r="D2554" s="35" t="s">
        <v>57</v>
      </c>
      <c r="E2554" s="35" t="s">
        <v>1254</v>
      </c>
      <c r="F2554" s="35"/>
      <c r="G2554" s="35" t="s">
        <v>421</v>
      </c>
      <c r="H2554" s="35" t="s">
        <v>61</v>
      </c>
      <c r="I2554" s="4"/>
    </row>
    <row r="2555" customFormat="false" ht="15" hidden="false" customHeight="false" outlineLevel="0" collapsed="false">
      <c r="A2555" s="35" t="s">
        <v>5997</v>
      </c>
      <c r="B2555" s="35" t="s">
        <v>5998</v>
      </c>
      <c r="C2555" s="35" t="s">
        <v>48</v>
      </c>
      <c r="D2555" s="35" t="s">
        <v>107</v>
      </c>
      <c r="E2555" s="35" t="s">
        <v>1029</v>
      </c>
      <c r="F2555" s="35"/>
      <c r="G2555" s="35" t="s">
        <v>99</v>
      </c>
      <c r="H2555" s="35" t="s">
        <v>61</v>
      </c>
      <c r="I2555" s="4"/>
    </row>
    <row r="2556" customFormat="false" ht="15" hidden="false" customHeight="false" outlineLevel="0" collapsed="false">
      <c r="A2556" s="35" t="s">
        <v>946</v>
      </c>
      <c r="B2556" s="35" t="s">
        <v>5999</v>
      </c>
      <c r="C2556" s="35" t="s">
        <v>48</v>
      </c>
      <c r="D2556" s="35" t="s">
        <v>57</v>
      </c>
      <c r="E2556" s="35" t="s">
        <v>946</v>
      </c>
      <c r="F2556" s="35"/>
      <c r="G2556" s="35" t="s">
        <v>524</v>
      </c>
      <c r="H2556" s="35" t="s">
        <v>61</v>
      </c>
      <c r="I2556" s="4"/>
    </row>
    <row r="2557" customFormat="false" ht="15" hidden="false" customHeight="false" outlineLevel="0" collapsed="false">
      <c r="A2557" s="35" t="s">
        <v>6000</v>
      </c>
      <c r="B2557" s="35" t="s">
        <v>6001</v>
      </c>
      <c r="C2557" s="35" t="s">
        <v>48</v>
      </c>
      <c r="D2557" s="35" t="s">
        <v>57</v>
      </c>
      <c r="E2557" s="35" t="s">
        <v>946</v>
      </c>
      <c r="F2557" s="35"/>
      <c r="G2557" s="35" t="s">
        <v>524</v>
      </c>
      <c r="H2557" s="35" t="s">
        <v>61</v>
      </c>
      <c r="I2557" s="4"/>
    </row>
    <row r="2558" customFormat="false" ht="15" hidden="false" customHeight="false" outlineLevel="0" collapsed="false">
      <c r="A2558" s="35" t="s">
        <v>6002</v>
      </c>
      <c r="B2558" s="35" t="s">
        <v>6003</v>
      </c>
      <c r="C2558" s="35" t="s">
        <v>48</v>
      </c>
      <c r="D2558" s="35" t="s">
        <v>57</v>
      </c>
      <c r="E2558" s="35" t="s">
        <v>946</v>
      </c>
      <c r="F2558" s="35"/>
      <c r="G2558" s="35" t="s">
        <v>524</v>
      </c>
      <c r="H2558" s="35" t="s">
        <v>61</v>
      </c>
      <c r="I2558" s="4"/>
    </row>
    <row r="2559" customFormat="false" ht="15" hidden="false" customHeight="false" outlineLevel="0" collapsed="false">
      <c r="A2559" s="35" t="s">
        <v>6004</v>
      </c>
      <c r="B2559" s="35" t="s">
        <v>6005</v>
      </c>
      <c r="C2559" s="35" t="s">
        <v>48</v>
      </c>
      <c r="D2559" s="35" t="s">
        <v>57</v>
      </c>
      <c r="E2559" s="35" t="s">
        <v>946</v>
      </c>
      <c r="F2559" s="35"/>
      <c r="G2559" s="35" t="s">
        <v>524</v>
      </c>
      <c r="H2559" s="35" t="s">
        <v>61</v>
      </c>
      <c r="I2559" s="4"/>
    </row>
    <row r="2560" customFormat="false" ht="15" hidden="false" customHeight="false" outlineLevel="0" collapsed="false">
      <c r="A2560" s="35" t="s">
        <v>6006</v>
      </c>
      <c r="B2560" s="35" t="s">
        <v>6007</v>
      </c>
      <c r="C2560" s="35" t="s">
        <v>48</v>
      </c>
      <c r="D2560" s="35" t="s">
        <v>107</v>
      </c>
      <c r="E2560" s="35" t="s">
        <v>1029</v>
      </c>
      <c r="F2560" s="35"/>
      <c r="G2560" s="35" t="s">
        <v>337</v>
      </c>
      <c r="H2560" s="35" t="s">
        <v>61</v>
      </c>
      <c r="I2560" s="4"/>
    </row>
    <row r="2561" customFormat="false" ht="15" hidden="false" customHeight="false" outlineLevel="0" collapsed="false">
      <c r="A2561" s="35" t="s">
        <v>431</v>
      </c>
      <c r="B2561" s="35" t="s">
        <v>432</v>
      </c>
      <c r="C2561" s="35" t="s">
        <v>48</v>
      </c>
      <c r="D2561" s="35" t="s">
        <v>53</v>
      </c>
      <c r="E2561" s="35"/>
      <c r="F2561" s="35"/>
      <c r="G2561" s="35" t="s">
        <v>433</v>
      </c>
      <c r="H2561" s="35" t="s">
        <v>61</v>
      </c>
      <c r="I2561" s="4" t="s">
        <v>2025</v>
      </c>
    </row>
    <row r="2562" customFormat="false" ht="15" hidden="false" customHeight="false" outlineLevel="0" collapsed="false">
      <c r="A2562" s="35" t="s">
        <v>6008</v>
      </c>
      <c r="B2562" s="35" t="s">
        <v>6009</v>
      </c>
      <c r="C2562" s="35" t="s">
        <v>48</v>
      </c>
      <c r="D2562" s="35" t="s">
        <v>53</v>
      </c>
      <c r="E2562" s="35"/>
      <c r="F2562" s="35"/>
      <c r="G2562" s="35" t="s">
        <v>433</v>
      </c>
      <c r="H2562" s="35" t="s">
        <v>61</v>
      </c>
      <c r="I2562" s="4"/>
    </row>
    <row r="2563" customFormat="false" ht="15" hidden="false" customHeight="false" outlineLevel="0" collapsed="false">
      <c r="A2563" s="35" t="s">
        <v>6010</v>
      </c>
      <c r="B2563" s="35" t="s">
        <v>6011</v>
      </c>
      <c r="C2563" s="35" t="s">
        <v>48</v>
      </c>
      <c r="D2563" s="35" t="s">
        <v>107</v>
      </c>
      <c r="E2563" s="35" t="s">
        <v>940</v>
      </c>
      <c r="F2563" s="35"/>
      <c r="G2563" s="35" t="s">
        <v>99</v>
      </c>
      <c r="H2563" s="35" t="s">
        <v>61</v>
      </c>
      <c r="I2563" s="4"/>
    </row>
    <row r="2564" customFormat="false" ht="15" hidden="false" customHeight="false" outlineLevel="0" collapsed="false">
      <c r="A2564" s="35" t="s">
        <v>1720</v>
      </c>
      <c r="B2564" s="35" t="s">
        <v>6012</v>
      </c>
      <c r="C2564" s="35" t="s">
        <v>48</v>
      </c>
      <c r="D2564" s="35" t="s">
        <v>107</v>
      </c>
      <c r="E2564" s="35" t="s">
        <v>1719</v>
      </c>
      <c r="F2564" s="35"/>
      <c r="G2564" s="35" t="s">
        <v>99</v>
      </c>
      <c r="H2564" s="35" t="s">
        <v>61</v>
      </c>
      <c r="I2564" s="4"/>
    </row>
    <row r="2565" customFormat="false" ht="15" hidden="false" customHeight="false" outlineLevel="0" collapsed="false">
      <c r="A2565" s="35" t="s">
        <v>1777</v>
      </c>
      <c r="B2565" s="35" t="s">
        <v>6013</v>
      </c>
      <c r="C2565" s="35" t="s">
        <v>48</v>
      </c>
      <c r="D2565" s="35" t="s">
        <v>107</v>
      </c>
      <c r="E2565" s="35" t="s">
        <v>1777</v>
      </c>
      <c r="F2565" s="35"/>
      <c r="G2565" s="35" t="s">
        <v>417</v>
      </c>
      <c r="H2565" s="35" t="s">
        <v>245</v>
      </c>
      <c r="I2565" s="4"/>
    </row>
    <row r="2566" customFormat="false" ht="15" hidden="false" customHeight="false" outlineLevel="0" collapsed="false">
      <c r="A2566" s="35" t="s">
        <v>1779</v>
      </c>
      <c r="B2566" s="35" t="s">
        <v>6014</v>
      </c>
      <c r="C2566" s="35" t="s">
        <v>48</v>
      </c>
      <c r="D2566" s="35" t="s">
        <v>107</v>
      </c>
      <c r="E2566" s="35" t="s">
        <v>1778</v>
      </c>
      <c r="F2566" s="35"/>
      <c r="G2566" s="35" t="s">
        <v>738</v>
      </c>
      <c r="H2566" s="35" t="s">
        <v>61</v>
      </c>
      <c r="I2566" s="4"/>
    </row>
    <row r="2567" customFormat="false" ht="15" hidden="false" customHeight="false" outlineLevel="0" collapsed="false">
      <c r="A2567" s="35" t="s">
        <v>6015</v>
      </c>
      <c r="B2567" s="35" t="s">
        <v>6016</v>
      </c>
      <c r="C2567" s="35" t="s">
        <v>48</v>
      </c>
      <c r="D2567" s="35" t="s">
        <v>447</v>
      </c>
      <c r="E2567" s="35"/>
      <c r="F2567" s="35" t="s">
        <v>6017</v>
      </c>
      <c r="G2567" s="35" t="s">
        <v>738</v>
      </c>
      <c r="H2567" s="35" t="s">
        <v>61</v>
      </c>
      <c r="I2567" s="4"/>
    </row>
    <row r="2568" customFormat="false" ht="15" hidden="false" customHeight="false" outlineLevel="0" collapsed="false">
      <c r="A2568" s="35" t="s">
        <v>6018</v>
      </c>
      <c r="B2568" s="35" t="s">
        <v>6019</v>
      </c>
      <c r="C2568" s="35" t="s">
        <v>48</v>
      </c>
      <c r="D2568" s="35" t="s">
        <v>447</v>
      </c>
      <c r="E2568" s="35"/>
      <c r="F2568" s="35" t="s">
        <v>6020</v>
      </c>
      <c r="G2568" s="35" t="s">
        <v>738</v>
      </c>
      <c r="H2568" s="35" t="s">
        <v>61</v>
      </c>
      <c r="I2568" s="4"/>
    </row>
    <row r="2569" customFormat="false" ht="15" hidden="false" customHeight="false" outlineLevel="0" collapsed="false">
      <c r="A2569" s="35" t="s">
        <v>1785</v>
      </c>
      <c r="B2569" s="35" t="s">
        <v>6021</v>
      </c>
      <c r="C2569" s="35" t="s">
        <v>48</v>
      </c>
      <c r="D2569" s="35" t="s">
        <v>107</v>
      </c>
      <c r="E2569" s="35" t="s">
        <v>1784</v>
      </c>
      <c r="F2569" s="35"/>
      <c r="G2569" s="35" t="s">
        <v>681</v>
      </c>
      <c r="H2569" s="35" t="s">
        <v>61</v>
      </c>
      <c r="I2569" s="4"/>
    </row>
    <row r="2570" customFormat="false" ht="15" hidden="false" customHeight="false" outlineLevel="0" collapsed="false">
      <c r="A2570" s="35" t="s">
        <v>6022</v>
      </c>
      <c r="B2570" s="35" t="s">
        <v>6023</v>
      </c>
      <c r="C2570" s="35" t="s">
        <v>48</v>
      </c>
      <c r="D2570" s="35" t="s">
        <v>107</v>
      </c>
      <c r="E2570" s="35" t="s">
        <v>827</v>
      </c>
      <c r="F2570" s="35"/>
      <c r="G2570" s="35" t="s">
        <v>682</v>
      </c>
      <c r="H2570" s="35" t="s">
        <v>49</v>
      </c>
      <c r="I2570" s="4"/>
    </row>
    <row r="2571" customFormat="false" ht="15" hidden="false" customHeight="false" outlineLevel="0" collapsed="false">
      <c r="A2571" s="35" t="s">
        <v>6024</v>
      </c>
      <c r="B2571" s="35" t="s">
        <v>6025</v>
      </c>
      <c r="C2571" s="35" t="s">
        <v>48</v>
      </c>
      <c r="D2571" s="35" t="s">
        <v>114</v>
      </c>
      <c r="E2571" s="35"/>
      <c r="F2571" s="35"/>
      <c r="G2571" s="35" t="s">
        <v>682</v>
      </c>
      <c r="H2571" s="35" t="s">
        <v>49</v>
      </c>
      <c r="I2571" s="4"/>
    </row>
    <row r="2572" customFormat="false" ht="15" hidden="false" customHeight="false" outlineLevel="0" collapsed="false">
      <c r="A2572" s="35" t="s">
        <v>6026</v>
      </c>
      <c r="B2572" s="35" t="s">
        <v>6027</v>
      </c>
      <c r="C2572" s="35" t="s">
        <v>48</v>
      </c>
      <c r="D2572" s="35" t="s">
        <v>114</v>
      </c>
      <c r="E2572" s="35"/>
      <c r="F2572" s="35"/>
      <c r="G2572" s="35" t="s">
        <v>49</v>
      </c>
      <c r="H2572" s="35" t="s">
        <v>49</v>
      </c>
      <c r="I2572" s="4"/>
    </row>
    <row r="2573" customFormat="false" ht="15" hidden="false" customHeight="false" outlineLevel="0" collapsed="false">
      <c r="A2573" s="35" t="s">
        <v>6028</v>
      </c>
      <c r="B2573" s="35" t="s">
        <v>6029</v>
      </c>
      <c r="C2573" s="35" t="s">
        <v>48</v>
      </c>
      <c r="D2573" s="35" t="s">
        <v>114</v>
      </c>
      <c r="E2573" s="35"/>
      <c r="F2573" s="35"/>
      <c r="G2573" s="35" t="s">
        <v>682</v>
      </c>
      <c r="H2573" s="35" t="s">
        <v>49</v>
      </c>
      <c r="I2573" s="4"/>
    </row>
    <row r="2574" customFormat="false" ht="15" hidden="false" customHeight="false" outlineLevel="0" collapsed="false">
      <c r="A2574" s="35" t="s">
        <v>6030</v>
      </c>
      <c r="B2574" s="35" t="s">
        <v>6031</v>
      </c>
      <c r="C2574" s="35" t="s">
        <v>48</v>
      </c>
      <c r="D2574" s="35" t="s">
        <v>57</v>
      </c>
      <c r="E2574" s="35" t="s">
        <v>888</v>
      </c>
      <c r="F2574" s="35"/>
      <c r="G2574" s="35" t="s">
        <v>87</v>
      </c>
      <c r="H2574" s="35" t="s">
        <v>61</v>
      </c>
      <c r="I2574" s="4"/>
    </row>
    <row r="2575" customFormat="false" ht="15" hidden="false" customHeight="false" outlineLevel="0" collapsed="false">
      <c r="A2575" s="35" t="s">
        <v>6032</v>
      </c>
      <c r="B2575" s="35" t="s">
        <v>6033</v>
      </c>
      <c r="C2575" s="35" t="s">
        <v>48</v>
      </c>
      <c r="D2575" s="35" t="s">
        <v>53</v>
      </c>
      <c r="E2575" s="35"/>
      <c r="F2575" s="35"/>
      <c r="G2575" s="35" t="s">
        <v>691</v>
      </c>
      <c r="H2575" s="35" t="s">
        <v>61</v>
      </c>
      <c r="I2575" s="4"/>
    </row>
    <row r="2576" customFormat="false" ht="15" hidden="false" customHeight="false" outlineLevel="0" collapsed="false">
      <c r="A2576" s="35" t="s">
        <v>6034</v>
      </c>
      <c r="B2576" s="35" t="s">
        <v>6035</v>
      </c>
      <c r="C2576" s="35" t="s">
        <v>48</v>
      </c>
      <c r="D2576" s="35" t="s">
        <v>447</v>
      </c>
      <c r="E2576" s="35"/>
      <c r="F2576" s="35" t="s">
        <v>3711</v>
      </c>
      <c r="G2576" s="35" t="s">
        <v>328</v>
      </c>
      <c r="H2576" s="35" t="s">
        <v>61</v>
      </c>
      <c r="I2576" s="4"/>
    </row>
    <row r="2577" customFormat="false" ht="15" hidden="false" customHeight="false" outlineLevel="0" collapsed="false">
      <c r="A2577" s="35" t="s">
        <v>6036</v>
      </c>
      <c r="B2577" s="35" t="s">
        <v>6037</v>
      </c>
      <c r="C2577" s="35" t="s">
        <v>48</v>
      </c>
      <c r="D2577" s="35" t="s">
        <v>53</v>
      </c>
      <c r="E2577" s="35"/>
      <c r="F2577" s="35" t="s">
        <v>3711</v>
      </c>
      <c r="G2577" s="35" t="s">
        <v>328</v>
      </c>
      <c r="H2577" s="35" t="s">
        <v>61</v>
      </c>
      <c r="I2577" s="4"/>
    </row>
    <row r="2578" customFormat="false" ht="15" hidden="false" customHeight="false" outlineLevel="0" collapsed="false">
      <c r="A2578" s="35" t="s">
        <v>6038</v>
      </c>
      <c r="B2578" s="35" t="s">
        <v>6039</v>
      </c>
      <c r="C2578" s="35" t="s">
        <v>48</v>
      </c>
      <c r="D2578" s="35" t="s">
        <v>53</v>
      </c>
      <c r="E2578" s="35"/>
      <c r="F2578" s="35" t="s">
        <v>3711</v>
      </c>
      <c r="G2578" s="35" t="s">
        <v>328</v>
      </c>
      <c r="H2578" s="35" t="s">
        <v>61</v>
      </c>
      <c r="I2578" s="4"/>
    </row>
    <row r="2579" customFormat="false" ht="15" hidden="false" customHeight="false" outlineLevel="0" collapsed="false">
      <c r="A2579" s="35" t="s">
        <v>6040</v>
      </c>
      <c r="B2579" s="35" t="s">
        <v>6041</v>
      </c>
      <c r="C2579" s="35" t="s">
        <v>48</v>
      </c>
      <c r="D2579" s="35" t="s">
        <v>107</v>
      </c>
      <c r="E2579" s="35" t="s">
        <v>1031</v>
      </c>
      <c r="F2579" s="35"/>
      <c r="G2579" s="35" t="s">
        <v>188</v>
      </c>
      <c r="H2579" s="35" t="s">
        <v>61</v>
      </c>
      <c r="I2579" s="4"/>
    </row>
    <row r="2580" customFormat="false" ht="15" hidden="false" customHeight="false" outlineLevel="0" collapsed="false">
      <c r="A2580" s="35" t="s">
        <v>6042</v>
      </c>
      <c r="B2580" s="35" t="s">
        <v>6043</v>
      </c>
      <c r="C2580" s="35" t="s">
        <v>48</v>
      </c>
      <c r="D2580" s="35" t="s">
        <v>107</v>
      </c>
      <c r="E2580" s="35" t="s">
        <v>1031</v>
      </c>
      <c r="F2580" s="35"/>
      <c r="G2580" s="35" t="s">
        <v>188</v>
      </c>
      <c r="H2580" s="35" t="s">
        <v>61</v>
      </c>
      <c r="I2580" s="4"/>
    </row>
    <row r="2581" customFormat="false" ht="15" hidden="false" customHeight="false" outlineLevel="0" collapsed="false">
      <c r="A2581" s="35" t="s">
        <v>6044</v>
      </c>
      <c r="B2581" s="35" t="s">
        <v>6045</v>
      </c>
      <c r="C2581" s="35" t="s">
        <v>48</v>
      </c>
      <c r="D2581" s="35" t="s">
        <v>107</v>
      </c>
      <c r="E2581" s="35" t="s">
        <v>1031</v>
      </c>
      <c r="F2581" s="35"/>
      <c r="G2581" s="35" t="s">
        <v>188</v>
      </c>
      <c r="H2581" s="35" t="s">
        <v>562</v>
      </c>
      <c r="I2581" s="4"/>
    </row>
    <row r="2582" customFormat="false" ht="15" hidden="false" customHeight="false" outlineLevel="0" collapsed="false">
      <c r="A2582" s="35" t="s">
        <v>6046</v>
      </c>
      <c r="B2582" s="35" t="s">
        <v>6047</v>
      </c>
      <c r="C2582" s="35" t="s">
        <v>48</v>
      </c>
      <c r="D2582" s="35" t="s">
        <v>157</v>
      </c>
      <c r="E2582" s="35"/>
      <c r="F2582" s="35"/>
      <c r="G2582" s="35" t="s">
        <v>328</v>
      </c>
      <c r="H2582" s="35" t="s">
        <v>61</v>
      </c>
      <c r="I2582" s="4"/>
    </row>
    <row r="2583" customFormat="false" ht="15" hidden="false" customHeight="false" outlineLevel="0" collapsed="false">
      <c r="A2583" s="35" t="s">
        <v>6048</v>
      </c>
      <c r="B2583" s="35" t="s">
        <v>6049</v>
      </c>
      <c r="C2583" s="35" t="s">
        <v>48</v>
      </c>
      <c r="D2583" s="35" t="s">
        <v>157</v>
      </c>
      <c r="E2583" s="35"/>
      <c r="F2583" s="35" t="s">
        <v>2147</v>
      </c>
      <c r="G2583" s="35" t="s">
        <v>328</v>
      </c>
      <c r="H2583" s="35" t="s">
        <v>61</v>
      </c>
      <c r="I2583" s="4"/>
    </row>
    <row r="2584" customFormat="false" ht="15" hidden="false" customHeight="false" outlineLevel="0" collapsed="false">
      <c r="A2584" s="35" t="s">
        <v>6050</v>
      </c>
      <c r="B2584" s="35" t="s">
        <v>6051</v>
      </c>
      <c r="C2584" s="35" t="s">
        <v>48</v>
      </c>
      <c r="D2584" s="35" t="s">
        <v>107</v>
      </c>
      <c r="E2584" s="35" t="s">
        <v>832</v>
      </c>
      <c r="F2584" s="35" t="s">
        <v>2147</v>
      </c>
      <c r="G2584" s="35" t="s">
        <v>328</v>
      </c>
      <c r="H2584" s="35" t="s">
        <v>61</v>
      </c>
      <c r="I2584" s="4"/>
    </row>
    <row r="2585" customFormat="false" ht="15" hidden="false" customHeight="false" outlineLevel="0" collapsed="false">
      <c r="A2585" s="35" t="s">
        <v>6052</v>
      </c>
      <c r="B2585" s="35" t="s">
        <v>6053</v>
      </c>
      <c r="C2585" s="35" t="s">
        <v>48</v>
      </c>
      <c r="D2585" s="35" t="s">
        <v>157</v>
      </c>
      <c r="E2585" s="35"/>
      <c r="F2585" s="35"/>
      <c r="G2585" s="35" t="s">
        <v>679</v>
      </c>
      <c r="H2585" s="35" t="s">
        <v>61</v>
      </c>
      <c r="I2585" s="4"/>
    </row>
    <row r="2586" customFormat="false" ht="15" hidden="false" customHeight="false" outlineLevel="0" collapsed="false">
      <c r="A2586" s="35" t="s">
        <v>6054</v>
      </c>
      <c r="B2586" s="35" t="s">
        <v>6055</v>
      </c>
      <c r="C2586" s="35" t="s">
        <v>48</v>
      </c>
      <c r="D2586" s="35" t="s">
        <v>114</v>
      </c>
      <c r="E2586" s="35"/>
      <c r="F2586" s="35"/>
      <c r="G2586" s="35" t="s">
        <v>679</v>
      </c>
      <c r="H2586" s="35" t="s">
        <v>61</v>
      </c>
      <c r="I2586" s="4"/>
    </row>
    <row r="2587" customFormat="false" ht="15" hidden="false" customHeight="false" outlineLevel="0" collapsed="false">
      <c r="A2587" s="35" t="s">
        <v>6056</v>
      </c>
      <c r="B2587" s="35" t="s">
        <v>6057</v>
      </c>
      <c r="C2587" s="35" t="s">
        <v>48</v>
      </c>
      <c r="D2587" s="35" t="s">
        <v>157</v>
      </c>
      <c r="E2587" s="35"/>
      <c r="F2587" s="35"/>
      <c r="G2587" s="35" t="s">
        <v>679</v>
      </c>
      <c r="H2587" s="35" t="s">
        <v>61</v>
      </c>
      <c r="I2587" s="4"/>
    </row>
    <row r="2588" customFormat="false" ht="15" hidden="false" customHeight="false" outlineLevel="0" collapsed="false">
      <c r="A2588" s="35" t="s">
        <v>6058</v>
      </c>
      <c r="B2588" s="35" t="s">
        <v>6059</v>
      </c>
      <c r="C2588" s="35" t="s">
        <v>48</v>
      </c>
      <c r="D2588" s="35" t="s">
        <v>107</v>
      </c>
      <c r="E2588" s="35" t="s">
        <v>832</v>
      </c>
      <c r="F2588" s="35"/>
      <c r="G2588" s="35" t="s">
        <v>679</v>
      </c>
      <c r="H2588" s="35" t="s">
        <v>61</v>
      </c>
      <c r="I2588" s="4"/>
    </row>
    <row r="2589" customFormat="false" ht="15" hidden="false" customHeight="false" outlineLevel="0" collapsed="false">
      <c r="A2589" s="35" t="s">
        <v>6060</v>
      </c>
      <c r="B2589" s="35" t="s">
        <v>6061</v>
      </c>
      <c r="C2589" s="35" t="s">
        <v>48</v>
      </c>
      <c r="D2589" s="35" t="s">
        <v>146</v>
      </c>
      <c r="E2589" s="35"/>
      <c r="F2589" s="35"/>
      <c r="G2589" s="35" t="s">
        <v>679</v>
      </c>
      <c r="H2589" s="35" t="s">
        <v>61</v>
      </c>
      <c r="I2589" s="4"/>
    </row>
    <row r="2590" customFormat="false" ht="15" hidden="false" customHeight="false" outlineLevel="0" collapsed="false">
      <c r="A2590" s="35" t="s">
        <v>6062</v>
      </c>
      <c r="B2590" s="35" t="s">
        <v>6063</v>
      </c>
      <c r="C2590" s="35" t="s">
        <v>48</v>
      </c>
      <c r="D2590" s="35" t="s">
        <v>146</v>
      </c>
      <c r="E2590" s="35"/>
      <c r="F2590" s="35"/>
      <c r="G2590" s="35" t="s">
        <v>679</v>
      </c>
      <c r="H2590" s="35" t="s">
        <v>61</v>
      </c>
      <c r="I2590" s="4"/>
    </row>
    <row r="2591" customFormat="false" ht="15" hidden="false" customHeight="false" outlineLevel="0" collapsed="false">
      <c r="A2591" s="35" t="s">
        <v>6064</v>
      </c>
      <c r="B2591" s="35" t="s">
        <v>6065</v>
      </c>
      <c r="C2591" s="35" t="s">
        <v>48</v>
      </c>
      <c r="D2591" s="35" t="s">
        <v>146</v>
      </c>
      <c r="E2591" s="35"/>
      <c r="F2591" s="35"/>
      <c r="G2591" s="35" t="s">
        <v>679</v>
      </c>
      <c r="H2591" s="35" t="s">
        <v>61</v>
      </c>
      <c r="I2591" s="4"/>
    </row>
    <row r="2592" customFormat="false" ht="15" hidden="false" customHeight="false" outlineLevel="0" collapsed="false">
      <c r="A2592" s="35" t="s">
        <v>6066</v>
      </c>
      <c r="B2592" s="35" t="s">
        <v>6067</v>
      </c>
      <c r="C2592" s="35" t="s">
        <v>48</v>
      </c>
      <c r="D2592" s="35" t="s">
        <v>114</v>
      </c>
      <c r="E2592" s="35"/>
      <c r="F2592" s="35"/>
      <c r="G2592" s="35" t="s">
        <v>679</v>
      </c>
      <c r="H2592" s="35" t="s">
        <v>61</v>
      </c>
      <c r="I2592" s="4"/>
    </row>
    <row r="2593" customFormat="false" ht="15" hidden="false" customHeight="false" outlineLevel="0" collapsed="false">
      <c r="A2593" s="35" t="s">
        <v>6068</v>
      </c>
      <c r="B2593" s="35" t="s">
        <v>6069</v>
      </c>
      <c r="C2593" s="35" t="s">
        <v>48</v>
      </c>
      <c r="D2593" s="35" t="s">
        <v>114</v>
      </c>
      <c r="E2593" s="35"/>
      <c r="F2593" s="35"/>
      <c r="G2593" s="35" t="s">
        <v>679</v>
      </c>
      <c r="H2593" s="35" t="s">
        <v>61</v>
      </c>
      <c r="I2593" s="4"/>
    </row>
    <row r="2594" customFormat="false" ht="15" hidden="false" customHeight="false" outlineLevel="0" collapsed="false">
      <c r="A2594" s="35" t="s">
        <v>6070</v>
      </c>
      <c r="B2594" s="35" t="s">
        <v>6071</v>
      </c>
      <c r="C2594" s="35" t="s">
        <v>48</v>
      </c>
      <c r="D2594" s="35" t="s">
        <v>114</v>
      </c>
      <c r="E2594" s="35"/>
      <c r="F2594" s="35"/>
      <c r="G2594" s="35" t="s">
        <v>679</v>
      </c>
      <c r="H2594" s="35" t="s">
        <v>61</v>
      </c>
      <c r="I2594" s="4"/>
    </row>
    <row r="2595" customFormat="false" ht="15" hidden="false" customHeight="false" outlineLevel="0" collapsed="false">
      <c r="A2595" s="35" t="s">
        <v>6072</v>
      </c>
      <c r="B2595" s="35" t="s">
        <v>6073</v>
      </c>
      <c r="C2595" s="35" t="s">
        <v>48</v>
      </c>
      <c r="D2595" s="35" t="s">
        <v>114</v>
      </c>
      <c r="E2595" s="35"/>
      <c r="F2595" s="35"/>
      <c r="G2595" s="35" t="s">
        <v>679</v>
      </c>
      <c r="H2595" s="35" t="s">
        <v>61</v>
      </c>
      <c r="I2595" s="4"/>
    </row>
    <row r="2596" customFormat="false" ht="15" hidden="false" customHeight="false" outlineLevel="0" collapsed="false">
      <c r="A2596" s="35" t="s">
        <v>6074</v>
      </c>
      <c r="B2596" s="35" t="s">
        <v>6075</v>
      </c>
      <c r="C2596" s="35" t="s">
        <v>48</v>
      </c>
      <c r="D2596" s="35" t="s">
        <v>447</v>
      </c>
      <c r="E2596" s="35"/>
      <c r="F2596" s="35"/>
      <c r="G2596" s="35" t="s">
        <v>679</v>
      </c>
      <c r="H2596" s="35" t="s">
        <v>61</v>
      </c>
      <c r="I2596" s="4"/>
    </row>
    <row r="2597" customFormat="false" ht="15" hidden="false" customHeight="false" outlineLevel="0" collapsed="false">
      <c r="A2597" s="35" t="s">
        <v>6076</v>
      </c>
      <c r="B2597" s="35" t="s">
        <v>6077</v>
      </c>
      <c r="C2597" s="35" t="s">
        <v>48</v>
      </c>
      <c r="D2597" s="35" t="s">
        <v>146</v>
      </c>
      <c r="E2597" s="35"/>
      <c r="F2597" s="35"/>
      <c r="G2597" s="35" t="s">
        <v>679</v>
      </c>
      <c r="H2597" s="35" t="s">
        <v>61</v>
      </c>
      <c r="I2597" s="4"/>
    </row>
    <row r="2598" customFormat="false" ht="15" hidden="false" customHeight="false" outlineLevel="0" collapsed="false">
      <c r="A2598" s="35" t="s">
        <v>6078</v>
      </c>
      <c r="B2598" s="35" t="s">
        <v>6079</v>
      </c>
      <c r="C2598" s="35" t="s">
        <v>48</v>
      </c>
      <c r="D2598" s="35" t="s">
        <v>146</v>
      </c>
      <c r="E2598" s="35"/>
      <c r="F2598" s="35"/>
      <c r="G2598" s="35" t="s">
        <v>679</v>
      </c>
      <c r="H2598" s="35" t="s">
        <v>61</v>
      </c>
      <c r="I2598" s="4"/>
    </row>
    <row r="2599" customFormat="false" ht="15" hidden="false" customHeight="false" outlineLevel="0" collapsed="false">
      <c r="A2599" s="35" t="s">
        <v>6080</v>
      </c>
      <c r="B2599" s="35" t="s">
        <v>6081</v>
      </c>
      <c r="C2599" s="35" t="s">
        <v>48</v>
      </c>
      <c r="D2599" s="35" t="s">
        <v>114</v>
      </c>
      <c r="E2599" s="35"/>
      <c r="F2599" s="35"/>
      <c r="G2599" s="35" t="s">
        <v>679</v>
      </c>
      <c r="H2599" s="35" t="s">
        <v>61</v>
      </c>
      <c r="I2599" s="4"/>
    </row>
    <row r="2600" customFormat="false" ht="15" hidden="false" customHeight="false" outlineLevel="0" collapsed="false">
      <c r="A2600" s="35" t="s">
        <v>6082</v>
      </c>
      <c r="B2600" s="35" t="s">
        <v>6083</v>
      </c>
      <c r="C2600" s="35" t="s">
        <v>48</v>
      </c>
      <c r="D2600" s="35" t="s">
        <v>114</v>
      </c>
      <c r="E2600" s="35"/>
      <c r="F2600" s="35"/>
      <c r="G2600" s="35" t="s">
        <v>679</v>
      </c>
      <c r="H2600" s="35" t="s">
        <v>61</v>
      </c>
      <c r="I2600" s="4"/>
    </row>
    <row r="2601" customFormat="false" ht="15" hidden="false" customHeight="false" outlineLevel="0" collapsed="false">
      <c r="A2601" s="35" t="s">
        <v>6084</v>
      </c>
      <c r="B2601" s="35" t="s">
        <v>6085</v>
      </c>
      <c r="C2601" s="35" t="s">
        <v>48</v>
      </c>
      <c r="D2601" s="35" t="s">
        <v>57</v>
      </c>
      <c r="E2601" s="35" t="s">
        <v>1002</v>
      </c>
      <c r="F2601" s="35"/>
      <c r="G2601" s="35" t="s">
        <v>679</v>
      </c>
      <c r="H2601" s="35" t="s">
        <v>61</v>
      </c>
      <c r="I2601" s="4"/>
    </row>
    <row r="2602" customFormat="false" ht="15" hidden="false" customHeight="false" outlineLevel="0" collapsed="false">
      <c r="A2602" s="35" t="s">
        <v>6086</v>
      </c>
      <c r="B2602" s="35" t="s">
        <v>6087</v>
      </c>
      <c r="C2602" s="35" t="s">
        <v>48</v>
      </c>
      <c r="D2602" s="35" t="s">
        <v>57</v>
      </c>
      <c r="E2602" s="35" t="s">
        <v>832</v>
      </c>
      <c r="F2602" s="35"/>
      <c r="G2602" s="35" t="s">
        <v>679</v>
      </c>
      <c r="H2602" s="35" t="s">
        <v>61</v>
      </c>
      <c r="I2602" s="4"/>
    </row>
    <row r="2603" customFormat="false" ht="15" hidden="false" customHeight="false" outlineLevel="0" collapsed="false">
      <c r="A2603" s="35" t="s">
        <v>6088</v>
      </c>
      <c r="B2603" s="35" t="s">
        <v>6089</v>
      </c>
      <c r="C2603" s="35" t="s">
        <v>48</v>
      </c>
      <c r="D2603" s="35" t="s">
        <v>157</v>
      </c>
      <c r="E2603" s="35"/>
      <c r="F2603" s="35"/>
      <c r="G2603" s="35" t="s">
        <v>679</v>
      </c>
      <c r="H2603" s="35" t="s">
        <v>61</v>
      </c>
      <c r="I2603" s="4"/>
    </row>
    <row r="2604" customFormat="false" ht="15" hidden="false" customHeight="false" outlineLevel="0" collapsed="false">
      <c r="A2604" s="35" t="s">
        <v>6090</v>
      </c>
      <c r="B2604" s="35" t="s">
        <v>6091</v>
      </c>
      <c r="C2604" s="35" t="s">
        <v>48</v>
      </c>
      <c r="D2604" s="35" t="s">
        <v>146</v>
      </c>
      <c r="E2604" s="35"/>
      <c r="F2604" s="35"/>
      <c r="G2604" s="35" t="s">
        <v>679</v>
      </c>
      <c r="H2604" s="35" t="s">
        <v>61</v>
      </c>
      <c r="I2604" s="4"/>
    </row>
    <row r="2605" customFormat="false" ht="15" hidden="false" customHeight="false" outlineLevel="0" collapsed="false">
      <c r="A2605" s="35" t="s">
        <v>6092</v>
      </c>
      <c r="B2605" s="35" t="s">
        <v>6093</v>
      </c>
      <c r="C2605" s="35" t="s">
        <v>48</v>
      </c>
      <c r="D2605" s="35" t="s">
        <v>146</v>
      </c>
      <c r="E2605" s="35"/>
      <c r="F2605" s="35"/>
      <c r="G2605" s="35" t="s">
        <v>679</v>
      </c>
      <c r="H2605" s="35" t="s">
        <v>61</v>
      </c>
      <c r="I2605" s="4"/>
    </row>
    <row r="2606" customFormat="false" ht="15" hidden="false" customHeight="false" outlineLevel="0" collapsed="false">
      <c r="A2606" s="35" t="s">
        <v>6094</v>
      </c>
      <c r="B2606" s="35" t="s">
        <v>6095</v>
      </c>
      <c r="C2606" s="35" t="s">
        <v>48</v>
      </c>
      <c r="D2606" s="35" t="s">
        <v>114</v>
      </c>
      <c r="E2606" s="35"/>
      <c r="F2606" s="35"/>
      <c r="G2606" s="35" t="s">
        <v>679</v>
      </c>
      <c r="H2606" s="35" t="s">
        <v>61</v>
      </c>
      <c r="I2606" s="4"/>
    </row>
    <row r="2607" customFormat="false" ht="15" hidden="false" customHeight="false" outlineLevel="0" collapsed="false">
      <c r="A2607" s="35" t="s">
        <v>6096</v>
      </c>
      <c r="B2607" s="35" t="s">
        <v>6097</v>
      </c>
      <c r="C2607" s="35" t="s">
        <v>48</v>
      </c>
      <c r="D2607" s="35" t="s">
        <v>107</v>
      </c>
      <c r="E2607" s="35" t="s">
        <v>1033</v>
      </c>
      <c r="F2607" s="35"/>
      <c r="G2607" s="35" t="s">
        <v>679</v>
      </c>
      <c r="H2607" s="35" t="s">
        <v>61</v>
      </c>
      <c r="I2607" s="4"/>
    </row>
    <row r="2608" customFormat="false" ht="15" hidden="false" customHeight="false" outlineLevel="0" collapsed="false">
      <c r="A2608" s="35" t="s">
        <v>6098</v>
      </c>
      <c r="B2608" s="35" t="s">
        <v>6099</v>
      </c>
      <c r="C2608" s="35" t="s">
        <v>48</v>
      </c>
      <c r="D2608" s="35" t="s">
        <v>146</v>
      </c>
      <c r="E2608" s="35"/>
      <c r="F2608" s="35"/>
      <c r="G2608" s="35" t="s">
        <v>679</v>
      </c>
      <c r="H2608" s="35" t="s">
        <v>61</v>
      </c>
      <c r="I2608" s="4"/>
    </row>
    <row r="2609" customFormat="false" ht="15" hidden="false" customHeight="false" outlineLevel="0" collapsed="false">
      <c r="A2609" s="35" t="s">
        <v>6100</v>
      </c>
      <c r="B2609" s="35" t="s">
        <v>6101</v>
      </c>
      <c r="C2609" s="35" t="s">
        <v>48</v>
      </c>
      <c r="D2609" s="35" t="s">
        <v>114</v>
      </c>
      <c r="E2609" s="35"/>
      <c r="F2609" s="35"/>
      <c r="G2609" s="35" t="s">
        <v>679</v>
      </c>
      <c r="H2609" s="35" t="s">
        <v>61</v>
      </c>
      <c r="I2609" s="4"/>
    </row>
    <row r="2610" customFormat="false" ht="15" hidden="false" customHeight="false" outlineLevel="0" collapsed="false">
      <c r="A2610" s="35" t="s">
        <v>6102</v>
      </c>
      <c r="B2610" s="35" t="s">
        <v>6103</v>
      </c>
      <c r="C2610" s="35" t="s">
        <v>48</v>
      </c>
      <c r="D2610" s="35" t="s">
        <v>114</v>
      </c>
      <c r="E2610" s="35"/>
      <c r="F2610" s="35"/>
      <c r="G2610" s="35" t="s">
        <v>679</v>
      </c>
      <c r="H2610" s="35" t="s">
        <v>61</v>
      </c>
      <c r="I2610" s="4"/>
    </row>
    <row r="2611" customFormat="false" ht="15" hidden="false" customHeight="false" outlineLevel="0" collapsed="false">
      <c r="A2611" s="35" t="s">
        <v>6104</v>
      </c>
      <c r="B2611" s="35" t="s">
        <v>6105</v>
      </c>
      <c r="C2611" s="35" t="s">
        <v>48</v>
      </c>
      <c r="D2611" s="35" t="s">
        <v>157</v>
      </c>
      <c r="E2611" s="35"/>
      <c r="F2611" s="35"/>
      <c r="G2611" s="35" t="s">
        <v>679</v>
      </c>
      <c r="H2611" s="35" t="s">
        <v>61</v>
      </c>
      <c r="I2611" s="4"/>
    </row>
    <row r="2612" customFormat="false" ht="15" hidden="false" customHeight="false" outlineLevel="0" collapsed="false">
      <c r="A2612" s="35" t="s">
        <v>6106</v>
      </c>
      <c r="B2612" s="35" t="s">
        <v>6107</v>
      </c>
      <c r="C2612" s="35" t="s">
        <v>48</v>
      </c>
      <c r="D2612" s="35" t="s">
        <v>114</v>
      </c>
      <c r="E2612" s="35"/>
      <c r="F2612" s="35"/>
      <c r="G2612" s="35" t="s">
        <v>679</v>
      </c>
      <c r="H2612" s="35" t="s">
        <v>61</v>
      </c>
      <c r="I2612" s="4"/>
    </row>
    <row r="2613" customFormat="false" ht="15" hidden="false" customHeight="false" outlineLevel="0" collapsed="false">
      <c r="A2613" s="35" t="s">
        <v>6108</v>
      </c>
      <c r="B2613" s="35" t="s">
        <v>6109</v>
      </c>
      <c r="C2613" s="35" t="s">
        <v>48</v>
      </c>
      <c r="D2613" s="35" t="s">
        <v>114</v>
      </c>
      <c r="E2613" s="35"/>
      <c r="F2613" s="35"/>
      <c r="G2613" s="35" t="s">
        <v>679</v>
      </c>
      <c r="H2613" s="35" t="s">
        <v>61</v>
      </c>
      <c r="I2613" s="4"/>
    </row>
    <row r="2614" customFormat="false" ht="15" hidden="false" customHeight="false" outlineLevel="0" collapsed="false">
      <c r="A2614" s="35" t="s">
        <v>6110</v>
      </c>
      <c r="B2614" s="35" t="s">
        <v>6111</v>
      </c>
      <c r="C2614" s="35" t="s">
        <v>48</v>
      </c>
      <c r="D2614" s="35" t="s">
        <v>53</v>
      </c>
      <c r="E2614" s="35"/>
      <c r="F2614" s="35"/>
      <c r="G2614" s="35" t="s">
        <v>679</v>
      </c>
      <c r="H2614" s="35" t="s">
        <v>61</v>
      </c>
      <c r="I2614" s="4"/>
    </row>
    <row r="2615" customFormat="false" ht="15" hidden="false" customHeight="false" outlineLevel="0" collapsed="false">
      <c r="A2615" s="35" t="s">
        <v>6112</v>
      </c>
      <c r="B2615" s="35" t="s">
        <v>6113</v>
      </c>
      <c r="C2615" s="35" t="s">
        <v>48</v>
      </c>
      <c r="D2615" s="35" t="s">
        <v>114</v>
      </c>
      <c r="E2615" s="35"/>
      <c r="F2615" s="35"/>
      <c r="G2615" s="35" t="s">
        <v>679</v>
      </c>
      <c r="H2615" s="35" t="s">
        <v>61</v>
      </c>
      <c r="I2615" s="4"/>
    </row>
    <row r="2616" customFormat="false" ht="15" hidden="false" customHeight="false" outlineLevel="0" collapsed="false">
      <c r="A2616" s="35" t="s">
        <v>6114</v>
      </c>
      <c r="B2616" s="35" t="s">
        <v>6115</v>
      </c>
      <c r="C2616" s="35" t="s">
        <v>48</v>
      </c>
      <c r="D2616" s="35" t="s">
        <v>114</v>
      </c>
      <c r="E2616" s="35"/>
      <c r="F2616" s="35"/>
      <c r="G2616" s="35" t="s">
        <v>679</v>
      </c>
      <c r="H2616" s="35" t="s">
        <v>61</v>
      </c>
      <c r="I2616" s="4"/>
    </row>
    <row r="2617" customFormat="false" ht="15" hidden="false" customHeight="false" outlineLevel="0" collapsed="false">
      <c r="A2617" s="35" t="s">
        <v>6116</v>
      </c>
      <c r="B2617" s="35" t="s">
        <v>6117</v>
      </c>
      <c r="C2617" s="35" t="s">
        <v>48</v>
      </c>
      <c r="D2617" s="35" t="s">
        <v>57</v>
      </c>
      <c r="E2617" s="35" t="s">
        <v>883</v>
      </c>
      <c r="F2617" s="35"/>
      <c r="G2617" s="35" t="s">
        <v>328</v>
      </c>
      <c r="H2617" s="35" t="s">
        <v>61</v>
      </c>
      <c r="I2617" s="4"/>
    </row>
    <row r="2618" customFormat="false" ht="15" hidden="false" customHeight="false" outlineLevel="0" collapsed="false">
      <c r="A2618" s="35" t="s">
        <v>6118</v>
      </c>
      <c r="B2618" s="35" t="s">
        <v>6119</v>
      </c>
      <c r="C2618" s="35" t="s">
        <v>48</v>
      </c>
      <c r="D2618" s="35" t="s">
        <v>447</v>
      </c>
      <c r="E2618" s="35"/>
      <c r="F2618" s="35"/>
      <c r="G2618" s="35" t="s">
        <v>679</v>
      </c>
      <c r="H2618" s="35" t="s">
        <v>61</v>
      </c>
      <c r="I2618" s="4"/>
    </row>
    <row r="2619" customFormat="false" ht="15" hidden="false" customHeight="false" outlineLevel="0" collapsed="false">
      <c r="A2619" s="35" t="s">
        <v>6120</v>
      </c>
      <c r="B2619" s="35" t="s">
        <v>6121</v>
      </c>
      <c r="C2619" s="35" t="s">
        <v>48</v>
      </c>
      <c r="D2619" s="35" t="s">
        <v>447</v>
      </c>
      <c r="E2619" s="35"/>
      <c r="F2619" s="35"/>
      <c r="G2619" s="35" t="s">
        <v>679</v>
      </c>
      <c r="H2619" s="35" t="s">
        <v>61</v>
      </c>
      <c r="I2619" s="4"/>
    </row>
    <row r="2620" customFormat="false" ht="15" hidden="false" customHeight="false" outlineLevel="0" collapsed="false">
      <c r="A2620" s="35" t="s">
        <v>6122</v>
      </c>
      <c r="B2620" s="35" t="s">
        <v>6123</v>
      </c>
      <c r="C2620" s="35" t="s">
        <v>48</v>
      </c>
      <c r="D2620" s="35" t="s">
        <v>114</v>
      </c>
      <c r="E2620" s="35"/>
      <c r="F2620" s="35"/>
      <c r="G2620" s="35" t="s">
        <v>679</v>
      </c>
      <c r="H2620" s="35" t="s">
        <v>61</v>
      </c>
      <c r="I2620" s="4"/>
    </row>
    <row r="2621" customFormat="false" ht="15" hidden="false" customHeight="false" outlineLevel="0" collapsed="false">
      <c r="A2621" s="35" t="s">
        <v>6124</v>
      </c>
      <c r="B2621" s="35" t="s">
        <v>6125</v>
      </c>
      <c r="C2621" s="35" t="s">
        <v>48</v>
      </c>
      <c r="D2621" s="35" t="s">
        <v>57</v>
      </c>
      <c r="E2621" s="35" t="s">
        <v>1002</v>
      </c>
      <c r="F2621" s="35"/>
      <c r="G2621" s="35" t="s">
        <v>679</v>
      </c>
      <c r="H2621" s="35" t="s">
        <v>61</v>
      </c>
      <c r="I2621" s="4"/>
    </row>
    <row r="2622" customFormat="false" ht="15" hidden="false" customHeight="false" outlineLevel="0" collapsed="false">
      <c r="A2622" s="35" t="s">
        <v>6126</v>
      </c>
      <c r="B2622" s="35" t="s">
        <v>6127</v>
      </c>
      <c r="C2622" s="35" t="s">
        <v>48</v>
      </c>
      <c r="D2622" s="35" t="s">
        <v>146</v>
      </c>
      <c r="E2622" s="35"/>
      <c r="F2622" s="35"/>
      <c r="G2622" s="35" t="s">
        <v>679</v>
      </c>
      <c r="H2622" s="35" t="s">
        <v>61</v>
      </c>
      <c r="I2622" s="4"/>
    </row>
    <row r="2623" customFormat="false" ht="15" hidden="false" customHeight="false" outlineLevel="0" collapsed="false">
      <c r="A2623" s="35" t="s">
        <v>6128</v>
      </c>
      <c r="B2623" s="35" t="s">
        <v>6129</v>
      </c>
      <c r="C2623" s="35" t="s">
        <v>48</v>
      </c>
      <c r="D2623" s="35" t="s">
        <v>146</v>
      </c>
      <c r="E2623" s="35"/>
      <c r="F2623" s="35"/>
      <c r="G2623" s="35" t="s">
        <v>679</v>
      </c>
      <c r="H2623" s="35" t="s">
        <v>61</v>
      </c>
      <c r="I2623" s="4"/>
    </row>
    <row r="2624" customFormat="false" ht="15" hidden="false" customHeight="false" outlineLevel="0" collapsed="false">
      <c r="A2624" s="35" t="s">
        <v>6130</v>
      </c>
      <c r="B2624" s="35" t="s">
        <v>6131</v>
      </c>
      <c r="C2624" s="35" t="s">
        <v>48</v>
      </c>
      <c r="D2624" s="35" t="s">
        <v>146</v>
      </c>
      <c r="E2624" s="35"/>
      <c r="F2624" s="35"/>
      <c r="G2624" s="35" t="s">
        <v>679</v>
      </c>
      <c r="H2624" s="35" t="s">
        <v>61</v>
      </c>
      <c r="I2624" s="4"/>
    </row>
    <row r="2625" customFormat="false" ht="15" hidden="false" customHeight="false" outlineLevel="0" collapsed="false">
      <c r="A2625" s="35" t="s">
        <v>6132</v>
      </c>
      <c r="B2625" s="35" t="s">
        <v>6133</v>
      </c>
      <c r="C2625" s="35" t="s">
        <v>48</v>
      </c>
      <c r="D2625" s="35" t="s">
        <v>146</v>
      </c>
      <c r="E2625" s="35"/>
      <c r="F2625" s="35"/>
      <c r="G2625" s="35" t="s">
        <v>679</v>
      </c>
      <c r="H2625" s="35" t="s">
        <v>61</v>
      </c>
      <c r="I2625" s="4"/>
    </row>
    <row r="2626" customFormat="false" ht="15" hidden="false" customHeight="false" outlineLevel="0" collapsed="false">
      <c r="A2626" s="35" t="s">
        <v>6134</v>
      </c>
      <c r="B2626" s="35" t="s">
        <v>6135</v>
      </c>
      <c r="C2626" s="35" t="s">
        <v>48</v>
      </c>
      <c r="D2626" s="35" t="s">
        <v>114</v>
      </c>
      <c r="E2626" s="35"/>
      <c r="F2626" s="35"/>
      <c r="G2626" s="35" t="s">
        <v>679</v>
      </c>
      <c r="H2626" s="35" t="s">
        <v>61</v>
      </c>
      <c r="I2626" s="4"/>
    </row>
    <row r="2627" customFormat="false" ht="15" hidden="false" customHeight="false" outlineLevel="0" collapsed="false">
      <c r="A2627" s="35" t="s">
        <v>6136</v>
      </c>
      <c r="B2627" s="35" t="s">
        <v>6137</v>
      </c>
      <c r="C2627" s="35" t="s">
        <v>48</v>
      </c>
      <c r="D2627" s="35" t="s">
        <v>114</v>
      </c>
      <c r="E2627" s="35"/>
      <c r="F2627" s="35"/>
      <c r="G2627" s="35" t="s">
        <v>679</v>
      </c>
      <c r="H2627" s="35" t="s">
        <v>61</v>
      </c>
      <c r="I2627" s="4"/>
    </row>
    <row r="2628" customFormat="false" ht="15" hidden="false" customHeight="false" outlineLevel="0" collapsed="false">
      <c r="A2628" s="35" t="s">
        <v>6138</v>
      </c>
      <c r="B2628" s="35" t="s">
        <v>6139</v>
      </c>
      <c r="C2628" s="35" t="s">
        <v>48</v>
      </c>
      <c r="D2628" s="35" t="s">
        <v>114</v>
      </c>
      <c r="E2628" s="35"/>
      <c r="F2628" s="35"/>
      <c r="G2628" s="35" t="s">
        <v>679</v>
      </c>
      <c r="H2628" s="35" t="s">
        <v>61</v>
      </c>
      <c r="I2628" s="4"/>
    </row>
    <row r="2629" customFormat="false" ht="15" hidden="false" customHeight="false" outlineLevel="0" collapsed="false">
      <c r="A2629" s="35" t="s">
        <v>6140</v>
      </c>
      <c r="B2629" s="35" t="s">
        <v>6141</v>
      </c>
      <c r="C2629" s="35" t="s">
        <v>48</v>
      </c>
      <c r="D2629" s="35" t="s">
        <v>114</v>
      </c>
      <c r="E2629" s="35"/>
      <c r="F2629" s="35"/>
      <c r="G2629" s="35" t="s">
        <v>679</v>
      </c>
      <c r="H2629" s="35" t="s">
        <v>61</v>
      </c>
      <c r="I2629" s="4"/>
    </row>
    <row r="2630" customFormat="false" ht="15" hidden="false" customHeight="false" outlineLevel="0" collapsed="false">
      <c r="A2630" s="35" t="s">
        <v>6142</v>
      </c>
      <c r="B2630" s="35" t="s">
        <v>6143</v>
      </c>
      <c r="C2630" s="35" t="s">
        <v>48</v>
      </c>
      <c r="D2630" s="35" t="s">
        <v>447</v>
      </c>
      <c r="E2630" s="35"/>
      <c r="F2630" s="35"/>
      <c r="G2630" s="35" t="s">
        <v>679</v>
      </c>
      <c r="H2630" s="35" t="s">
        <v>61</v>
      </c>
      <c r="I2630" s="4"/>
    </row>
    <row r="2631" customFormat="false" ht="15" hidden="false" customHeight="false" outlineLevel="0" collapsed="false">
      <c r="A2631" s="35" t="s">
        <v>6144</v>
      </c>
      <c r="B2631" s="35" t="s">
        <v>6145</v>
      </c>
      <c r="C2631" s="35" t="s">
        <v>48</v>
      </c>
      <c r="D2631" s="35" t="s">
        <v>146</v>
      </c>
      <c r="E2631" s="35"/>
      <c r="F2631" s="35"/>
      <c r="G2631" s="35" t="s">
        <v>328</v>
      </c>
      <c r="H2631" s="35" t="s">
        <v>61</v>
      </c>
      <c r="I2631" s="4"/>
    </row>
    <row r="2632" customFormat="false" ht="15" hidden="false" customHeight="false" outlineLevel="0" collapsed="false">
      <c r="A2632" s="35" t="s">
        <v>6146</v>
      </c>
      <c r="B2632" s="35" t="s">
        <v>6147</v>
      </c>
      <c r="C2632" s="35" t="s">
        <v>48</v>
      </c>
      <c r="D2632" s="35" t="s">
        <v>146</v>
      </c>
      <c r="E2632" s="35"/>
      <c r="F2632" s="35"/>
      <c r="G2632" s="35" t="s">
        <v>679</v>
      </c>
      <c r="H2632" s="35" t="s">
        <v>61</v>
      </c>
      <c r="I2632" s="4"/>
    </row>
    <row r="2633" customFormat="false" ht="15" hidden="false" customHeight="false" outlineLevel="0" collapsed="false">
      <c r="A2633" s="35" t="s">
        <v>6148</v>
      </c>
      <c r="B2633" s="35" t="s">
        <v>6149</v>
      </c>
      <c r="C2633" s="35" t="s">
        <v>48</v>
      </c>
      <c r="D2633" s="35" t="s">
        <v>146</v>
      </c>
      <c r="E2633" s="35"/>
      <c r="F2633" s="35"/>
      <c r="G2633" s="35" t="s">
        <v>679</v>
      </c>
      <c r="H2633" s="35" t="s">
        <v>61</v>
      </c>
      <c r="I2633" s="4"/>
    </row>
    <row r="2634" customFormat="false" ht="15" hidden="false" customHeight="false" outlineLevel="0" collapsed="false">
      <c r="A2634" s="35" t="s">
        <v>6150</v>
      </c>
      <c r="B2634" s="35" t="s">
        <v>6151</v>
      </c>
      <c r="C2634" s="35" t="s">
        <v>48</v>
      </c>
      <c r="D2634" s="35" t="s">
        <v>146</v>
      </c>
      <c r="E2634" s="35"/>
      <c r="F2634" s="35"/>
      <c r="G2634" s="35" t="s">
        <v>679</v>
      </c>
      <c r="H2634" s="35" t="s">
        <v>61</v>
      </c>
      <c r="I2634" s="4"/>
    </row>
    <row r="2635" customFormat="false" ht="15" hidden="false" customHeight="false" outlineLevel="0" collapsed="false">
      <c r="A2635" s="35" t="s">
        <v>6152</v>
      </c>
      <c r="B2635" s="35" t="s">
        <v>6153</v>
      </c>
      <c r="C2635" s="35" t="s">
        <v>48</v>
      </c>
      <c r="D2635" s="35" t="s">
        <v>114</v>
      </c>
      <c r="E2635" s="35"/>
      <c r="F2635" s="35"/>
      <c r="G2635" s="35" t="s">
        <v>679</v>
      </c>
      <c r="H2635" s="35" t="s">
        <v>61</v>
      </c>
      <c r="I2635" s="4"/>
    </row>
    <row r="2636" customFormat="false" ht="15" hidden="false" customHeight="false" outlineLevel="0" collapsed="false">
      <c r="A2636" s="35" t="s">
        <v>6154</v>
      </c>
      <c r="B2636" s="35" t="s">
        <v>6155</v>
      </c>
      <c r="C2636" s="35" t="s">
        <v>48</v>
      </c>
      <c r="D2636" s="35" t="s">
        <v>114</v>
      </c>
      <c r="E2636" s="35"/>
      <c r="F2636" s="35"/>
      <c r="G2636" s="35" t="s">
        <v>679</v>
      </c>
      <c r="H2636" s="35" t="s">
        <v>61</v>
      </c>
      <c r="I2636" s="4"/>
    </row>
    <row r="2637" customFormat="false" ht="15" hidden="false" customHeight="false" outlineLevel="0" collapsed="false">
      <c r="A2637" s="35" t="s">
        <v>6156</v>
      </c>
      <c r="B2637" s="35" t="s">
        <v>6157</v>
      </c>
      <c r="C2637" s="35" t="s">
        <v>48</v>
      </c>
      <c r="D2637" s="35" t="s">
        <v>57</v>
      </c>
      <c r="E2637" s="35" t="s">
        <v>832</v>
      </c>
      <c r="F2637" s="35"/>
      <c r="G2637" s="35" t="s">
        <v>679</v>
      </c>
      <c r="H2637" s="35" t="s">
        <v>61</v>
      </c>
      <c r="I2637" s="4"/>
    </row>
    <row r="2638" customFormat="false" ht="15" hidden="false" customHeight="false" outlineLevel="0" collapsed="false">
      <c r="A2638" s="35" t="s">
        <v>6158</v>
      </c>
      <c r="B2638" s="35" t="s">
        <v>6159</v>
      </c>
      <c r="C2638" s="35" t="s">
        <v>48</v>
      </c>
      <c r="D2638" s="35" t="s">
        <v>157</v>
      </c>
      <c r="E2638" s="35"/>
      <c r="F2638" s="35"/>
      <c r="G2638" s="35" t="s">
        <v>679</v>
      </c>
      <c r="H2638" s="35" t="s">
        <v>61</v>
      </c>
      <c r="I2638" s="4"/>
    </row>
    <row r="2639" customFormat="false" ht="15" hidden="false" customHeight="false" outlineLevel="0" collapsed="false">
      <c r="A2639" s="35" t="s">
        <v>6160</v>
      </c>
      <c r="B2639" s="35" t="s">
        <v>6161</v>
      </c>
      <c r="C2639" s="35" t="s">
        <v>48</v>
      </c>
      <c r="D2639" s="35" t="s">
        <v>146</v>
      </c>
      <c r="E2639" s="35"/>
      <c r="F2639" s="35"/>
      <c r="G2639" s="35" t="s">
        <v>679</v>
      </c>
      <c r="H2639" s="35" t="s">
        <v>61</v>
      </c>
      <c r="I2639" s="4"/>
    </row>
    <row r="2640" customFormat="false" ht="15" hidden="false" customHeight="false" outlineLevel="0" collapsed="false">
      <c r="A2640" s="35" t="s">
        <v>6162</v>
      </c>
      <c r="B2640" s="35" t="s">
        <v>6163</v>
      </c>
      <c r="C2640" s="35" t="s">
        <v>48</v>
      </c>
      <c r="D2640" s="35" t="s">
        <v>146</v>
      </c>
      <c r="E2640" s="35"/>
      <c r="F2640" s="35"/>
      <c r="G2640" s="35" t="s">
        <v>679</v>
      </c>
      <c r="H2640" s="35" t="s">
        <v>61</v>
      </c>
      <c r="I2640" s="4"/>
    </row>
    <row r="2641" customFormat="false" ht="15" hidden="false" customHeight="false" outlineLevel="0" collapsed="false">
      <c r="A2641" s="35" t="s">
        <v>6164</v>
      </c>
      <c r="B2641" s="35" t="s">
        <v>6165</v>
      </c>
      <c r="C2641" s="35" t="s">
        <v>48</v>
      </c>
      <c r="D2641" s="35" t="s">
        <v>114</v>
      </c>
      <c r="E2641" s="35"/>
      <c r="F2641" s="35"/>
      <c r="G2641" s="35" t="s">
        <v>679</v>
      </c>
      <c r="H2641" s="35" t="s">
        <v>61</v>
      </c>
      <c r="I2641" s="4"/>
    </row>
    <row r="2642" customFormat="false" ht="15" hidden="false" customHeight="false" outlineLevel="0" collapsed="false">
      <c r="A2642" s="35" t="s">
        <v>6166</v>
      </c>
      <c r="B2642" s="35" t="s">
        <v>6167</v>
      </c>
      <c r="C2642" s="35" t="s">
        <v>48</v>
      </c>
      <c r="D2642" s="35" t="s">
        <v>107</v>
      </c>
      <c r="E2642" s="35" t="s">
        <v>1033</v>
      </c>
      <c r="F2642" s="35"/>
      <c r="G2642" s="35" t="s">
        <v>679</v>
      </c>
      <c r="H2642" s="35" t="s">
        <v>61</v>
      </c>
      <c r="I2642" s="4"/>
    </row>
    <row r="2643" customFormat="false" ht="15" hidden="false" customHeight="false" outlineLevel="0" collapsed="false">
      <c r="A2643" s="35" t="s">
        <v>6168</v>
      </c>
      <c r="B2643" s="35" t="s">
        <v>6169</v>
      </c>
      <c r="C2643" s="35" t="s">
        <v>48</v>
      </c>
      <c r="D2643" s="35" t="s">
        <v>146</v>
      </c>
      <c r="E2643" s="35"/>
      <c r="F2643" s="35"/>
      <c r="G2643" s="35" t="s">
        <v>328</v>
      </c>
      <c r="H2643" s="35" t="s">
        <v>61</v>
      </c>
      <c r="I2643" s="4"/>
    </row>
    <row r="2644" customFormat="false" ht="15" hidden="false" customHeight="false" outlineLevel="0" collapsed="false">
      <c r="A2644" s="35" t="s">
        <v>6170</v>
      </c>
      <c r="B2644" s="35" t="s">
        <v>6171</v>
      </c>
      <c r="C2644" s="35" t="s">
        <v>48</v>
      </c>
      <c r="D2644" s="35" t="s">
        <v>114</v>
      </c>
      <c r="E2644" s="35"/>
      <c r="F2644" s="35"/>
      <c r="G2644" s="35" t="s">
        <v>679</v>
      </c>
      <c r="H2644" s="35" t="s">
        <v>61</v>
      </c>
      <c r="I2644" s="4"/>
    </row>
    <row r="2645" customFormat="false" ht="15" hidden="false" customHeight="false" outlineLevel="0" collapsed="false">
      <c r="A2645" s="35" t="s">
        <v>6172</v>
      </c>
      <c r="B2645" s="35" t="s">
        <v>6173</v>
      </c>
      <c r="C2645" s="35" t="s">
        <v>48</v>
      </c>
      <c r="D2645" s="35" t="s">
        <v>114</v>
      </c>
      <c r="E2645" s="35"/>
      <c r="F2645" s="35"/>
      <c r="G2645" s="35" t="s">
        <v>679</v>
      </c>
      <c r="H2645" s="35" t="s">
        <v>61</v>
      </c>
      <c r="I2645" s="4"/>
    </row>
    <row r="2646" customFormat="false" ht="15" hidden="false" customHeight="false" outlineLevel="0" collapsed="false">
      <c r="A2646" s="35" t="s">
        <v>6174</v>
      </c>
      <c r="B2646" s="35" t="s">
        <v>6175</v>
      </c>
      <c r="C2646" s="35" t="s">
        <v>48</v>
      </c>
      <c r="D2646" s="35" t="s">
        <v>157</v>
      </c>
      <c r="E2646" s="35"/>
      <c r="F2646" s="35"/>
      <c r="G2646" s="35" t="s">
        <v>679</v>
      </c>
      <c r="H2646" s="35" t="s">
        <v>61</v>
      </c>
      <c r="I2646" s="4"/>
    </row>
    <row r="2647" customFormat="false" ht="15" hidden="false" customHeight="false" outlineLevel="0" collapsed="false">
      <c r="A2647" s="35" t="s">
        <v>6176</v>
      </c>
      <c r="B2647" s="35" t="s">
        <v>6177</v>
      </c>
      <c r="C2647" s="35" t="s">
        <v>48</v>
      </c>
      <c r="D2647" s="35" t="s">
        <v>114</v>
      </c>
      <c r="E2647" s="35"/>
      <c r="F2647" s="35"/>
      <c r="G2647" s="35" t="s">
        <v>679</v>
      </c>
      <c r="H2647" s="35" t="s">
        <v>61</v>
      </c>
      <c r="I2647" s="4"/>
    </row>
    <row r="2648" customFormat="false" ht="15" hidden="false" customHeight="false" outlineLevel="0" collapsed="false">
      <c r="A2648" s="35" t="s">
        <v>6178</v>
      </c>
      <c r="B2648" s="35" t="s">
        <v>6179</v>
      </c>
      <c r="C2648" s="35" t="s">
        <v>48</v>
      </c>
      <c r="D2648" s="35" t="s">
        <v>114</v>
      </c>
      <c r="E2648" s="35"/>
      <c r="F2648" s="35"/>
      <c r="G2648" s="35" t="s">
        <v>679</v>
      </c>
      <c r="H2648" s="35" t="s">
        <v>61</v>
      </c>
      <c r="I2648" s="4"/>
    </row>
    <row r="2649" customFormat="false" ht="15" hidden="false" customHeight="false" outlineLevel="0" collapsed="false">
      <c r="A2649" s="35" t="s">
        <v>6180</v>
      </c>
      <c r="B2649" s="35" t="s">
        <v>6181</v>
      </c>
      <c r="C2649" s="35" t="s">
        <v>48</v>
      </c>
      <c r="D2649" s="35" t="s">
        <v>53</v>
      </c>
      <c r="E2649" s="35"/>
      <c r="F2649" s="35"/>
      <c r="G2649" s="35" t="s">
        <v>679</v>
      </c>
      <c r="H2649" s="35" t="s">
        <v>61</v>
      </c>
      <c r="I2649" s="4"/>
    </row>
    <row r="2650" customFormat="false" ht="15" hidden="false" customHeight="false" outlineLevel="0" collapsed="false">
      <c r="A2650" s="35" t="s">
        <v>6182</v>
      </c>
      <c r="B2650" s="35" t="s">
        <v>6183</v>
      </c>
      <c r="C2650" s="35" t="s">
        <v>48</v>
      </c>
      <c r="D2650" s="35" t="s">
        <v>114</v>
      </c>
      <c r="E2650" s="35"/>
      <c r="F2650" s="35"/>
      <c r="G2650" s="35" t="s">
        <v>328</v>
      </c>
      <c r="H2650" s="35" t="s">
        <v>61</v>
      </c>
      <c r="I2650" s="4"/>
    </row>
    <row r="2651" customFormat="false" ht="15" hidden="false" customHeight="false" outlineLevel="0" collapsed="false">
      <c r="A2651" s="35" t="s">
        <v>6184</v>
      </c>
      <c r="B2651" s="35" t="s">
        <v>6185</v>
      </c>
      <c r="C2651" s="35" t="s">
        <v>48</v>
      </c>
      <c r="D2651" s="35" t="s">
        <v>114</v>
      </c>
      <c r="E2651" s="35"/>
      <c r="F2651" s="35"/>
      <c r="G2651" s="35" t="s">
        <v>679</v>
      </c>
      <c r="H2651" s="35" t="s">
        <v>61</v>
      </c>
      <c r="I2651" s="4"/>
    </row>
    <row r="2652" customFormat="false" ht="15" hidden="false" customHeight="false" outlineLevel="0" collapsed="false">
      <c r="A2652" s="35" t="s">
        <v>6186</v>
      </c>
      <c r="B2652" s="35" t="s">
        <v>6187</v>
      </c>
      <c r="C2652" s="35" t="s">
        <v>48</v>
      </c>
      <c r="D2652" s="35" t="s">
        <v>114</v>
      </c>
      <c r="E2652" s="35"/>
      <c r="F2652" s="35"/>
      <c r="G2652" s="35" t="s">
        <v>679</v>
      </c>
      <c r="H2652" s="35" t="s">
        <v>61</v>
      </c>
      <c r="I2652" s="4"/>
    </row>
    <row r="2653" customFormat="false" ht="15" hidden="false" customHeight="false" outlineLevel="0" collapsed="false">
      <c r="A2653" s="35" t="s">
        <v>6188</v>
      </c>
      <c r="B2653" s="35" t="s">
        <v>6189</v>
      </c>
      <c r="C2653" s="35" t="s">
        <v>48</v>
      </c>
      <c r="D2653" s="35" t="s">
        <v>57</v>
      </c>
      <c r="E2653" s="35" t="s">
        <v>883</v>
      </c>
      <c r="F2653" s="35"/>
      <c r="G2653" s="35" t="s">
        <v>328</v>
      </c>
      <c r="H2653" s="35" t="s">
        <v>61</v>
      </c>
      <c r="I2653" s="4"/>
    </row>
    <row r="2654" customFormat="false" ht="15" hidden="false" customHeight="false" outlineLevel="0" collapsed="false">
      <c r="A2654" s="35" t="s">
        <v>6190</v>
      </c>
      <c r="B2654" s="35" t="s">
        <v>6191</v>
      </c>
      <c r="C2654" s="35" t="s">
        <v>48</v>
      </c>
      <c r="D2654" s="35" t="s">
        <v>447</v>
      </c>
      <c r="E2654" s="35"/>
      <c r="F2654" s="35"/>
      <c r="G2654" s="35" t="s">
        <v>679</v>
      </c>
      <c r="H2654" s="35" t="s">
        <v>61</v>
      </c>
      <c r="I2654" s="4"/>
    </row>
    <row r="2655" customFormat="false" ht="15" hidden="false" customHeight="false" outlineLevel="0" collapsed="false">
      <c r="A2655" s="35" t="s">
        <v>6192</v>
      </c>
      <c r="B2655" s="35" t="s">
        <v>6193</v>
      </c>
      <c r="C2655" s="35" t="s">
        <v>48</v>
      </c>
      <c r="D2655" s="35" t="s">
        <v>447</v>
      </c>
      <c r="E2655" s="35"/>
      <c r="F2655" s="35"/>
      <c r="G2655" s="35" t="s">
        <v>679</v>
      </c>
      <c r="H2655" s="35" t="s">
        <v>61</v>
      </c>
      <c r="I2655" s="4"/>
    </row>
    <row r="2656" customFormat="false" ht="15" hidden="false" customHeight="false" outlineLevel="0" collapsed="false">
      <c r="A2656" s="35" t="s">
        <v>6194</v>
      </c>
      <c r="B2656" s="35" t="s">
        <v>6195</v>
      </c>
      <c r="C2656" s="35" t="s">
        <v>48</v>
      </c>
      <c r="D2656" s="35" t="s">
        <v>114</v>
      </c>
      <c r="E2656" s="35"/>
      <c r="F2656" s="35"/>
      <c r="G2656" s="35" t="s">
        <v>679</v>
      </c>
      <c r="H2656" s="35" t="s">
        <v>61</v>
      </c>
      <c r="I2656" s="4"/>
    </row>
    <row r="2657" customFormat="false" ht="15" hidden="false" customHeight="false" outlineLevel="0" collapsed="false">
      <c r="A2657" s="35" t="s">
        <v>6196</v>
      </c>
      <c r="B2657" s="35" t="s">
        <v>6197</v>
      </c>
      <c r="C2657" s="35" t="s">
        <v>48</v>
      </c>
      <c r="D2657" s="35" t="s">
        <v>114</v>
      </c>
      <c r="E2657" s="35"/>
      <c r="F2657" s="35"/>
      <c r="G2657" s="35" t="s">
        <v>679</v>
      </c>
      <c r="H2657" s="35" t="s">
        <v>61</v>
      </c>
      <c r="I2657" s="4"/>
    </row>
    <row r="2658" customFormat="false" ht="15" hidden="false" customHeight="false" outlineLevel="0" collapsed="false">
      <c r="A2658" s="35" t="s">
        <v>6198</v>
      </c>
      <c r="B2658" s="35" t="s">
        <v>6199</v>
      </c>
      <c r="C2658" s="35" t="s">
        <v>48</v>
      </c>
      <c r="D2658" s="35" t="s">
        <v>53</v>
      </c>
      <c r="E2658" s="35"/>
      <c r="F2658" s="35"/>
      <c r="G2658" s="35" t="s">
        <v>679</v>
      </c>
      <c r="H2658" s="35" t="s">
        <v>61</v>
      </c>
      <c r="I2658" s="4"/>
    </row>
    <row r="2659" customFormat="false" ht="15" hidden="false" customHeight="false" outlineLevel="0" collapsed="false">
      <c r="A2659" s="35" t="s">
        <v>6200</v>
      </c>
      <c r="B2659" s="35" t="s">
        <v>6201</v>
      </c>
      <c r="C2659" s="35" t="s">
        <v>48</v>
      </c>
      <c r="D2659" s="35" t="s">
        <v>53</v>
      </c>
      <c r="E2659" s="35"/>
      <c r="F2659" s="35"/>
      <c r="G2659" s="35" t="s">
        <v>679</v>
      </c>
      <c r="H2659" s="35" t="s">
        <v>61</v>
      </c>
      <c r="I2659" s="4"/>
    </row>
    <row r="2660" customFormat="false" ht="15" hidden="false" customHeight="false" outlineLevel="0" collapsed="false">
      <c r="A2660" s="35" t="s">
        <v>6202</v>
      </c>
      <c r="B2660" s="35" t="s">
        <v>6203</v>
      </c>
      <c r="C2660" s="35" t="s">
        <v>48</v>
      </c>
      <c r="D2660" s="35" t="s">
        <v>447</v>
      </c>
      <c r="E2660" s="35"/>
      <c r="F2660" s="35"/>
      <c r="G2660" s="35" t="s">
        <v>328</v>
      </c>
      <c r="H2660" s="35" t="s">
        <v>61</v>
      </c>
      <c r="I2660" s="4"/>
    </row>
    <row r="2661" customFormat="false" ht="15" hidden="false" customHeight="false" outlineLevel="0" collapsed="false">
      <c r="A2661" s="35" t="s">
        <v>6204</v>
      </c>
      <c r="B2661" s="35" t="s">
        <v>6205</v>
      </c>
      <c r="C2661" s="35" t="s">
        <v>48</v>
      </c>
      <c r="D2661" s="35" t="s">
        <v>114</v>
      </c>
      <c r="E2661" s="35"/>
      <c r="F2661" s="35"/>
      <c r="G2661" s="35" t="s">
        <v>679</v>
      </c>
      <c r="H2661" s="35" t="s">
        <v>61</v>
      </c>
      <c r="I2661" s="4"/>
    </row>
    <row r="2662" customFormat="false" ht="15" hidden="false" customHeight="false" outlineLevel="0" collapsed="false">
      <c r="A2662" s="35" t="s">
        <v>6206</v>
      </c>
      <c r="B2662" s="35" t="s">
        <v>6207</v>
      </c>
      <c r="C2662" s="35" t="s">
        <v>48</v>
      </c>
      <c r="D2662" s="35" t="s">
        <v>114</v>
      </c>
      <c r="E2662" s="35"/>
      <c r="F2662" s="35"/>
      <c r="G2662" s="35" t="s">
        <v>679</v>
      </c>
      <c r="H2662" s="35" t="s">
        <v>61</v>
      </c>
      <c r="I2662" s="4"/>
    </row>
    <row r="2663" customFormat="false" ht="15" hidden="false" customHeight="false" outlineLevel="0" collapsed="false">
      <c r="A2663" s="35" t="s">
        <v>6208</v>
      </c>
      <c r="B2663" s="35" t="s">
        <v>6209</v>
      </c>
      <c r="C2663" s="35" t="s">
        <v>48</v>
      </c>
      <c r="D2663" s="35" t="s">
        <v>114</v>
      </c>
      <c r="E2663" s="35"/>
      <c r="F2663" s="35"/>
      <c r="G2663" s="35" t="s">
        <v>679</v>
      </c>
      <c r="H2663" s="35" t="s">
        <v>61</v>
      </c>
      <c r="I2663" s="4"/>
    </row>
    <row r="2664" customFormat="false" ht="15" hidden="false" customHeight="false" outlineLevel="0" collapsed="false">
      <c r="A2664" s="35" t="s">
        <v>6210</v>
      </c>
      <c r="B2664" s="35" t="s">
        <v>6211</v>
      </c>
      <c r="C2664" s="35" t="s">
        <v>48</v>
      </c>
      <c r="D2664" s="35" t="s">
        <v>146</v>
      </c>
      <c r="E2664" s="35"/>
      <c r="F2664" s="35"/>
      <c r="G2664" s="35" t="s">
        <v>679</v>
      </c>
      <c r="H2664" s="35" t="s">
        <v>61</v>
      </c>
      <c r="I2664" s="4"/>
    </row>
    <row r="2665" customFormat="false" ht="15" hidden="false" customHeight="false" outlineLevel="0" collapsed="false">
      <c r="A2665" s="35" t="s">
        <v>6212</v>
      </c>
      <c r="B2665" s="35" t="s">
        <v>6213</v>
      </c>
      <c r="C2665" s="35" t="s">
        <v>48</v>
      </c>
      <c r="D2665" s="35" t="s">
        <v>146</v>
      </c>
      <c r="E2665" s="35"/>
      <c r="F2665" s="35"/>
      <c r="G2665" s="35" t="s">
        <v>679</v>
      </c>
      <c r="H2665" s="35" t="s">
        <v>61</v>
      </c>
      <c r="I2665" s="4"/>
    </row>
    <row r="2666" customFormat="false" ht="15" hidden="false" customHeight="false" outlineLevel="0" collapsed="false">
      <c r="A2666" s="35" t="s">
        <v>6214</v>
      </c>
      <c r="B2666" s="35" t="s">
        <v>6215</v>
      </c>
      <c r="C2666" s="35" t="s">
        <v>48</v>
      </c>
      <c r="D2666" s="35" t="s">
        <v>146</v>
      </c>
      <c r="E2666" s="35"/>
      <c r="F2666" s="35"/>
      <c r="G2666" s="35" t="s">
        <v>679</v>
      </c>
      <c r="H2666" s="35" t="s">
        <v>61</v>
      </c>
      <c r="I2666" s="4"/>
    </row>
    <row r="2667" customFormat="false" ht="15" hidden="false" customHeight="false" outlineLevel="0" collapsed="false">
      <c r="A2667" s="35" t="s">
        <v>6216</v>
      </c>
      <c r="B2667" s="35" t="s">
        <v>6217</v>
      </c>
      <c r="C2667" s="35" t="s">
        <v>48</v>
      </c>
      <c r="D2667" s="35" t="s">
        <v>114</v>
      </c>
      <c r="E2667" s="35"/>
      <c r="F2667" s="35"/>
      <c r="G2667" s="35" t="s">
        <v>679</v>
      </c>
      <c r="H2667" s="35" t="s">
        <v>61</v>
      </c>
      <c r="I2667" s="4"/>
    </row>
    <row r="2668" customFormat="false" ht="15" hidden="false" customHeight="false" outlineLevel="0" collapsed="false">
      <c r="A2668" s="35" t="s">
        <v>6218</v>
      </c>
      <c r="B2668" s="35" t="s">
        <v>6219</v>
      </c>
      <c r="C2668" s="35" t="s">
        <v>48</v>
      </c>
      <c r="D2668" s="35" t="s">
        <v>114</v>
      </c>
      <c r="E2668" s="35"/>
      <c r="F2668" s="35"/>
      <c r="G2668" s="35" t="s">
        <v>679</v>
      </c>
      <c r="H2668" s="35" t="s">
        <v>61</v>
      </c>
      <c r="I2668" s="4"/>
    </row>
    <row r="2669" customFormat="false" ht="15" hidden="false" customHeight="false" outlineLevel="0" collapsed="false">
      <c r="A2669" s="35" t="s">
        <v>6220</v>
      </c>
      <c r="B2669" s="35" t="s">
        <v>6221</v>
      </c>
      <c r="C2669" s="35" t="s">
        <v>48</v>
      </c>
      <c r="D2669" s="35" t="s">
        <v>114</v>
      </c>
      <c r="E2669" s="35"/>
      <c r="F2669" s="35"/>
      <c r="G2669" s="35" t="s">
        <v>679</v>
      </c>
      <c r="H2669" s="35" t="s">
        <v>61</v>
      </c>
      <c r="I2669" s="4"/>
    </row>
    <row r="2670" customFormat="false" ht="15" hidden="false" customHeight="false" outlineLevel="0" collapsed="false">
      <c r="A2670" s="35" t="s">
        <v>6222</v>
      </c>
      <c r="B2670" s="35" t="s">
        <v>6223</v>
      </c>
      <c r="C2670" s="35" t="s">
        <v>48</v>
      </c>
      <c r="D2670" s="35" t="s">
        <v>114</v>
      </c>
      <c r="E2670" s="35"/>
      <c r="F2670" s="35"/>
      <c r="G2670" s="35" t="s">
        <v>679</v>
      </c>
      <c r="H2670" s="35" t="s">
        <v>61</v>
      </c>
      <c r="I2670" s="4"/>
    </row>
    <row r="2671" customFormat="false" ht="15" hidden="false" customHeight="false" outlineLevel="0" collapsed="false">
      <c r="A2671" s="35" t="s">
        <v>6224</v>
      </c>
      <c r="B2671" s="35" t="s">
        <v>6225</v>
      </c>
      <c r="C2671" s="35" t="s">
        <v>48</v>
      </c>
      <c r="D2671" s="35" t="s">
        <v>447</v>
      </c>
      <c r="E2671" s="35"/>
      <c r="F2671" s="35"/>
      <c r="G2671" s="35" t="s">
        <v>679</v>
      </c>
      <c r="H2671" s="35" t="s">
        <v>61</v>
      </c>
      <c r="I2671" s="4"/>
    </row>
    <row r="2672" customFormat="false" ht="15" hidden="false" customHeight="false" outlineLevel="0" collapsed="false">
      <c r="A2672" s="35" t="s">
        <v>6226</v>
      </c>
      <c r="B2672" s="35" t="s">
        <v>6145</v>
      </c>
      <c r="C2672" s="35" t="s">
        <v>48</v>
      </c>
      <c r="D2672" s="35" t="s">
        <v>146</v>
      </c>
      <c r="E2672" s="35"/>
      <c r="F2672" s="35"/>
      <c r="G2672" s="35" t="s">
        <v>328</v>
      </c>
      <c r="H2672" s="35" t="s">
        <v>61</v>
      </c>
      <c r="I2672" s="4"/>
    </row>
    <row r="2673" customFormat="false" ht="15" hidden="false" customHeight="false" outlineLevel="0" collapsed="false">
      <c r="A2673" s="35" t="s">
        <v>6227</v>
      </c>
      <c r="B2673" s="35" t="s">
        <v>6228</v>
      </c>
      <c r="C2673" s="35" t="s">
        <v>48</v>
      </c>
      <c r="D2673" s="35" t="s">
        <v>146</v>
      </c>
      <c r="E2673" s="35"/>
      <c r="F2673" s="35"/>
      <c r="G2673" s="35" t="s">
        <v>679</v>
      </c>
      <c r="H2673" s="35" t="s">
        <v>61</v>
      </c>
      <c r="I2673" s="4"/>
    </row>
    <row r="2674" customFormat="false" ht="15" hidden="false" customHeight="false" outlineLevel="0" collapsed="false">
      <c r="A2674" s="35" t="s">
        <v>6229</v>
      </c>
      <c r="B2674" s="35" t="s">
        <v>6230</v>
      </c>
      <c r="C2674" s="35" t="s">
        <v>48</v>
      </c>
      <c r="D2674" s="35" t="s">
        <v>146</v>
      </c>
      <c r="E2674" s="35"/>
      <c r="F2674" s="35"/>
      <c r="G2674" s="35" t="s">
        <v>679</v>
      </c>
      <c r="H2674" s="35" t="s">
        <v>61</v>
      </c>
      <c r="I2674" s="4"/>
    </row>
    <row r="2675" customFormat="false" ht="15" hidden="false" customHeight="false" outlineLevel="0" collapsed="false">
      <c r="A2675" s="35" t="s">
        <v>6231</v>
      </c>
      <c r="B2675" s="35" t="s">
        <v>6232</v>
      </c>
      <c r="C2675" s="35" t="s">
        <v>48</v>
      </c>
      <c r="D2675" s="35" t="s">
        <v>146</v>
      </c>
      <c r="E2675" s="35"/>
      <c r="F2675" s="35"/>
      <c r="G2675" s="35" t="s">
        <v>679</v>
      </c>
      <c r="H2675" s="35" t="s">
        <v>61</v>
      </c>
      <c r="I2675" s="4"/>
    </row>
    <row r="2676" customFormat="false" ht="15" hidden="false" customHeight="false" outlineLevel="0" collapsed="false">
      <c r="A2676" s="35" t="s">
        <v>6233</v>
      </c>
      <c r="B2676" s="35" t="s">
        <v>6234</v>
      </c>
      <c r="C2676" s="35" t="s">
        <v>48</v>
      </c>
      <c r="D2676" s="35" t="s">
        <v>114</v>
      </c>
      <c r="E2676" s="35"/>
      <c r="F2676" s="35"/>
      <c r="G2676" s="35" t="s">
        <v>679</v>
      </c>
      <c r="H2676" s="35" t="s">
        <v>61</v>
      </c>
      <c r="I2676" s="4"/>
    </row>
    <row r="2677" customFormat="false" ht="15" hidden="false" customHeight="false" outlineLevel="0" collapsed="false">
      <c r="A2677" s="35" t="s">
        <v>6235</v>
      </c>
      <c r="B2677" s="35" t="s">
        <v>6236</v>
      </c>
      <c r="C2677" s="35" t="s">
        <v>48</v>
      </c>
      <c r="D2677" s="35" t="s">
        <v>114</v>
      </c>
      <c r="E2677" s="35"/>
      <c r="F2677" s="35"/>
      <c r="G2677" s="35" t="s">
        <v>679</v>
      </c>
      <c r="H2677" s="35" t="s">
        <v>61</v>
      </c>
      <c r="I2677" s="4"/>
    </row>
    <row r="2678" customFormat="false" ht="15" hidden="false" customHeight="false" outlineLevel="0" collapsed="false">
      <c r="A2678" s="35" t="s">
        <v>6237</v>
      </c>
      <c r="B2678" s="35" t="s">
        <v>6238</v>
      </c>
      <c r="C2678" s="35" t="s">
        <v>48</v>
      </c>
      <c r="D2678" s="35" t="s">
        <v>57</v>
      </c>
      <c r="E2678" s="35" t="s">
        <v>1002</v>
      </c>
      <c r="F2678" s="35"/>
      <c r="G2678" s="35" t="s">
        <v>679</v>
      </c>
      <c r="H2678" s="35" t="s">
        <v>61</v>
      </c>
      <c r="I2678" s="4"/>
    </row>
    <row r="2679" customFormat="false" ht="15" hidden="false" customHeight="false" outlineLevel="0" collapsed="false">
      <c r="A2679" s="35" t="s">
        <v>6239</v>
      </c>
      <c r="B2679" s="35" t="s">
        <v>6240</v>
      </c>
      <c r="C2679" s="35" t="s">
        <v>48</v>
      </c>
      <c r="D2679" s="35" t="s">
        <v>57</v>
      </c>
      <c r="E2679" s="35" t="s">
        <v>832</v>
      </c>
      <c r="F2679" s="35"/>
      <c r="G2679" s="35" t="s">
        <v>679</v>
      </c>
      <c r="H2679" s="35" t="s">
        <v>61</v>
      </c>
      <c r="I2679" s="4"/>
    </row>
    <row r="2680" customFormat="false" ht="15" hidden="false" customHeight="false" outlineLevel="0" collapsed="false">
      <c r="A2680" s="35" t="s">
        <v>6241</v>
      </c>
      <c r="B2680" s="35" t="s">
        <v>6242</v>
      </c>
      <c r="C2680" s="35" t="s">
        <v>48</v>
      </c>
      <c r="D2680" s="35" t="s">
        <v>157</v>
      </c>
      <c r="E2680" s="35"/>
      <c r="F2680" s="35"/>
      <c r="G2680" s="35" t="s">
        <v>679</v>
      </c>
      <c r="H2680" s="35" t="s">
        <v>61</v>
      </c>
      <c r="I2680" s="4"/>
    </row>
    <row r="2681" customFormat="false" ht="15" hidden="false" customHeight="false" outlineLevel="0" collapsed="false">
      <c r="A2681" s="35" t="s">
        <v>6243</v>
      </c>
      <c r="B2681" s="35" t="s">
        <v>6244</v>
      </c>
      <c r="C2681" s="35" t="s">
        <v>48</v>
      </c>
      <c r="D2681" s="35" t="s">
        <v>146</v>
      </c>
      <c r="E2681" s="35"/>
      <c r="F2681" s="35"/>
      <c r="G2681" s="35" t="s">
        <v>679</v>
      </c>
      <c r="H2681" s="35" t="s">
        <v>61</v>
      </c>
      <c r="I2681" s="4"/>
    </row>
    <row r="2682" customFormat="false" ht="15" hidden="false" customHeight="false" outlineLevel="0" collapsed="false">
      <c r="A2682" s="35" t="s">
        <v>6245</v>
      </c>
      <c r="B2682" s="35" t="s">
        <v>6246</v>
      </c>
      <c r="C2682" s="35" t="s">
        <v>48</v>
      </c>
      <c r="D2682" s="35" t="s">
        <v>146</v>
      </c>
      <c r="E2682" s="35"/>
      <c r="F2682" s="35"/>
      <c r="G2682" s="35" t="s">
        <v>679</v>
      </c>
      <c r="H2682" s="35" t="s">
        <v>61</v>
      </c>
      <c r="I2682" s="4"/>
    </row>
    <row r="2683" customFormat="false" ht="15" hidden="false" customHeight="false" outlineLevel="0" collapsed="false">
      <c r="A2683" s="35" t="s">
        <v>6247</v>
      </c>
      <c r="B2683" s="35" t="s">
        <v>6248</v>
      </c>
      <c r="C2683" s="35" t="s">
        <v>48</v>
      </c>
      <c r="D2683" s="35" t="s">
        <v>114</v>
      </c>
      <c r="E2683" s="35"/>
      <c r="F2683" s="35"/>
      <c r="G2683" s="35" t="s">
        <v>679</v>
      </c>
      <c r="H2683" s="35" t="s">
        <v>61</v>
      </c>
      <c r="I2683" s="4"/>
    </row>
    <row r="2684" customFormat="false" ht="15" hidden="false" customHeight="false" outlineLevel="0" collapsed="false">
      <c r="A2684" s="35" t="s">
        <v>6249</v>
      </c>
      <c r="B2684" s="35" t="s">
        <v>6250</v>
      </c>
      <c r="C2684" s="35" t="s">
        <v>48</v>
      </c>
      <c r="D2684" s="35" t="s">
        <v>107</v>
      </c>
      <c r="E2684" s="35" t="s">
        <v>1033</v>
      </c>
      <c r="F2684" s="35"/>
      <c r="G2684" s="35" t="s">
        <v>679</v>
      </c>
      <c r="H2684" s="35" t="s">
        <v>61</v>
      </c>
      <c r="I2684" s="4"/>
    </row>
    <row r="2685" customFormat="false" ht="15" hidden="false" customHeight="false" outlineLevel="0" collapsed="false">
      <c r="A2685" s="35" t="s">
        <v>6251</v>
      </c>
      <c r="B2685" s="35" t="s">
        <v>6169</v>
      </c>
      <c r="C2685" s="35" t="s">
        <v>48</v>
      </c>
      <c r="D2685" s="35" t="s">
        <v>146</v>
      </c>
      <c r="E2685" s="35"/>
      <c r="F2685" s="35"/>
      <c r="G2685" s="35" t="s">
        <v>328</v>
      </c>
      <c r="H2685" s="35" t="s">
        <v>61</v>
      </c>
      <c r="I2685" s="4"/>
    </row>
    <row r="2686" customFormat="false" ht="15" hidden="false" customHeight="false" outlineLevel="0" collapsed="false">
      <c r="A2686" s="35" t="s">
        <v>6252</v>
      </c>
      <c r="B2686" s="35" t="s">
        <v>6253</v>
      </c>
      <c r="C2686" s="35" t="s">
        <v>48</v>
      </c>
      <c r="D2686" s="35" t="s">
        <v>114</v>
      </c>
      <c r="E2686" s="35"/>
      <c r="F2686" s="35"/>
      <c r="G2686" s="35" t="s">
        <v>679</v>
      </c>
      <c r="H2686" s="35" t="s">
        <v>61</v>
      </c>
      <c r="I2686" s="4"/>
    </row>
    <row r="2687" customFormat="false" ht="15" hidden="false" customHeight="false" outlineLevel="0" collapsed="false">
      <c r="A2687" s="35" t="s">
        <v>6254</v>
      </c>
      <c r="B2687" s="35" t="s">
        <v>6255</v>
      </c>
      <c r="C2687" s="35" t="s">
        <v>48</v>
      </c>
      <c r="D2687" s="35" t="s">
        <v>114</v>
      </c>
      <c r="E2687" s="35"/>
      <c r="F2687" s="35"/>
      <c r="G2687" s="35" t="s">
        <v>679</v>
      </c>
      <c r="H2687" s="35" t="s">
        <v>61</v>
      </c>
      <c r="I2687" s="4"/>
    </row>
    <row r="2688" customFormat="false" ht="15" hidden="false" customHeight="false" outlineLevel="0" collapsed="false">
      <c r="A2688" s="35" t="s">
        <v>6256</v>
      </c>
      <c r="B2688" s="35" t="s">
        <v>6257</v>
      </c>
      <c r="C2688" s="35" t="s">
        <v>48</v>
      </c>
      <c r="D2688" s="35" t="s">
        <v>157</v>
      </c>
      <c r="E2688" s="35"/>
      <c r="F2688" s="35"/>
      <c r="G2688" s="35" t="s">
        <v>679</v>
      </c>
      <c r="H2688" s="35" t="s">
        <v>61</v>
      </c>
      <c r="I2688" s="4"/>
    </row>
    <row r="2689" customFormat="false" ht="15" hidden="false" customHeight="false" outlineLevel="0" collapsed="false">
      <c r="A2689" s="35" t="s">
        <v>6258</v>
      </c>
      <c r="B2689" s="35" t="s">
        <v>6259</v>
      </c>
      <c r="C2689" s="35" t="s">
        <v>48</v>
      </c>
      <c r="D2689" s="35" t="s">
        <v>114</v>
      </c>
      <c r="E2689" s="35"/>
      <c r="F2689" s="35"/>
      <c r="G2689" s="35" t="s">
        <v>679</v>
      </c>
      <c r="H2689" s="35" t="s">
        <v>61</v>
      </c>
      <c r="I2689" s="4"/>
    </row>
    <row r="2690" customFormat="false" ht="15" hidden="false" customHeight="false" outlineLevel="0" collapsed="false">
      <c r="A2690" s="35" t="s">
        <v>6260</v>
      </c>
      <c r="B2690" s="35" t="s">
        <v>6261</v>
      </c>
      <c r="C2690" s="35" t="s">
        <v>48</v>
      </c>
      <c r="D2690" s="35" t="s">
        <v>114</v>
      </c>
      <c r="E2690" s="35"/>
      <c r="F2690" s="35"/>
      <c r="G2690" s="35" t="s">
        <v>679</v>
      </c>
      <c r="H2690" s="35" t="s">
        <v>61</v>
      </c>
      <c r="I2690" s="4"/>
    </row>
    <row r="2691" customFormat="false" ht="15" hidden="false" customHeight="false" outlineLevel="0" collapsed="false">
      <c r="A2691" s="35" t="s">
        <v>6262</v>
      </c>
      <c r="B2691" s="35" t="s">
        <v>6263</v>
      </c>
      <c r="C2691" s="35" t="s">
        <v>48</v>
      </c>
      <c r="D2691" s="35" t="s">
        <v>53</v>
      </c>
      <c r="E2691" s="35"/>
      <c r="F2691" s="35"/>
      <c r="G2691" s="35" t="s">
        <v>679</v>
      </c>
      <c r="H2691" s="35" t="s">
        <v>61</v>
      </c>
      <c r="I2691" s="4"/>
    </row>
    <row r="2692" customFormat="false" ht="15" hidden="false" customHeight="false" outlineLevel="0" collapsed="false">
      <c r="A2692" s="35" t="s">
        <v>6264</v>
      </c>
      <c r="B2692" s="35" t="s">
        <v>6265</v>
      </c>
      <c r="C2692" s="35" t="s">
        <v>48</v>
      </c>
      <c r="D2692" s="35" t="s">
        <v>114</v>
      </c>
      <c r="E2692" s="35"/>
      <c r="F2692" s="35"/>
      <c r="G2692" s="35" t="s">
        <v>328</v>
      </c>
      <c r="H2692" s="35" t="s">
        <v>61</v>
      </c>
      <c r="I2692" s="4"/>
    </row>
    <row r="2693" customFormat="false" ht="15" hidden="false" customHeight="false" outlineLevel="0" collapsed="false">
      <c r="A2693" s="35" t="s">
        <v>6266</v>
      </c>
      <c r="B2693" s="35" t="s">
        <v>6267</v>
      </c>
      <c r="C2693" s="35" t="s">
        <v>48</v>
      </c>
      <c r="D2693" s="35" t="s">
        <v>114</v>
      </c>
      <c r="E2693" s="35"/>
      <c r="F2693" s="35"/>
      <c r="G2693" s="35" t="s">
        <v>679</v>
      </c>
      <c r="H2693" s="35" t="s">
        <v>61</v>
      </c>
      <c r="I2693" s="4"/>
    </row>
    <row r="2694" customFormat="false" ht="15" hidden="false" customHeight="false" outlineLevel="0" collapsed="false">
      <c r="A2694" s="35" t="s">
        <v>6268</v>
      </c>
      <c r="B2694" s="35" t="s">
        <v>6269</v>
      </c>
      <c r="C2694" s="35" t="s">
        <v>48</v>
      </c>
      <c r="D2694" s="35" t="s">
        <v>114</v>
      </c>
      <c r="E2694" s="35"/>
      <c r="F2694" s="35"/>
      <c r="G2694" s="35" t="s">
        <v>679</v>
      </c>
      <c r="H2694" s="35" t="s">
        <v>61</v>
      </c>
      <c r="I2694" s="4"/>
    </row>
    <row r="2695" customFormat="false" ht="15" hidden="false" customHeight="false" outlineLevel="0" collapsed="false">
      <c r="A2695" s="35" t="s">
        <v>6270</v>
      </c>
      <c r="B2695" s="35" t="s">
        <v>6271</v>
      </c>
      <c r="C2695" s="35" t="s">
        <v>48</v>
      </c>
      <c r="D2695" s="35" t="s">
        <v>57</v>
      </c>
      <c r="E2695" s="35" t="s">
        <v>883</v>
      </c>
      <c r="F2695" s="35"/>
      <c r="G2695" s="35" t="s">
        <v>328</v>
      </c>
      <c r="H2695" s="35" t="s">
        <v>61</v>
      </c>
      <c r="I2695" s="4"/>
    </row>
    <row r="2696" customFormat="false" ht="15" hidden="false" customHeight="false" outlineLevel="0" collapsed="false">
      <c r="A2696" s="35" t="s">
        <v>6272</v>
      </c>
      <c r="B2696" s="35" t="s">
        <v>6273</v>
      </c>
      <c r="C2696" s="35" t="s">
        <v>48</v>
      </c>
      <c r="D2696" s="35" t="s">
        <v>447</v>
      </c>
      <c r="E2696" s="35"/>
      <c r="F2696" s="35"/>
      <c r="G2696" s="35" t="s">
        <v>679</v>
      </c>
      <c r="H2696" s="35" t="s">
        <v>61</v>
      </c>
      <c r="I2696" s="4"/>
    </row>
    <row r="2697" customFormat="false" ht="15" hidden="false" customHeight="false" outlineLevel="0" collapsed="false">
      <c r="A2697" s="35" t="s">
        <v>6274</v>
      </c>
      <c r="B2697" s="35" t="s">
        <v>6275</v>
      </c>
      <c r="C2697" s="35" t="s">
        <v>48</v>
      </c>
      <c r="D2697" s="35" t="s">
        <v>447</v>
      </c>
      <c r="E2697" s="35"/>
      <c r="F2697" s="35"/>
      <c r="G2697" s="35" t="s">
        <v>679</v>
      </c>
      <c r="H2697" s="35" t="s">
        <v>61</v>
      </c>
      <c r="I2697" s="4"/>
    </row>
    <row r="2698" customFormat="false" ht="15" hidden="false" customHeight="false" outlineLevel="0" collapsed="false">
      <c r="A2698" s="35" t="s">
        <v>6276</v>
      </c>
      <c r="B2698" s="35" t="s">
        <v>6195</v>
      </c>
      <c r="C2698" s="35" t="s">
        <v>48</v>
      </c>
      <c r="D2698" s="35" t="s">
        <v>114</v>
      </c>
      <c r="E2698" s="35"/>
      <c r="F2698" s="35"/>
      <c r="G2698" s="35" t="s">
        <v>679</v>
      </c>
      <c r="H2698" s="35" t="s">
        <v>61</v>
      </c>
      <c r="I2698" s="4"/>
    </row>
    <row r="2699" customFormat="false" ht="15" hidden="false" customHeight="false" outlineLevel="0" collapsed="false">
      <c r="A2699" s="35" t="s">
        <v>6277</v>
      </c>
      <c r="B2699" s="35" t="s">
        <v>6278</v>
      </c>
      <c r="C2699" s="35" t="s">
        <v>48</v>
      </c>
      <c r="D2699" s="35" t="s">
        <v>114</v>
      </c>
      <c r="E2699" s="35"/>
      <c r="F2699" s="35"/>
      <c r="G2699" s="35" t="s">
        <v>679</v>
      </c>
      <c r="H2699" s="35" t="s">
        <v>61</v>
      </c>
      <c r="I2699" s="4"/>
    </row>
    <row r="2700" customFormat="false" ht="15" hidden="false" customHeight="false" outlineLevel="0" collapsed="false">
      <c r="A2700" s="35" t="s">
        <v>6279</v>
      </c>
      <c r="B2700" s="35" t="s">
        <v>6280</v>
      </c>
      <c r="C2700" s="35" t="s">
        <v>48</v>
      </c>
      <c r="D2700" s="35" t="s">
        <v>53</v>
      </c>
      <c r="E2700" s="35"/>
      <c r="F2700" s="35"/>
      <c r="G2700" s="35" t="s">
        <v>679</v>
      </c>
      <c r="H2700" s="35" t="s">
        <v>61</v>
      </c>
      <c r="I2700" s="4"/>
    </row>
    <row r="2701" customFormat="false" ht="15" hidden="false" customHeight="false" outlineLevel="0" collapsed="false">
      <c r="A2701" s="35" t="s">
        <v>6281</v>
      </c>
      <c r="B2701" s="35" t="s">
        <v>6282</v>
      </c>
      <c r="C2701" s="35" t="s">
        <v>48</v>
      </c>
      <c r="D2701" s="35" t="s">
        <v>53</v>
      </c>
      <c r="E2701" s="35"/>
      <c r="F2701" s="35"/>
      <c r="G2701" s="35" t="s">
        <v>679</v>
      </c>
      <c r="H2701" s="35" t="s">
        <v>61</v>
      </c>
      <c r="I2701" s="4"/>
    </row>
    <row r="2702" customFormat="false" ht="15" hidden="false" customHeight="false" outlineLevel="0" collapsed="false">
      <c r="A2702" s="35" t="s">
        <v>6283</v>
      </c>
      <c r="B2702" s="35" t="s">
        <v>6284</v>
      </c>
      <c r="C2702" s="35" t="s">
        <v>48</v>
      </c>
      <c r="D2702" s="35" t="s">
        <v>447</v>
      </c>
      <c r="E2702" s="35"/>
      <c r="F2702" s="35"/>
      <c r="G2702" s="35" t="s">
        <v>328</v>
      </c>
      <c r="H2702" s="35" t="s">
        <v>61</v>
      </c>
      <c r="I2702" s="4"/>
    </row>
    <row r="2703" customFormat="false" ht="15" hidden="false" customHeight="false" outlineLevel="0" collapsed="false">
      <c r="A2703" s="35" t="s">
        <v>6285</v>
      </c>
      <c r="B2703" s="35" t="s">
        <v>6205</v>
      </c>
      <c r="C2703" s="35" t="s">
        <v>48</v>
      </c>
      <c r="D2703" s="35" t="s">
        <v>114</v>
      </c>
      <c r="E2703" s="35"/>
      <c r="F2703" s="35"/>
      <c r="G2703" s="35" t="s">
        <v>679</v>
      </c>
      <c r="H2703" s="35" t="s">
        <v>61</v>
      </c>
      <c r="I2703" s="4"/>
    </row>
    <row r="2704" customFormat="false" ht="15" hidden="false" customHeight="false" outlineLevel="0" collapsed="false">
      <c r="A2704" s="35" t="s">
        <v>6286</v>
      </c>
      <c r="B2704" s="35" t="s">
        <v>6207</v>
      </c>
      <c r="C2704" s="35" t="s">
        <v>48</v>
      </c>
      <c r="D2704" s="35" t="s">
        <v>114</v>
      </c>
      <c r="E2704" s="35"/>
      <c r="F2704" s="35"/>
      <c r="G2704" s="35" t="s">
        <v>679</v>
      </c>
      <c r="H2704" s="35" t="s">
        <v>61</v>
      </c>
      <c r="I2704" s="4"/>
    </row>
    <row r="2705" customFormat="false" ht="15" hidden="false" customHeight="false" outlineLevel="0" collapsed="false">
      <c r="A2705" s="35" t="s">
        <v>6287</v>
      </c>
      <c r="B2705" s="35" t="s">
        <v>6288</v>
      </c>
      <c r="C2705" s="35" t="s">
        <v>48</v>
      </c>
      <c r="D2705" s="35" t="s">
        <v>114</v>
      </c>
      <c r="E2705" s="35"/>
      <c r="F2705" s="35"/>
      <c r="G2705" s="35" t="s">
        <v>679</v>
      </c>
      <c r="H2705" s="35" t="s">
        <v>61</v>
      </c>
      <c r="I2705" s="4"/>
    </row>
    <row r="2706" customFormat="false" ht="15" hidden="false" customHeight="false" outlineLevel="0" collapsed="false">
      <c r="A2706" s="35" t="s">
        <v>1645</v>
      </c>
      <c r="B2706" s="35" t="s">
        <v>6289</v>
      </c>
      <c r="C2706" s="35" t="s">
        <v>48</v>
      </c>
      <c r="D2706" s="35" t="s">
        <v>107</v>
      </c>
      <c r="E2706" s="35" t="s">
        <v>1644</v>
      </c>
      <c r="F2706" s="35"/>
      <c r="G2706" s="35" t="s">
        <v>328</v>
      </c>
      <c r="H2706" s="35" t="s">
        <v>61</v>
      </c>
      <c r="I2706" s="4"/>
    </row>
    <row r="2707" customFormat="false" ht="15" hidden="false" customHeight="false" outlineLevel="0" collapsed="false">
      <c r="A2707" s="35" t="s">
        <v>6290</v>
      </c>
      <c r="B2707" s="35" t="s">
        <v>6291</v>
      </c>
      <c r="C2707" s="35" t="s">
        <v>48</v>
      </c>
      <c r="D2707" s="35" t="s">
        <v>53</v>
      </c>
      <c r="E2707" s="35"/>
      <c r="F2707" s="35"/>
      <c r="G2707" s="35" t="s">
        <v>679</v>
      </c>
      <c r="H2707" s="35" t="s">
        <v>61</v>
      </c>
      <c r="I2707" s="4"/>
    </row>
    <row r="2708" customFormat="false" ht="15" hidden="false" customHeight="false" outlineLevel="0" collapsed="false">
      <c r="A2708" s="35" t="s">
        <v>6292</v>
      </c>
      <c r="B2708" s="35" t="s">
        <v>6293</v>
      </c>
      <c r="C2708" s="35" t="s">
        <v>48</v>
      </c>
      <c r="D2708" s="35" t="s">
        <v>157</v>
      </c>
      <c r="E2708" s="35"/>
      <c r="F2708" s="35"/>
      <c r="G2708" s="35" t="s">
        <v>679</v>
      </c>
      <c r="H2708" s="35" t="s">
        <v>61</v>
      </c>
      <c r="I2708" s="4"/>
    </row>
    <row r="2709" customFormat="false" ht="15" hidden="false" customHeight="false" outlineLevel="0" collapsed="false">
      <c r="A2709" s="35" t="s">
        <v>6294</v>
      </c>
      <c r="B2709" s="35" t="s">
        <v>6295</v>
      </c>
      <c r="C2709" s="35" t="s">
        <v>48</v>
      </c>
      <c r="D2709" s="35" t="s">
        <v>114</v>
      </c>
      <c r="E2709" s="35"/>
      <c r="F2709" s="35"/>
      <c r="G2709" s="35" t="s">
        <v>679</v>
      </c>
      <c r="H2709" s="35" t="s">
        <v>61</v>
      </c>
      <c r="I2709" s="4"/>
    </row>
    <row r="2710" customFormat="false" ht="15" hidden="false" customHeight="false" outlineLevel="0" collapsed="false">
      <c r="A2710" s="35" t="s">
        <v>6296</v>
      </c>
      <c r="B2710" s="35" t="s">
        <v>6297</v>
      </c>
      <c r="C2710" s="35" t="s">
        <v>48</v>
      </c>
      <c r="D2710" s="35" t="s">
        <v>157</v>
      </c>
      <c r="E2710" s="35"/>
      <c r="F2710" s="35"/>
      <c r="G2710" s="35" t="s">
        <v>679</v>
      </c>
      <c r="H2710" s="35" t="s">
        <v>61</v>
      </c>
      <c r="I2710" s="4"/>
    </row>
    <row r="2711" customFormat="false" ht="15" hidden="false" customHeight="false" outlineLevel="0" collapsed="false">
      <c r="A2711" s="35" t="s">
        <v>6298</v>
      </c>
      <c r="B2711" s="35" t="s">
        <v>6299</v>
      </c>
      <c r="C2711" s="35" t="s">
        <v>48</v>
      </c>
      <c r="D2711" s="35" t="s">
        <v>157</v>
      </c>
      <c r="E2711" s="35"/>
      <c r="F2711" s="35"/>
      <c r="G2711" s="35" t="s">
        <v>679</v>
      </c>
      <c r="H2711" s="35" t="s">
        <v>61</v>
      </c>
      <c r="I2711" s="4"/>
    </row>
    <row r="2712" customFormat="false" ht="15" hidden="false" customHeight="false" outlineLevel="0" collapsed="false">
      <c r="A2712" s="35" t="s">
        <v>6300</v>
      </c>
      <c r="B2712" s="35" t="s">
        <v>6301</v>
      </c>
      <c r="C2712" s="35" t="s">
        <v>48</v>
      </c>
      <c r="D2712" s="35" t="s">
        <v>114</v>
      </c>
      <c r="E2712" s="35"/>
      <c r="F2712" s="35"/>
      <c r="G2712" s="35" t="s">
        <v>679</v>
      </c>
      <c r="H2712" s="35" t="s">
        <v>61</v>
      </c>
      <c r="I2712" s="4"/>
    </row>
    <row r="2713" customFormat="false" ht="15" hidden="false" customHeight="false" outlineLevel="0" collapsed="false">
      <c r="A2713" s="35" t="s">
        <v>6302</v>
      </c>
      <c r="B2713" s="35" t="s">
        <v>6303</v>
      </c>
      <c r="C2713" s="35" t="s">
        <v>48</v>
      </c>
      <c r="D2713" s="35" t="s">
        <v>157</v>
      </c>
      <c r="E2713" s="35"/>
      <c r="F2713" s="35"/>
      <c r="G2713" s="35" t="s">
        <v>679</v>
      </c>
      <c r="H2713" s="35" t="s">
        <v>61</v>
      </c>
      <c r="I2713" s="4"/>
    </row>
    <row r="2714" customFormat="false" ht="15" hidden="false" customHeight="false" outlineLevel="0" collapsed="false">
      <c r="A2714" s="35" t="s">
        <v>6304</v>
      </c>
      <c r="B2714" s="35" t="s">
        <v>6305</v>
      </c>
      <c r="C2714" s="35" t="s">
        <v>48</v>
      </c>
      <c r="D2714" s="35" t="s">
        <v>146</v>
      </c>
      <c r="E2714" s="35"/>
      <c r="F2714" s="35"/>
      <c r="G2714" s="35" t="s">
        <v>679</v>
      </c>
      <c r="H2714" s="35" t="s">
        <v>61</v>
      </c>
      <c r="I2714" s="4"/>
    </row>
    <row r="2715" customFormat="false" ht="15" hidden="false" customHeight="false" outlineLevel="0" collapsed="false">
      <c r="A2715" s="35" t="s">
        <v>6306</v>
      </c>
      <c r="B2715" s="35" t="s">
        <v>6307</v>
      </c>
      <c r="C2715" s="35" t="s">
        <v>48</v>
      </c>
      <c r="D2715" s="35" t="s">
        <v>107</v>
      </c>
      <c r="E2715" s="35" t="s">
        <v>832</v>
      </c>
      <c r="F2715" s="35" t="s">
        <v>2147</v>
      </c>
      <c r="G2715" s="35" t="s">
        <v>328</v>
      </c>
      <c r="H2715" s="35" t="s">
        <v>61</v>
      </c>
      <c r="I2715" s="4"/>
    </row>
    <row r="2716" customFormat="false" ht="15" hidden="false" customHeight="false" outlineLevel="0" collapsed="false">
      <c r="A2716" s="35" t="s">
        <v>6308</v>
      </c>
      <c r="B2716" s="35" t="s">
        <v>6309</v>
      </c>
      <c r="C2716" s="35" t="s">
        <v>48</v>
      </c>
      <c r="D2716" s="35" t="s">
        <v>107</v>
      </c>
      <c r="E2716" s="35" t="s">
        <v>1237</v>
      </c>
      <c r="F2716" s="35"/>
      <c r="G2716" s="35" t="s">
        <v>444</v>
      </c>
      <c r="H2716" s="35" t="s">
        <v>61</v>
      </c>
      <c r="I2716" s="4"/>
    </row>
    <row r="2717" customFormat="false" ht="15" hidden="false" customHeight="false" outlineLevel="0" collapsed="false">
      <c r="A2717" s="35" t="s">
        <v>6310</v>
      </c>
      <c r="B2717" s="35" t="s">
        <v>6311</v>
      </c>
      <c r="C2717" s="35" t="s">
        <v>48</v>
      </c>
      <c r="D2717" s="35" t="s">
        <v>107</v>
      </c>
      <c r="E2717" s="35" t="s">
        <v>1237</v>
      </c>
      <c r="F2717" s="35"/>
      <c r="G2717" s="35" t="s">
        <v>444</v>
      </c>
      <c r="H2717" s="35" t="s">
        <v>61</v>
      </c>
      <c r="I2717" s="4"/>
    </row>
    <row r="2718" customFormat="false" ht="15" hidden="false" customHeight="false" outlineLevel="0" collapsed="false">
      <c r="A2718" s="35" t="s">
        <v>6312</v>
      </c>
      <c r="B2718" s="35" t="s">
        <v>6313</v>
      </c>
      <c r="C2718" s="35" t="s">
        <v>48</v>
      </c>
      <c r="D2718" s="35" t="s">
        <v>53</v>
      </c>
      <c r="E2718" s="35"/>
      <c r="F2718" s="35"/>
      <c r="G2718" s="35" t="s">
        <v>444</v>
      </c>
      <c r="H2718" s="35" t="s">
        <v>61</v>
      </c>
      <c r="I2718" s="4"/>
    </row>
    <row r="2719" customFormat="false" ht="15" hidden="false" customHeight="false" outlineLevel="0" collapsed="false">
      <c r="A2719" s="35" t="s">
        <v>491</v>
      </c>
      <c r="B2719" s="35" t="s">
        <v>492</v>
      </c>
      <c r="C2719" s="35" t="s">
        <v>48</v>
      </c>
      <c r="D2719" s="35" t="s">
        <v>107</v>
      </c>
      <c r="E2719" s="35" t="s">
        <v>484</v>
      </c>
      <c r="F2719" s="35"/>
      <c r="G2719" s="35" t="s">
        <v>444</v>
      </c>
      <c r="H2719" s="35" t="s">
        <v>61</v>
      </c>
      <c r="I2719" s="4" t="s">
        <v>2025</v>
      </c>
    </row>
    <row r="2720" customFormat="false" ht="15" hidden="false" customHeight="false" outlineLevel="0" collapsed="false">
      <c r="A2720" s="35" t="s">
        <v>1791</v>
      </c>
      <c r="B2720" s="35" t="s">
        <v>6314</v>
      </c>
      <c r="C2720" s="35" t="s">
        <v>48</v>
      </c>
      <c r="D2720" s="35" t="s">
        <v>107</v>
      </c>
      <c r="E2720" s="35" t="s">
        <v>1790</v>
      </c>
      <c r="F2720" s="35"/>
      <c r="G2720" s="35" t="s">
        <v>444</v>
      </c>
      <c r="H2720" s="35" t="s">
        <v>61</v>
      </c>
      <c r="I2720" s="4"/>
    </row>
    <row r="2721" customFormat="false" ht="15" hidden="false" customHeight="false" outlineLevel="0" collapsed="false">
      <c r="A2721" s="35" t="s">
        <v>1035</v>
      </c>
      <c r="B2721" s="35" t="s">
        <v>6315</v>
      </c>
      <c r="C2721" s="35" t="s">
        <v>48</v>
      </c>
      <c r="D2721" s="35" t="s">
        <v>57</v>
      </c>
      <c r="E2721" s="35" t="s">
        <v>1035</v>
      </c>
      <c r="F2721" s="35"/>
      <c r="G2721" s="35" t="s">
        <v>735</v>
      </c>
      <c r="H2721" s="35" t="s">
        <v>61</v>
      </c>
      <c r="I2721" s="4"/>
    </row>
    <row r="2722" customFormat="false" ht="15" hidden="false" customHeight="false" outlineLevel="0" collapsed="false">
      <c r="A2722" s="35" t="s">
        <v>6316</v>
      </c>
      <c r="B2722" s="35" t="s">
        <v>6317</v>
      </c>
      <c r="C2722" s="35" t="s">
        <v>48</v>
      </c>
      <c r="D2722" s="35" t="s">
        <v>53</v>
      </c>
      <c r="E2722" s="35"/>
      <c r="F2722" s="35"/>
      <c r="G2722" s="35" t="s">
        <v>680</v>
      </c>
      <c r="H2722" s="35" t="s">
        <v>61</v>
      </c>
      <c r="I2722" s="4"/>
    </row>
    <row r="2723" customFormat="false" ht="15" hidden="false" customHeight="false" outlineLevel="0" collapsed="false">
      <c r="A2723" s="35" t="s">
        <v>3772</v>
      </c>
      <c r="B2723" s="35" t="s">
        <v>6318</v>
      </c>
      <c r="C2723" s="35" t="s">
        <v>48</v>
      </c>
      <c r="D2723" s="35" t="s">
        <v>157</v>
      </c>
      <c r="E2723" s="35"/>
      <c r="F2723" s="35"/>
      <c r="G2723" s="35" t="s">
        <v>328</v>
      </c>
      <c r="H2723" s="35" t="s">
        <v>369</v>
      </c>
      <c r="I2723" s="4"/>
    </row>
    <row r="2724" customFormat="false" ht="15" hidden="false" customHeight="false" outlineLevel="0" collapsed="false">
      <c r="A2724" s="35" t="s">
        <v>1792</v>
      </c>
      <c r="B2724" s="35" t="s">
        <v>6319</v>
      </c>
      <c r="C2724" s="35" t="s">
        <v>48</v>
      </c>
      <c r="D2724" s="35" t="s">
        <v>107</v>
      </c>
      <c r="E2724" s="35" t="s">
        <v>1792</v>
      </c>
      <c r="F2724" s="35"/>
      <c r="G2724" s="35" t="s">
        <v>417</v>
      </c>
      <c r="H2724" s="35" t="s">
        <v>245</v>
      </c>
      <c r="I2724" s="4"/>
    </row>
    <row r="2725" customFormat="false" ht="15" hidden="false" customHeight="false" outlineLevel="0" collapsed="false">
      <c r="A2725" s="35" t="s">
        <v>6320</v>
      </c>
      <c r="B2725" s="35" t="s">
        <v>6321</v>
      </c>
      <c r="C2725" s="35" t="s">
        <v>48</v>
      </c>
      <c r="D2725" s="35" t="s">
        <v>107</v>
      </c>
      <c r="E2725" s="35" t="s">
        <v>1037</v>
      </c>
      <c r="F2725" s="35"/>
      <c r="G2725" s="35" t="s">
        <v>700</v>
      </c>
      <c r="H2725" s="35" t="s">
        <v>61</v>
      </c>
      <c r="I2725" s="4"/>
    </row>
    <row r="2726" customFormat="false" ht="15" hidden="false" customHeight="false" outlineLevel="0" collapsed="false">
      <c r="A2726" s="35" t="s">
        <v>6322</v>
      </c>
      <c r="B2726" s="35" t="s">
        <v>6323</v>
      </c>
      <c r="C2726" s="35" t="s">
        <v>48</v>
      </c>
      <c r="D2726" s="35" t="s">
        <v>107</v>
      </c>
      <c r="E2726" s="35" t="s">
        <v>1039</v>
      </c>
      <c r="F2726" s="35"/>
      <c r="G2726" s="35" t="s">
        <v>700</v>
      </c>
      <c r="H2726" s="35" t="s">
        <v>61</v>
      </c>
      <c r="I2726" s="4"/>
    </row>
    <row r="2727" customFormat="false" ht="15" hidden="false" customHeight="false" outlineLevel="0" collapsed="false">
      <c r="A2727" s="35" t="s">
        <v>6324</v>
      </c>
      <c r="B2727" s="35" t="s">
        <v>6325</v>
      </c>
      <c r="C2727" s="35" t="s">
        <v>48</v>
      </c>
      <c r="D2727" s="35" t="s">
        <v>107</v>
      </c>
      <c r="E2727" s="35" t="s">
        <v>1039</v>
      </c>
      <c r="F2727" s="35"/>
      <c r="G2727" s="35" t="s">
        <v>700</v>
      </c>
      <c r="H2727" s="35" t="s">
        <v>61</v>
      </c>
      <c r="I2727" s="4"/>
    </row>
    <row r="2728" customFormat="false" ht="15" hidden="false" customHeight="false" outlineLevel="0" collapsed="false">
      <c r="A2728" s="35" t="s">
        <v>6326</v>
      </c>
      <c r="B2728" s="35" t="s">
        <v>6327</v>
      </c>
      <c r="C2728" s="35" t="s">
        <v>48</v>
      </c>
      <c r="D2728" s="35" t="s">
        <v>114</v>
      </c>
      <c r="E2728" s="35"/>
      <c r="F2728" s="35"/>
      <c r="G2728" s="35" t="s">
        <v>571</v>
      </c>
      <c r="H2728" s="35" t="s">
        <v>61</v>
      </c>
      <c r="I2728" s="4"/>
    </row>
    <row r="2729" customFormat="false" ht="15" hidden="false" customHeight="false" outlineLevel="0" collapsed="false">
      <c r="A2729" s="35" t="s">
        <v>6328</v>
      </c>
      <c r="B2729" s="35" t="s">
        <v>6329</v>
      </c>
      <c r="C2729" s="35" t="s">
        <v>48</v>
      </c>
      <c r="D2729" s="35" t="s">
        <v>107</v>
      </c>
      <c r="E2729" s="35" t="s">
        <v>1037</v>
      </c>
      <c r="F2729" s="35"/>
      <c r="G2729" s="35" t="s">
        <v>700</v>
      </c>
      <c r="H2729" s="35" t="s">
        <v>61</v>
      </c>
      <c r="I2729" s="4"/>
    </row>
    <row r="2730" customFormat="false" ht="15" hidden="false" customHeight="false" outlineLevel="0" collapsed="false">
      <c r="A2730" s="35" t="s">
        <v>6330</v>
      </c>
      <c r="B2730" s="35" t="s">
        <v>6331</v>
      </c>
      <c r="C2730" s="35" t="s">
        <v>48</v>
      </c>
      <c r="D2730" s="35" t="s">
        <v>107</v>
      </c>
      <c r="E2730" s="35" t="s">
        <v>1037</v>
      </c>
      <c r="F2730" s="35" t="s">
        <v>2534</v>
      </c>
      <c r="G2730" s="35" t="s">
        <v>700</v>
      </c>
      <c r="H2730" s="35" t="s">
        <v>61</v>
      </c>
      <c r="I2730" s="4"/>
    </row>
    <row r="2731" customFormat="false" ht="15" hidden="false" customHeight="false" outlineLevel="0" collapsed="false">
      <c r="A2731" s="35" t="s">
        <v>6332</v>
      </c>
      <c r="B2731" s="35" t="s">
        <v>6333</v>
      </c>
      <c r="C2731" s="35" t="s">
        <v>48</v>
      </c>
      <c r="D2731" s="35" t="s">
        <v>107</v>
      </c>
      <c r="E2731" s="35" t="s">
        <v>1043</v>
      </c>
      <c r="F2731" s="35"/>
      <c r="G2731" s="35" t="s">
        <v>700</v>
      </c>
      <c r="H2731" s="35" t="s">
        <v>61</v>
      </c>
      <c r="I2731" s="4"/>
    </row>
    <row r="2732" customFormat="false" ht="15" hidden="false" customHeight="false" outlineLevel="0" collapsed="false">
      <c r="A2732" s="35" t="s">
        <v>6334</v>
      </c>
      <c r="B2732" s="35" t="s">
        <v>6335</v>
      </c>
      <c r="C2732" s="35" t="s">
        <v>48</v>
      </c>
      <c r="D2732" s="35" t="s">
        <v>107</v>
      </c>
      <c r="E2732" s="35" t="s">
        <v>1043</v>
      </c>
      <c r="F2732" s="35"/>
      <c r="G2732" s="35" t="s">
        <v>700</v>
      </c>
      <c r="H2732" s="35" t="s">
        <v>61</v>
      </c>
      <c r="I2732" s="4"/>
    </row>
    <row r="2733" customFormat="false" ht="15" hidden="false" customHeight="false" outlineLevel="0" collapsed="false">
      <c r="A2733" s="35" t="s">
        <v>6336</v>
      </c>
      <c r="B2733" s="35" t="s">
        <v>6337</v>
      </c>
      <c r="C2733" s="35" t="s">
        <v>48</v>
      </c>
      <c r="D2733" s="35" t="s">
        <v>107</v>
      </c>
      <c r="E2733" s="35" t="s">
        <v>1043</v>
      </c>
      <c r="F2733" s="35"/>
      <c r="G2733" s="35" t="s">
        <v>700</v>
      </c>
      <c r="H2733" s="35" t="s">
        <v>61</v>
      </c>
      <c r="I2733" s="4"/>
    </row>
    <row r="2734" customFormat="false" ht="15" hidden="false" customHeight="false" outlineLevel="0" collapsed="false">
      <c r="A2734" s="35" t="s">
        <v>6338</v>
      </c>
      <c r="B2734" s="35" t="s">
        <v>6339</v>
      </c>
      <c r="C2734" s="35" t="s">
        <v>48</v>
      </c>
      <c r="D2734" s="35" t="s">
        <v>107</v>
      </c>
      <c r="E2734" s="35" t="s">
        <v>1041</v>
      </c>
      <c r="F2734" s="35"/>
      <c r="G2734" s="35" t="s">
        <v>700</v>
      </c>
      <c r="H2734" s="35" t="s">
        <v>61</v>
      </c>
      <c r="I2734" s="4"/>
    </row>
    <row r="2735" customFormat="false" ht="15" hidden="false" customHeight="false" outlineLevel="0" collapsed="false">
      <c r="A2735" s="35" t="s">
        <v>6340</v>
      </c>
      <c r="B2735" s="35" t="s">
        <v>6341</v>
      </c>
      <c r="C2735" s="35" t="s">
        <v>48</v>
      </c>
      <c r="D2735" s="35" t="s">
        <v>107</v>
      </c>
      <c r="E2735" s="35" t="s">
        <v>1025</v>
      </c>
      <c r="F2735" s="35"/>
      <c r="G2735" s="35" t="s">
        <v>417</v>
      </c>
      <c r="H2735" s="35" t="s">
        <v>61</v>
      </c>
      <c r="I2735" s="4"/>
    </row>
    <row r="2736" customFormat="false" ht="15" hidden="false" customHeight="false" outlineLevel="0" collapsed="false">
      <c r="A2736" s="35" t="s">
        <v>6342</v>
      </c>
      <c r="B2736" s="35" t="s">
        <v>6343</v>
      </c>
      <c r="C2736" s="35" t="s">
        <v>48</v>
      </c>
      <c r="D2736" s="35" t="s">
        <v>114</v>
      </c>
      <c r="E2736" s="35"/>
      <c r="F2736" s="35" t="s">
        <v>2928</v>
      </c>
      <c r="G2736" s="35" t="s">
        <v>328</v>
      </c>
      <c r="H2736" s="35" t="s">
        <v>61</v>
      </c>
      <c r="I2736" s="4"/>
    </row>
    <row r="2737" customFormat="false" ht="15" hidden="false" customHeight="false" outlineLevel="0" collapsed="false">
      <c r="A2737" s="35" t="s">
        <v>1749</v>
      </c>
      <c r="B2737" s="35" t="s">
        <v>6344</v>
      </c>
      <c r="C2737" s="35" t="s">
        <v>48</v>
      </c>
      <c r="D2737" s="35" t="s">
        <v>107</v>
      </c>
      <c r="E2737" s="35" t="s">
        <v>1748</v>
      </c>
      <c r="F2737" s="35"/>
      <c r="G2737" s="35" t="s">
        <v>262</v>
      </c>
      <c r="H2737" s="35" t="s">
        <v>61</v>
      </c>
      <c r="I2737" s="4"/>
    </row>
    <row r="2738" customFormat="false" ht="15" hidden="false" customHeight="false" outlineLevel="0" collapsed="false">
      <c r="A2738" s="35" t="s">
        <v>261</v>
      </c>
      <c r="B2738" s="35" t="s">
        <v>263</v>
      </c>
      <c r="C2738" s="35" t="s">
        <v>48</v>
      </c>
      <c r="D2738" s="35" t="s">
        <v>57</v>
      </c>
      <c r="E2738" s="35" t="s">
        <v>262</v>
      </c>
      <c r="F2738" s="35"/>
      <c r="G2738" s="35" t="s">
        <v>262</v>
      </c>
      <c r="H2738" s="35" t="s">
        <v>50</v>
      </c>
      <c r="I2738" s="4" t="s">
        <v>2025</v>
      </c>
    </row>
    <row r="2739" customFormat="false" ht="15" hidden="false" customHeight="false" outlineLevel="0" collapsed="false">
      <c r="A2739" s="35" t="s">
        <v>6345</v>
      </c>
      <c r="B2739" s="35" t="s">
        <v>6346</v>
      </c>
      <c r="C2739" s="35" t="s">
        <v>48</v>
      </c>
      <c r="D2739" s="35" t="s">
        <v>57</v>
      </c>
      <c r="E2739" s="35" t="s">
        <v>262</v>
      </c>
      <c r="F2739" s="35"/>
      <c r="G2739" s="35" t="s">
        <v>49</v>
      </c>
      <c r="H2739" s="35" t="s">
        <v>49</v>
      </c>
      <c r="I2739" s="4"/>
    </row>
    <row r="2740" customFormat="false" ht="15" hidden="false" customHeight="false" outlineLevel="0" collapsed="false">
      <c r="A2740" s="35" t="s">
        <v>6347</v>
      </c>
      <c r="B2740" s="35" t="s">
        <v>6348</v>
      </c>
      <c r="C2740" s="35" t="s">
        <v>48</v>
      </c>
      <c r="D2740" s="35" t="s">
        <v>107</v>
      </c>
      <c r="E2740" s="35" t="s">
        <v>261</v>
      </c>
      <c r="F2740" s="35"/>
      <c r="G2740" s="35" t="s">
        <v>262</v>
      </c>
      <c r="H2740" s="35" t="s">
        <v>61</v>
      </c>
      <c r="I2740" s="4"/>
    </row>
    <row r="2741" customFormat="false" ht="15" hidden="false" customHeight="false" outlineLevel="0" collapsed="false">
      <c r="A2741" s="35" t="s">
        <v>6349</v>
      </c>
      <c r="B2741" s="35" t="s">
        <v>263</v>
      </c>
      <c r="C2741" s="35" t="s">
        <v>48</v>
      </c>
      <c r="D2741" s="35" t="s">
        <v>57</v>
      </c>
      <c r="E2741" s="35" t="s">
        <v>262</v>
      </c>
      <c r="F2741" s="35" t="s">
        <v>560</v>
      </c>
      <c r="G2741" s="35" t="s">
        <v>262</v>
      </c>
      <c r="H2741" s="35" t="s">
        <v>61</v>
      </c>
      <c r="I2741" s="4"/>
    </row>
    <row r="2742" customFormat="false" ht="15" hidden="false" customHeight="false" outlineLevel="0" collapsed="false">
      <c r="A2742" s="35" t="s">
        <v>6350</v>
      </c>
      <c r="B2742" s="35" t="s">
        <v>6351</v>
      </c>
      <c r="C2742" s="35" t="s">
        <v>48</v>
      </c>
      <c r="D2742" s="35" t="s">
        <v>53</v>
      </c>
      <c r="E2742" s="35"/>
      <c r="F2742" s="35"/>
      <c r="G2742" s="35" t="s">
        <v>262</v>
      </c>
      <c r="H2742" s="35" t="s">
        <v>61</v>
      </c>
      <c r="I2742" s="4"/>
    </row>
    <row r="2743" customFormat="false" ht="15" hidden="false" customHeight="false" outlineLevel="0" collapsed="false">
      <c r="A2743" s="35" t="s">
        <v>6352</v>
      </c>
      <c r="B2743" s="35" t="s">
        <v>6353</v>
      </c>
      <c r="C2743" s="35" t="s">
        <v>48</v>
      </c>
      <c r="D2743" s="35" t="s">
        <v>53</v>
      </c>
      <c r="E2743" s="35"/>
      <c r="F2743" s="35"/>
      <c r="G2743" s="35" t="s">
        <v>262</v>
      </c>
      <c r="H2743" s="35" t="s">
        <v>61</v>
      </c>
      <c r="I2743" s="4"/>
    </row>
    <row r="2744" customFormat="false" ht="15" hidden="false" customHeight="false" outlineLevel="0" collapsed="false">
      <c r="A2744" s="35" t="s">
        <v>6354</v>
      </c>
      <c r="B2744" s="35" t="s">
        <v>6355</v>
      </c>
      <c r="C2744" s="35" t="s">
        <v>48</v>
      </c>
      <c r="D2744" s="35" t="s">
        <v>57</v>
      </c>
      <c r="E2744" s="35" t="s">
        <v>261</v>
      </c>
      <c r="F2744" s="35"/>
      <c r="G2744" s="35" t="s">
        <v>262</v>
      </c>
      <c r="H2744" s="35" t="s">
        <v>61</v>
      </c>
      <c r="I2744" s="4"/>
    </row>
    <row r="2745" customFormat="false" ht="15" hidden="false" customHeight="false" outlineLevel="0" collapsed="false">
      <c r="A2745" s="35" t="s">
        <v>6356</v>
      </c>
      <c r="B2745" s="35" t="s">
        <v>6357</v>
      </c>
      <c r="C2745" s="35" t="s">
        <v>48</v>
      </c>
      <c r="D2745" s="35" t="s">
        <v>107</v>
      </c>
      <c r="E2745" s="35" t="s">
        <v>313</v>
      </c>
      <c r="F2745" s="35"/>
      <c r="G2745" s="35" t="s">
        <v>262</v>
      </c>
      <c r="H2745" s="35" t="s">
        <v>61</v>
      </c>
      <c r="I2745" s="4"/>
    </row>
    <row r="2746" customFormat="false" ht="15" hidden="false" customHeight="false" outlineLevel="0" collapsed="false">
      <c r="A2746" s="35" t="s">
        <v>265</v>
      </c>
      <c r="B2746" s="35" t="s">
        <v>266</v>
      </c>
      <c r="C2746" s="35" t="s">
        <v>48</v>
      </c>
      <c r="D2746" s="35" t="s">
        <v>57</v>
      </c>
      <c r="E2746" s="35" t="s">
        <v>261</v>
      </c>
      <c r="F2746" s="35"/>
      <c r="G2746" s="35" t="s">
        <v>262</v>
      </c>
      <c r="H2746" s="35" t="s">
        <v>267</v>
      </c>
      <c r="I2746" s="4" t="s">
        <v>2025</v>
      </c>
    </row>
    <row r="2747" customFormat="false" ht="15" hidden="false" customHeight="false" outlineLevel="0" collapsed="false">
      <c r="A2747" s="35" t="s">
        <v>6358</v>
      </c>
      <c r="B2747" s="35" t="s">
        <v>6359</v>
      </c>
      <c r="C2747" s="35" t="s">
        <v>48</v>
      </c>
      <c r="D2747" s="35" t="s">
        <v>107</v>
      </c>
      <c r="E2747" s="35" t="s">
        <v>262</v>
      </c>
      <c r="F2747" s="35"/>
      <c r="G2747" s="35" t="s">
        <v>262</v>
      </c>
      <c r="H2747" s="35" t="s">
        <v>61</v>
      </c>
      <c r="I2747" s="4"/>
    </row>
    <row r="2748" customFormat="false" ht="15" hidden="false" customHeight="false" outlineLevel="0" collapsed="false">
      <c r="A2748" s="35" t="s">
        <v>6360</v>
      </c>
      <c r="B2748" s="35" t="s">
        <v>6361</v>
      </c>
      <c r="C2748" s="35" t="s">
        <v>48</v>
      </c>
      <c r="D2748" s="35" t="s">
        <v>107</v>
      </c>
      <c r="E2748" s="35" t="s">
        <v>261</v>
      </c>
      <c r="F2748" s="35"/>
      <c r="G2748" s="35" t="s">
        <v>262</v>
      </c>
      <c r="H2748" s="35" t="s">
        <v>245</v>
      </c>
      <c r="I2748" s="4"/>
    </row>
    <row r="2749" customFormat="false" ht="15" hidden="false" customHeight="false" outlineLevel="0" collapsed="false">
      <c r="A2749" s="35" t="s">
        <v>6362</v>
      </c>
      <c r="B2749" s="35" t="s">
        <v>6363</v>
      </c>
      <c r="C2749" s="35" t="s">
        <v>48</v>
      </c>
      <c r="D2749" s="35" t="s">
        <v>107</v>
      </c>
      <c r="E2749" s="35" t="s">
        <v>261</v>
      </c>
      <c r="F2749" s="35"/>
      <c r="G2749" s="35" t="s">
        <v>686</v>
      </c>
      <c r="H2749" s="35" t="s">
        <v>61</v>
      </c>
      <c r="I2749" s="4"/>
    </row>
    <row r="2750" customFormat="false" ht="15" hidden="false" customHeight="false" outlineLevel="0" collapsed="false">
      <c r="A2750" s="35" t="s">
        <v>6364</v>
      </c>
      <c r="B2750" s="35" t="s">
        <v>6365</v>
      </c>
      <c r="C2750" s="35" t="s">
        <v>48</v>
      </c>
      <c r="D2750" s="35" t="s">
        <v>57</v>
      </c>
      <c r="E2750" s="35" t="s">
        <v>262</v>
      </c>
      <c r="F2750" s="35"/>
      <c r="G2750" s="35" t="s">
        <v>262</v>
      </c>
      <c r="H2750" s="35" t="s">
        <v>61</v>
      </c>
      <c r="I2750" s="4"/>
    </row>
    <row r="2751" customFormat="false" ht="15" hidden="false" customHeight="false" outlineLevel="0" collapsed="false">
      <c r="A2751" s="35" t="s">
        <v>6366</v>
      </c>
      <c r="B2751" s="35" t="s">
        <v>6367</v>
      </c>
      <c r="C2751" s="35" t="s">
        <v>48</v>
      </c>
      <c r="D2751" s="35" t="s">
        <v>107</v>
      </c>
      <c r="E2751" s="35" t="s">
        <v>261</v>
      </c>
      <c r="F2751" s="35"/>
      <c r="G2751" s="35" t="s">
        <v>49</v>
      </c>
      <c r="H2751" s="35" t="s">
        <v>49</v>
      </c>
      <c r="I2751" s="4"/>
    </row>
    <row r="2752" customFormat="false" ht="15" hidden="false" customHeight="false" outlineLevel="0" collapsed="false">
      <c r="A2752" s="35" t="s">
        <v>6368</v>
      </c>
      <c r="B2752" s="35" t="s">
        <v>6369</v>
      </c>
      <c r="C2752" s="35" t="s">
        <v>48</v>
      </c>
      <c r="D2752" s="35" t="s">
        <v>107</v>
      </c>
      <c r="E2752" s="35" t="s">
        <v>261</v>
      </c>
      <c r="F2752" s="35"/>
      <c r="G2752" s="35" t="s">
        <v>262</v>
      </c>
      <c r="H2752" s="35" t="s">
        <v>61</v>
      </c>
      <c r="I2752" s="4"/>
    </row>
    <row r="2753" customFormat="false" ht="15" hidden="false" customHeight="false" outlineLevel="0" collapsed="false">
      <c r="A2753" s="35" t="s">
        <v>6370</v>
      </c>
      <c r="B2753" s="35" t="s">
        <v>6371</v>
      </c>
      <c r="C2753" s="35" t="s">
        <v>48</v>
      </c>
      <c r="D2753" s="35" t="s">
        <v>107</v>
      </c>
      <c r="E2753" s="35" t="s">
        <v>261</v>
      </c>
      <c r="F2753" s="35"/>
      <c r="G2753" s="35" t="s">
        <v>262</v>
      </c>
      <c r="H2753" s="35" t="s">
        <v>61</v>
      </c>
      <c r="I2753" s="4"/>
    </row>
    <row r="2754" customFormat="false" ht="15" hidden="false" customHeight="false" outlineLevel="0" collapsed="false">
      <c r="A2754" s="35" t="s">
        <v>1283</v>
      </c>
      <c r="B2754" s="35" t="s">
        <v>6372</v>
      </c>
      <c r="C2754" s="35" t="s">
        <v>48</v>
      </c>
      <c r="D2754" s="35" t="s">
        <v>107</v>
      </c>
      <c r="E2754" s="35" t="s">
        <v>1282</v>
      </c>
      <c r="F2754" s="35"/>
      <c r="G2754" s="35" t="s">
        <v>776</v>
      </c>
      <c r="H2754" s="35" t="s">
        <v>2233</v>
      </c>
      <c r="I2754" s="4"/>
    </row>
    <row r="2755" customFormat="false" ht="15" hidden="false" customHeight="false" outlineLevel="0" collapsed="false">
      <c r="A2755" s="35" t="s">
        <v>6373</v>
      </c>
      <c r="B2755" s="35" t="s">
        <v>6374</v>
      </c>
      <c r="C2755" s="35" t="s">
        <v>48</v>
      </c>
      <c r="D2755" s="35" t="s">
        <v>107</v>
      </c>
      <c r="E2755" s="35" t="s">
        <v>903</v>
      </c>
      <c r="F2755" s="35"/>
      <c r="G2755" s="35" t="s">
        <v>421</v>
      </c>
      <c r="H2755" s="35" t="s">
        <v>61</v>
      </c>
      <c r="I2755" s="4"/>
    </row>
    <row r="2756" customFormat="false" ht="15" hidden="false" customHeight="false" outlineLevel="0" collapsed="false">
      <c r="A2756" s="35" t="s">
        <v>1675</v>
      </c>
      <c r="B2756" s="35" t="s">
        <v>6375</v>
      </c>
      <c r="C2756" s="35" t="s">
        <v>48</v>
      </c>
      <c r="D2756" s="35" t="s">
        <v>107</v>
      </c>
      <c r="E2756" s="35" t="s">
        <v>1674</v>
      </c>
      <c r="F2756" s="35"/>
      <c r="G2756" s="35" t="s">
        <v>188</v>
      </c>
      <c r="H2756" s="35" t="s">
        <v>61</v>
      </c>
      <c r="I2756" s="4"/>
    </row>
    <row r="2757" customFormat="false" ht="15" hidden="false" customHeight="false" outlineLevel="0" collapsed="false">
      <c r="A2757" s="35" t="s">
        <v>6376</v>
      </c>
      <c r="B2757" s="35" t="s">
        <v>6377</v>
      </c>
      <c r="C2757" s="35" t="s">
        <v>48</v>
      </c>
      <c r="D2757" s="35" t="s">
        <v>107</v>
      </c>
      <c r="E2757" s="35" t="s">
        <v>1241</v>
      </c>
      <c r="F2757" s="35"/>
      <c r="G2757" s="35" t="s">
        <v>571</v>
      </c>
      <c r="H2757" s="35" t="s">
        <v>61</v>
      </c>
      <c r="I2757" s="4"/>
    </row>
    <row r="2758" customFormat="false" ht="15" hidden="false" customHeight="false" outlineLevel="0" collapsed="false">
      <c r="A2758" s="35" t="s">
        <v>6378</v>
      </c>
      <c r="B2758" s="35" t="s">
        <v>6379</v>
      </c>
      <c r="C2758" s="35" t="s">
        <v>48</v>
      </c>
      <c r="D2758" s="35" t="s">
        <v>57</v>
      </c>
      <c r="E2758" s="35" t="s">
        <v>553</v>
      </c>
      <c r="F2758" s="35"/>
      <c r="G2758" s="35" t="s">
        <v>571</v>
      </c>
      <c r="H2758" s="35" t="s">
        <v>61</v>
      </c>
      <c r="I2758" s="4"/>
    </row>
    <row r="2759" customFormat="false" ht="15" hidden="false" customHeight="false" outlineLevel="0" collapsed="false">
      <c r="A2759" s="35" t="s">
        <v>583</v>
      </c>
      <c r="B2759" s="35" t="s">
        <v>584</v>
      </c>
      <c r="C2759" s="35" t="s">
        <v>48</v>
      </c>
      <c r="D2759" s="35" t="s">
        <v>53</v>
      </c>
      <c r="E2759" s="35"/>
      <c r="F2759" s="35"/>
      <c r="G2759" s="35" t="s">
        <v>571</v>
      </c>
      <c r="H2759" s="35" t="s">
        <v>61</v>
      </c>
      <c r="I2759" s="4" t="s">
        <v>2025</v>
      </c>
    </row>
    <row r="2760" customFormat="false" ht="15" hidden="false" customHeight="false" outlineLevel="0" collapsed="false">
      <c r="A2760" s="35" t="s">
        <v>6380</v>
      </c>
      <c r="B2760" s="35" t="s">
        <v>6381</v>
      </c>
      <c r="C2760" s="35" t="s">
        <v>48</v>
      </c>
      <c r="D2760" s="35" t="s">
        <v>146</v>
      </c>
      <c r="E2760" s="35"/>
      <c r="F2760" s="35"/>
      <c r="G2760" s="35" t="s">
        <v>571</v>
      </c>
      <c r="H2760" s="35" t="s">
        <v>61</v>
      </c>
      <c r="I2760" s="4"/>
    </row>
    <row r="2761" customFormat="false" ht="15" hidden="false" customHeight="false" outlineLevel="0" collapsed="false">
      <c r="A2761" s="35" t="s">
        <v>6382</v>
      </c>
      <c r="B2761" s="35" t="s">
        <v>6383</v>
      </c>
      <c r="C2761" s="35" t="s">
        <v>48</v>
      </c>
      <c r="D2761" s="35" t="s">
        <v>146</v>
      </c>
      <c r="E2761" s="35"/>
      <c r="F2761" s="35" t="s">
        <v>2534</v>
      </c>
      <c r="G2761" s="35" t="s">
        <v>571</v>
      </c>
      <c r="H2761" s="35" t="s">
        <v>61</v>
      </c>
      <c r="I2761" s="4"/>
    </row>
    <row r="2762" customFormat="false" ht="15" hidden="false" customHeight="false" outlineLevel="0" collapsed="false">
      <c r="A2762" s="35" t="s">
        <v>1608</v>
      </c>
      <c r="B2762" s="35" t="s">
        <v>6384</v>
      </c>
      <c r="C2762" s="35" t="s">
        <v>48</v>
      </c>
      <c r="D2762" s="35" t="s">
        <v>57</v>
      </c>
      <c r="E2762" s="35" t="s">
        <v>1607</v>
      </c>
      <c r="F2762" s="35"/>
      <c r="G2762" s="35" t="s">
        <v>571</v>
      </c>
      <c r="H2762" s="35" t="s">
        <v>61</v>
      </c>
      <c r="I2762" s="4"/>
    </row>
    <row r="2763" customFormat="false" ht="15" hidden="false" customHeight="false" outlineLevel="0" collapsed="false">
      <c r="A2763" s="35" t="s">
        <v>6385</v>
      </c>
      <c r="B2763" s="35" t="s">
        <v>6386</v>
      </c>
      <c r="C2763" s="35" t="s">
        <v>48</v>
      </c>
      <c r="D2763" s="35" t="s">
        <v>146</v>
      </c>
      <c r="E2763" s="35"/>
      <c r="F2763" s="35"/>
      <c r="G2763" s="35" t="s">
        <v>571</v>
      </c>
      <c r="H2763" s="35" t="s">
        <v>61</v>
      </c>
      <c r="I2763" s="4"/>
    </row>
    <row r="2764" customFormat="false" ht="15" hidden="false" customHeight="false" outlineLevel="0" collapsed="false">
      <c r="A2764" s="35" t="s">
        <v>6387</v>
      </c>
      <c r="B2764" s="35" t="s">
        <v>6388</v>
      </c>
      <c r="C2764" s="35" t="s">
        <v>48</v>
      </c>
      <c r="D2764" s="35" t="s">
        <v>146</v>
      </c>
      <c r="E2764" s="35"/>
      <c r="F2764" s="35" t="s">
        <v>2534</v>
      </c>
      <c r="G2764" s="35" t="s">
        <v>571</v>
      </c>
      <c r="H2764" s="35" t="s">
        <v>61</v>
      </c>
      <c r="I2764" s="4"/>
    </row>
    <row r="2765" customFormat="false" ht="15" hidden="false" customHeight="false" outlineLevel="0" collapsed="false">
      <c r="A2765" s="35" t="s">
        <v>6389</v>
      </c>
      <c r="B2765" s="35" t="s">
        <v>6390</v>
      </c>
      <c r="C2765" s="35" t="s">
        <v>48</v>
      </c>
      <c r="D2765" s="35" t="s">
        <v>57</v>
      </c>
      <c r="E2765" s="35" t="s">
        <v>553</v>
      </c>
      <c r="F2765" s="35"/>
      <c r="G2765" s="35" t="s">
        <v>571</v>
      </c>
      <c r="H2765" s="35" t="s">
        <v>61</v>
      </c>
      <c r="I2765" s="4"/>
    </row>
    <row r="2766" customFormat="false" ht="15" hidden="false" customHeight="false" outlineLevel="0" collapsed="false">
      <c r="A2766" s="35" t="s">
        <v>6391</v>
      </c>
      <c r="B2766" s="35" t="s">
        <v>6392</v>
      </c>
      <c r="C2766" s="35" t="s">
        <v>48</v>
      </c>
      <c r="D2766" s="35" t="s">
        <v>114</v>
      </c>
      <c r="E2766" s="35"/>
      <c r="F2766" s="35"/>
      <c r="G2766" s="35" t="s">
        <v>421</v>
      </c>
      <c r="H2766" s="35" t="s">
        <v>61</v>
      </c>
      <c r="I2766" s="4"/>
    </row>
    <row r="2767" customFormat="false" ht="15" hidden="false" customHeight="false" outlineLevel="0" collapsed="false">
      <c r="A2767" s="35" t="s">
        <v>6393</v>
      </c>
      <c r="B2767" s="35" t="s">
        <v>6394</v>
      </c>
      <c r="C2767" s="35" t="s">
        <v>48</v>
      </c>
      <c r="D2767" s="35" t="s">
        <v>107</v>
      </c>
      <c r="E2767" s="35" t="s">
        <v>587</v>
      </c>
      <c r="F2767" s="35"/>
      <c r="G2767" s="35" t="s">
        <v>571</v>
      </c>
      <c r="H2767" s="35" t="s">
        <v>61</v>
      </c>
      <c r="I2767" s="4"/>
    </row>
    <row r="2768" customFormat="false" ht="15" hidden="false" customHeight="false" outlineLevel="0" collapsed="false">
      <c r="A2768" s="35" t="s">
        <v>1794</v>
      </c>
      <c r="B2768" s="35" t="s">
        <v>6395</v>
      </c>
      <c r="C2768" s="35" t="s">
        <v>48</v>
      </c>
      <c r="D2768" s="35" t="s">
        <v>107</v>
      </c>
      <c r="E2768" s="35" t="s">
        <v>1793</v>
      </c>
      <c r="F2768" s="35"/>
      <c r="G2768" s="35" t="s">
        <v>571</v>
      </c>
      <c r="H2768" s="35" t="s">
        <v>61</v>
      </c>
      <c r="I2768" s="4"/>
    </row>
    <row r="2769" customFormat="false" ht="15" hidden="false" customHeight="false" outlineLevel="0" collapsed="false">
      <c r="A2769" s="35" t="s">
        <v>6396</v>
      </c>
      <c r="B2769" s="35" t="s">
        <v>6397</v>
      </c>
      <c r="C2769" s="35" t="s">
        <v>48</v>
      </c>
      <c r="D2769" s="35" t="s">
        <v>107</v>
      </c>
      <c r="E2769" s="35" t="s">
        <v>587</v>
      </c>
      <c r="F2769" s="35"/>
      <c r="G2769" s="35" t="s">
        <v>49</v>
      </c>
      <c r="H2769" s="35" t="s">
        <v>50</v>
      </c>
      <c r="I2769" s="4"/>
    </row>
    <row r="2770" customFormat="false" ht="15" hidden="false" customHeight="false" outlineLevel="0" collapsed="false">
      <c r="A2770" s="35" t="s">
        <v>1796</v>
      </c>
      <c r="B2770" s="35" t="s">
        <v>6398</v>
      </c>
      <c r="C2770" s="35" t="s">
        <v>48</v>
      </c>
      <c r="D2770" s="35" t="s">
        <v>57</v>
      </c>
      <c r="E2770" s="35" t="s">
        <v>1795</v>
      </c>
      <c r="F2770" s="35"/>
      <c r="G2770" s="35" t="s">
        <v>571</v>
      </c>
      <c r="H2770" s="35" t="s">
        <v>61</v>
      </c>
      <c r="I2770" s="4"/>
    </row>
    <row r="2771" customFormat="false" ht="15" hidden="false" customHeight="false" outlineLevel="0" collapsed="false">
      <c r="A2771" s="35" t="s">
        <v>6399</v>
      </c>
      <c r="B2771" s="35" t="s">
        <v>6400</v>
      </c>
      <c r="C2771" s="35" t="s">
        <v>48</v>
      </c>
      <c r="D2771" s="35" t="s">
        <v>57</v>
      </c>
      <c r="E2771" s="35" t="s">
        <v>1270</v>
      </c>
      <c r="F2771" s="35"/>
      <c r="G2771" s="35" t="s">
        <v>571</v>
      </c>
      <c r="H2771" s="35" t="s">
        <v>61</v>
      </c>
      <c r="I2771" s="4"/>
    </row>
    <row r="2772" customFormat="false" ht="15" hidden="false" customHeight="false" outlineLevel="0" collapsed="false">
      <c r="A2772" s="35" t="s">
        <v>6401</v>
      </c>
      <c r="B2772" s="35" t="s">
        <v>6402</v>
      </c>
      <c r="C2772" s="35" t="s">
        <v>48</v>
      </c>
      <c r="D2772" s="35" t="s">
        <v>53</v>
      </c>
      <c r="E2772" s="35"/>
      <c r="F2772" s="35"/>
      <c r="G2772" s="35" t="s">
        <v>417</v>
      </c>
      <c r="H2772" s="35" t="s">
        <v>61</v>
      </c>
      <c r="I2772" s="4"/>
    </row>
    <row r="2773" customFormat="false" ht="15" hidden="false" customHeight="false" outlineLevel="0" collapsed="false">
      <c r="A2773" s="35" t="s">
        <v>1800</v>
      </c>
      <c r="B2773" s="35" t="s">
        <v>6403</v>
      </c>
      <c r="C2773" s="35" t="s">
        <v>48</v>
      </c>
      <c r="D2773" s="35" t="s">
        <v>107</v>
      </c>
      <c r="E2773" s="35" t="s">
        <v>1799</v>
      </c>
      <c r="F2773" s="35"/>
      <c r="G2773" s="35" t="s">
        <v>417</v>
      </c>
      <c r="H2773" s="35" t="s">
        <v>61</v>
      </c>
      <c r="I2773" s="4"/>
    </row>
    <row r="2774" customFormat="false" ht="15" hidden="false" customHeight="false" outlineLevel="0" collapsed="false">
      <c r="A2774" s="35" t="s">
        <v>6404</v>
      </c>
      <c r="B2774" s="35" t="s">
        <v>6405</v>
      </c>
      <c r="C2774" s="35" t="s">
        <v>48</v>
      </c>
      <c r="D2774" s="35" t="s">
        <v>114</v>
      </c>
      <c r="E2774" s="35"/>
      <c r="F2774" s="35"/>
      <c r="G2774" s="35" t="s">
        <v>571</v>
      </c>
      <c r="H2774" s="35" t="s">
        <v>61</v>
      </c>
      <c r="I2774" s="4"/>
    </row>
    <row r="2775" customFormat="false" ht="15" hidden="false" customHeight="false" outlineLevel="0" collapsed="false">
      <c r="A2775" s="35" t="s">
        <v>6406</v>
      </c>
      <c r="B2775" s="35" t="s">
        <v>6407</v>
      </c>
      <c r="C2775" s="35" t="s">
        <v>48</v>
      </c>
      <c r="D2775" s="35" t="s">
        <v>447</v>
      </c>
      <c r="E2775" s="35"/>
      <c r="F2775" s="35"/>
      <c r="G2775" s="35" t="s">
        <v>444</v>
      </c>
      <c r="H2775" s="35" t="s">
        <v>61</v>
      </c>
      <c r="I2775" s="4"/>
    </row>
    <row r="2776" customFormat="false" ht="15" hidden="false" customHeight="false" outlineLevel="0" collapsed="false">
      <c r="A2776" s="35" t="s">
        <v>6408</v>
      </c>
      <c r="B2776" s="35" t="s">
        <v>6409</v>
      </c>
      <c r="C2776" s="35" t="s">
        <v>48</v>
      </c>
      <c r="D2776" s="35" t="s">
        <v>57</v>
      </c>
      <c r="E2776" s="35" t="s">
        <v>447</v>
      </c>
      <c r="F2776" s="35"/>
      <c r="G2776" s="35" t="s">
        <v>444</v>
      </c>
      <c r="H2776" s="35" t="s">
        <v>61</v>
      </c>
      <c r="I2776" s="4"/>
    </row>
    <row r="2777" customFormat="false" ht="15" hidden="false" customHeight="false" outlineLevel="0" collapsed="false">
      <c r="A2777" s="35" t="s">
        <v>6410</v>
      </c>
      <c r="B2777" s="35" t="s">
        <v>6411</v>
      </c>
      <c r="C2777" s="35" t="s">
        <v>48</v>
      </c>
      <c r="D2777" s="35" t="s">
        <v>57</v>
      </c>
      <c r="E2777" s="35" t="s">
        <v>454</v>
      </c>
      <c r="F2777" s="35"/>
      <c r="G2777" s="35" t="s">
        <v>444</v>
      </c>
      <c r="H2777" s="35" t="s">
        <v>61</v>
      </c>
      <c r="I2777" s="4"/>
    </row>
    <row r="2778" customFormat="false" ht="15" hidden="false" customHeight="false" outlineLevel="0" collapsed="false">
      <c r="A2778" s="35" t="s">
        <v>6412</v>
      </c>
      <c r="B2778" s="35" t="s">
        <v>6413</v>
      </c>
      <c r="C2778" s="35" t="s">
        <v>48</v>
      </c>
      <c r="D2778" s="35" t="s">
        <v>146</v>
      </c>
      <c r="E2778" s="35"/>
      <c r="F2778" s="35"/>
      <c r="G2778" s="35" t="s">
        <v>444</v>
      </c>
      <c r="H2778" s="35" t="s">
        <v>61</v>
      </c>
      <c r="I2778" s="4"/>
    </row>
    <row r="2779" customFormat="false" ht="15" hidden="false" customHeight="false" outlineLevel="0" collapsed="false">
      <c r="A2779" s="35" t="s">
        <v>6414</v>
      </c>
      <c r="B2779" s="35" t="s">
        <v>6415</v>
      </c>
      <c r="C2779" s="35" t="s">
        <v>48</v>
      </c>
      <c r="D2779" s="35" t="s">
        <v>447</v>
      </c>
      <c r="E2779" s="35"/>
      <c r="F2779" s="35" t="s">
        <v>6416</v>
      </c>
      <c r="G2779" s="35" t="s">
        <v>444</v>
      </c>
      <c r="H2779" s="35" t="s">
        <v>61</v>
      </c>
      <c r="I2779" s="4"/>
    </row>
    <row r="2780" customFormat="false" ht="15" hidden="false" customHeight="false" outlineLevel="0" collapsed="false">
      <c r="A2780" s="35" t="s">
        <v>6417</v>
      </c>
      <c r="B2780" s="35" t="s">
        <v>6418</v>
      </c>
      <c r="C2780" s="35" t="s">
        <v>48</v>
      </c>
      <c r="D2780" s="35" t="s">
        <v>447</v>
      </c>
      <c r="E2780" s="35"/>
      <c r="F2780" s="35"/>
      <c r="G2780" s="35" t="s">
        <v>444</v>
      </c>
      <c r="H2780" s="35" t="s">
        <v>61</v>
      </c>
      <c r="I2780" s="4"/>
    </row>
    <row r="2781" customFormat="false" ht="15" hidden="false" customHeight="false" outlineLevel="0" collapsed="false">
      <c r="A2781" s="35" t="s">
        <v>6419</v>
      </c>
      <c r="B2781" s="35" t="s">
        <v>4261</v>
      </c>
      <c r="C2781" s="35" t="s">
        <v>48</v>
      </c>
      <c r="D2781" s="35" t="s">
        <v>57</v>
      </c>
      <c r="E2781" s="35" t="s">
        <v>447</v>
      </c>
      <c r="F2781" s="35"/>
      <c r="G2781" s="35" t="s">
        <v>444</v>
      </c>
      <c r="H2781" s="35" t="s">
        <v>61</v>
      </c>
      <c r="I2781" s="4"/>
    </row>
    <row r="2782" customFormat="false" ht="15" hidden="false" customHeight="false" outlineLevel="0" collapsed="false">
      <c r="A2782" s="35" t="s">
        <v>6420</v>
      </c>
      <c r="B2782" s="35" t="s">
        <v>6421</v>
      </c>
      <c r="C2782" s="35" t="s">
        <v>48</v>
      </c>
      <c r="D2782" s="35" t="s">
        <v>57</v>
      </c>
      <c r="E2782" s="35" t="s">
        <v>454</v>
      </c>
      <c r="F2782" s="35"/>
      <c r="G2782" s="35" t="s">
        <v>444</v>
      </c>
      <c r="H2782" s="35" t="s">
        <v>61</v>
      </c>
      <c r="I2782" s="4"/>
    </row>
    <row r="2783" customFormat="false" ht="15" hidden="false" customHeight="false" outlineLevel="0" collapsed="false">
      <c r="A2783" s="35" t="s">
        <v>6422</v>
      </c>
      <c r="B2783" s="35" t="s">
        <v>6423</v>
      </c>
      <c r="C2783" s="35" t="s">
        <v>48</v>
      </c>
      <c r="D2783" s="35" t="s">
        <v>146</v>
      </c>
      <c r="E2783" s="35"/>
      <c r="F2783" s="35"/>
      <c r="G2783" s="35" t="s">
        <v>444</v>
      </c>
      <c r="H2783" s="35" t="s">
        <v>61</v>
      </c>
      <c r="I2783" s="4"/>
    </row>
    <row r="2784" customFormat="false" ht="15" hidden="false" customHeight="false" outlineLevel="0" collapsed="false">
      <c r="A2784" s="35" t="s">
        <v>6424</v>
      </c>
      <c r="B2784" s="35" t="s">
        <v>6425</v>
      </c>
      <c r="C2784" s="35" t="s">
        <v>48</v>
      </c>
      <c r="D2784" s="35" t="s">
        <v>447</v>
      </c>
      <c r="E2784" s="35"/>
      <c r="F2784" s="35"/>
      <c r="G2784" s="35" t="s">
        <v>444</v>
      </c>
      <c r="H2784" s="35" t="s">
        <v>61</v>
      </c>
      <c r="I2784" s="4"/>
    </row>
    <row r="2785" customFormat="false" ht="15" hidden="false" customHeight="false" outlineLevel="0" collapsed="false">
      <c r="A2785" s="35" t="s">
        <v>6426</v>
      </c>
      <c r="B2785" s="35" t="s">
        <v>6427</v>
      </c>
      <c r="C2785" s="35" t="s">
        <v>48</v>
      </c>
      <c r="D2785" s="35" t="s">
        <v>447</v>
      </c>
      <c r="E2785" s="35"/>
      <c r="F2785" s="35"/>
      <c r="G2785" s="35" t="s">
        <v>444</v>
      </c>
      <c r="H2785" s="35" t="s">
        <v>61</v>
      </c>
      <c r="I2785" s="4"/>
    </row>
    <row r="2786" customFormat="false" ht="15" hidden="false" customHeight="false" outlineLevel="0" collapsed="false">
      <c r="A2786" s="35" t="s">
        <v>6428</v>
      </c>
      <c r="B2786" s="35" t="s">
        <v>6429</v>
      </c>
      <c r="C2786" s="35" t="s">
        <v>48</v>
      </c>
      <c r="D2786" s="35" t="s">
        <v>57</v>
      </c>
      <c r="E2786" s="35" t="s">
        <v>447</v>
      </c>
      <c r="F2786" s="35"/>
      <c r="G2786" s="35" t="s">
        <v>444</v>
      </c>
      <c r="H2786" s="35" t="s">
        <v>61</v>
      </c>
      <c r="I2786" s="4"/>
    </row>
    <row r="2787" customFormat="false" ht="15" hidden="false" customHeight="false" outlineLevel="0" collapsed="false">
      <c r="A2787" s="35" t="s">
        <v>6430</v>
      </c>
      <c r="B2787" s="35" t="s">
        <v>6431</v>
      </c>
      <c r="C2787" s="35" t="s">
        <v>48</v>
      </c>
      <c r="D2787" s="35" t="s">
        <v>57</v>
      </c>
      <c r="E2787" s="35" t="s">
        <v>454</v>
      </c>
      <c r="F2787" s="35"/>
      <c r="G2787" s="35" t="s">
        <v>444</v>
      </c>
      <c r="H2787" s="35" t="s">
        <v>61</v>
      </c>
      <c r="I2787" s="4"/>
    </row>
    <row r="2788" customFormat="false" ht="15" hidden="false" customHeight="false" outlineLevel="0" collapsed="false">
      <c r="A2788" s="35" t="s">
        <v>6432</v>
      </c>
      <c r="B2788" s="35" t="s">
        <v>6433</v>
      </c>
      <c r="C2788" s="35" t="s">
        <v>48</v>
      </c>
      <c r="D2788" s="35" t="s">
        <v>447</v>
      </c>
      <c r="E2788" s="35"/>
      <c r="F2788" s="35"/>
      <c r="G2788" s="35" t="s">
        <v>444</v>
      </c>
      <c r="H2788" s="35" t="s">
        <v>61</v>
      </c>
      <c r="I2788" s="4"/>
    </row>
    <row r="2789" customFormat="false" ht="15" hidden="false" customHeight="false" outlineLevel="0" collapsed="false">
      <c r="A2789" s="35" t="s">
        <v>6434</v>
      </c>
      <c r="B2789" s="35" t="s">
        <v>4261</v>
      </c>
      <c r="C2789" s="35" t="s">
        <v>48</v>
      </c>
      <c r="D2789" s="35" t="s">
        <v>57</v>
      </c>
      <c r="E2789" s="35" t="s">
        <v>447</v>
      </c>
      <c r="F2789" s="35"/>
      <c r="G2789" s="35" t="s">
        <v>444</v>
      </c>
      <c r="H2789" s="35" t="s">
        <v>61</v>
      </c>
      <c r="I2789" s="4"/>
    </row>
    <row r="2790" customFormat="false" ht="15" hidden="false" customHeight="false" outlineLevel="0" collapsed="false">
      <c r="A2790" s="35" t="s">
        <v>6435</v>
      </c>
      <c r="B2790" s="35" t="s">
        <v>6436</v>
      </c>
      <c r="C2790" s="35" t="s">
        <v>48</v>
      </c>
      <c r="D2790" s="35" t="s">
        <v>57</v>
      </c>
      <c r="E2790" s="35" t="s">
        <v>454</v>
      </c>
      <c r="F2790" s="35"/>
      <c r="G2790" s="35" t="s">
        <v>444</v>
      </c>
      <c r="H2790" s="35" t="s">
        <v>61</v>
      </c>
      <c r="I2790" s="4"/>
    </row>
    <row r="2791" customFormat="false" ht="15" hidden="false" customHeight="false" outlineLevel="0" collapsed="false">
      <c r="A2791" s="35" t="s">
        <v>6437</v>
      </c>
      <c r="B2791" s="35" t="s">
        <v>6438</v>
      </c>
      <c r="C2791" s="35" t="s">
        <v>48</v>
      </c>
      <c r="D2791" s="35" t="s">
        <v>146</v>
      </c>
      <c r="E2791" s="35"/>
      <c r="F2791" s="35" t="s">
        <v>967</v>
      </c>
      <c r="G2791" s="35" t="s">
        <v>699</v>
      </c>
      <c r="H2791" s="35" t="s">
        <v>61</v>
      </c>
      <c r="I2791" s="4"/>
    </row>
    <row r="2792" customFormat="false" ht="15" hidden="false" customHeight="false" outlineLevel="0" collapsed="false">
      <c r="A2792" s="35" t="s">
        <v>6439</v>
      </c>
      <c r="B2792" s="35" t="s">
        <v>6440</v>
      </c>
      <c r="C2792" s="35" t="s">
        <v>48</v>
      </c>
      <c r="D2792" s="35" t="s">
        <v>53</v>
      </c>
      <c r="E2792" s="35"/>
      <c r="F2792" s="35"/>
      <c r="G2792" s="35" t="s">
        <v>680</v>
      </c>
      <c r="H2792" s="35" t="s">
        <v>61</v>
      </c>
      <c r="I2792" s="4"/>
    </row>
    <row r="2793" customFormat="false" ht="15" hidden="false" customHeight="false" outlineLevel="0" collapsed="false">
      <c r="A2793" s="35" t="s">
        <v>6441</v>
      </c>
      <c r="B2793" s="35" t="s">
        <v>6442</v>
      </c>
      <c r="C2793" s="35" t="s">
        <v>48</v>
      </c>
      <c r="D2793" s="35" t="s">
        <v>53</v>
      </c>
      <c r="E2793" s="35"/>
      <c r="F2793" s="35"/>
      <c r="G2793" s="35" t="s">
        <v>680</v>
      </c>
      <c r="H2793" s="35" t="s">
        <v>61</v>
      </c>
      <c r="I2793" s="4"/>
    </row>
    <row r="2794" customFormat="false" ht="15" hidden="false" customHeight="false" outlineLevel="0" collapsed="false">
      <c r="A2794" s="35" t="s">
        <v>1802</v>
      </c>
      <c r="B2794" s="35" t="s">
        <v>6443</v>
      </c>
      <c r="C2794" s="35" t="s">
        <v>48</v>
      </c>
      <c r="D2794" s="35" t="s">
        <v>57</v>
      </c>
      <c r="E2794" s="35" t="s">
        <v>1801</v>
      </c>
      <c r="F2794" s="35"/>
      <c r="G2794" s="35" t="s">
        <v>778</v>
      </c>
      <c r="H2794" s="35" t="s">
        <v>61</v>
      </c>
      <c r="I2794" s="4"/>
    </row>
    <row r="2795" customFormat="false" ht="15" hidden="false" customHeight="false" outlineLevel="0" collapsed="false">
      <c r="A2795" s="35" t="s">
        <v>6444</v>
      </c>
      <c r="B2795" s="35" t="s">
        <v>6445</v>
      </c>
      <c r="C2795" s="35" t="s">
        <v>48</v>
      </c>
      <c r="D2795" s="35" t="s">
        <v>146</v>
      </c>
      <c r="E2795" s="35"/>
      <c r="F2795" s="35"/>
      <c r="G2795" s="35" t="s">
        <v>680</v>
      </c>
      <c r="H2795" s="35" t="s">
        <v>61</v>
      </c>
      <c r="I2795" s="4"/>
    </row>
    <row r="2796" customFormat="false" ht="15" hidden="false" customHeight="false" outlineLevel="0" collapsed="false">
      <c r="A2796" s="35" t="s">
        <v>6446</v>
      </c>
      <c r="B2796" s="35" t="s">
        <v>6447</v>
      </c>
      <c r="C2796" s="35" t="s">
        <v>48</v>
      </c>
      <c r="D2796" s="35" t="s">
        <v>146</v>
      </c>
      <c r="E2796" s="35"/>
      <c r="F2796" s="35"/>
      <c r="G2796" s="35" t="s">
        <v>680</v>
      </c>
      <c r="H2796" s="35" t="s">
        <v>61</v>
      </c>
      <c r="I2796" s="4"/>
    </row>
    <row r="2797" customFormat="false" ht="15" hidden="false" customHeight="false" outlineLevel="0" collapsed="false">
      <c r="A2797" s="35" t="s">
        <v>6448</v>
      </c>
      <c r="B2797" s="35"/>
      <c r="C2797" s="35" t="s">
        <v>632</v>
      </c>
      <c r="D2797" s="35" t="s">
        <v>53</v>
      </c>
      <c r="E2797" s="35"/>
      <c r="F2797" s="35"/>
      <c r="G2797" s="35" t="s">
        <v>45</v>
      </c>
      <c r="H2797" s="35" t="s">
        <v>61</v>
      </c>
      <c r="I2797" s="4"/>
    </row>
    <row r="2798" customFormat="false" ht="15" hidden="false" customHeight="false" outlineLevel="0" collapsed="false">
      <c r="A2798" s="35" t="s">
        <v>6449</v>
      </c>
      <c r="B2798" s="35"/>
      <c r="C2798" s="35" t="s">
        <v>632</v>
      </c>
      <c r="D2798" s="35" t="s">
        <v>57</v>
      </c>
      <c r="E2798" s="35" t="s">
        <v>106</v>
      </c>
      <c r="F2798" s="35"/>
      <c r="G2798" s="35" t="s">
        <v>45</v>
      </c>
      <c r="H2798" s="35" t="s">
        <v>61</v>
      </c>
      <c r="I2798" s="4"/>
    </row>
    <row r="2799" customFormat="false" ht="15" hidden="false" customHeight="false" outlineLevel="0" collapsed="false">
      <c r="A2799" s="35" t="s">
        <v>6450</v>
      </c>
      <c r="B2799" s="35"/>
      <c r="C2799" s="35" t="s">
        <v>632</v>
      </c>
      <c r="D2799" s="35" t="s">
        <v>53</v>
      </c>
      <c r="E2799" s="35"/>
      <c r="F2799" s="35"/>
      <c r="G2799" s="35" t="s">
        <v>45</v>
      </c>
      <c r="H2799" s="35" t="s">
        <v>61</v>
      </c>
      <c r="I2799" s="4"/>
    </row>
    <row r="2800" customFormat="false" ht="15" hidden="false" customHeight="false" outlineLevel="0" collapsed="false">
      <c r="A2800" s="35" t="s">
        <v>6451</v>
      </c>
      <c r="B2800" s="35"/>
      <c r="C2800" s="35" t="s">
        <v>632</v>
      </c>
      <c r="D2800" s="35" t="s">
        <v>53</v>
      </c>
      <c r="E2800" s="35"/>
      <c r="F2800" s="35"/>
      <c r="G2800" s="35" t="s">
        <v>45</v>
      </c>
      <c r="H2800" s="35" t="s">
        <v>61</v>
      </c>
      <c r="I2800" s="4"/>
    </row>
    <row r="2801" customFormat="false" ht="15" hidden="false" customHeight="false" outlineLevel="0" collapsed="false">
      <c r="A2801" s="35" t="s">
        <v>6452</v>
      </c>
      <c r="B2801" s="35"/>
      <c r="C2801" s="35" t="s">
        <v>632</v>
      </c>
      <c r="D2801" s="35" t="s">
        <v>114</v>
      </c>
      <c r="E2801" s="35"/>
      <c r="F2801" s="35"/>
      <c r="G2801" s="35" t="s">
        <v>45</v>
      </c>
      <c r="H2801" s="35" t="s">
        <v>61</v>
      </c>
      <c r="I2801" s="4"/>
    </row>
    <row r="2802" customFormat="false" ht="15" hidden="false" customHeight="false" outlineLevel="0" collapsed="false">
      <c r="A2802" s="35" t="s">
        <v>6453</v>
      </c>
      <c r="B2802" s="35" t="s">
        <v>6454</v>
      </c>
      <c r="C2802" s="35" t="s">
        <v>48</v>
      </c>
      <c r="D2802" s="35" t="s">
        <v>57</v>
      </c>
      <c r="E2802" s="35" t="s">
        <v>1045</v>
      </c>
      <c r="F2802" s="35"/>
      <c r="G2802" s="35" t="s">
        <v>104</v>
      </c>
      <c r="H2802" s="35" t="s">
        <v>61</v>
      </c>
      <c r="I2802" s="4"/>
    </row>
    <row r="2803" customFormat="false" ht="15" hidden="false" customHeight="false" outlineLevel="0" collapsed="false">
      <c r="A2803" s="35" t="s">
        <v>6455</v>
      </c>
      <c r="B2803" s="35" t="s">
        <v>6456</v>
      </c>
      <c r="C2803" s="35" t="s">
        <v>48</v>
      </c>
      <c r="D2803" s="35" t="s">
        <v>57</v>
      </c>
      <c r="E2803" s="35" t="s">
        <v>1045</v>
      </c>
      <c r="F2803" s="35"/>
      <c r="G2803" s="35" t="s">
        <v>686</v>
      </c>
      <c r="H2803" s="35" t="s">
        <v>61</v>
      </c>
      <c r="I2803" s="4"/>
    </row>
    <row r="2804" customFormat="false" ht="15" hidden="false" customHeight="false" outlineLevel="0" collapsed="false">
      <c r="A2804" s="35" t="s">
        <v>6457</v>
      </c>
      <c r="B2804" s="35" t="s">
        <v>6458</v>
      </c>
      <c r="C2804" s="35" t="s">
        <v>48</v>
      </c>
      <c r="D2804" s="35" t="s">
        <v>57</v>
      </c>
      <c r="E2804" s="35" t="s">
        <v>859</v>
      </c>
      <c r="F2804" s="35"/>
      <c r="G2804" s="35" t="s">
        <v>713</v>
      </c>
      <c r="H2804" s="35" t="s">
        <v>61</v>
      </c>
      <c r="I2804" s="4"/>
    </row>
    <row r="2805" customFormat="false" ht="15" hidden="false" customHeight="false" outlineLevel="0" collapsed="false">
      <c r="A2805" s="35" t="s">
        <v>121</v>
      </c>
      <c r="B2805" s="35" t="s">
        <v>122</v>
      </c>
      <c r="C2805" s="35" t="s">
        <v>48</v>
      </c>
      <c r="D2805" s="35" t="s">
        <v>114</v>
      </c>
      <c r="E2805" s="35"/>
      <c r="F2805" s="35"/>
      <c r="G2805" s="35" t="s">
        <v>104</v>
      </c>
      <c r="H2805" s="35" t="s">
        <v>50</v>
      </c>
      <c r="I2805" s="4" t="s">
        <v>2025</v>
      </c>
    </row>
    <row r="2806" customFormat="false" ht="15" hidden="false" customHeight="false" outlineLevel="0" collapsed="false">
      <c r="A2806" s="35" t="s">
        <v>6459</v>
      </c>
      <c r="B2806" s="35" t="s">
        <v>6460</v>
      </c>
      <c r="C2806" s="35" t="s">
        <v>48</v>
      </c>
      <c r="D2806" s="35" t="s">
        <v>114</v>
      </c>
      <c r="E2806" s="35"/>
      <c r="F2806" s="35" t="s">
        <v>2022</v>
      </c>
      <c r="G2806" s="35" t="s">
        <v>104</v>
      </c>
      <c r="H2806" s="35" t="s">
        <v>61</v>
      </c>
      <c r="I2806" s="4"/>
    </row>
    <row r="2807" customFormat="false" ht="15" hidden="false" customHeight="false" outlineLevel="0" collapsed="false">
      <c r="A2807" s="35" t="s">
        <v>6461</v>
      </c>
      <c r="B2807" s="35" t="s">
        <v>6462</v>
      </c>
      <c r="C2807" s="35" t="s">
        <v>48</v>
      </c>
      <c r="D2807" s="35" t="s">
        <v>114</v>
      </c>
      <c r="E2807" s="35"/>
      <c r="F2807" s="35"/>
      <c r="G2807" s="35" t="s">
        <v>104</v>
      </c>
      <c r="H2807" s="35" t="s">
        <v>61</v>
      </c>
      <c r="I2807" s="4"/>
    </row>
    <row r="2808" customFormat="false" ht="15" hidden="false" customHeight="false" outlineLevel="0" collapsed="false">
      <c r="A2808" s="35" t="s">
        <v>6463</v>
      </c>
      <c r="B2808" s="35" t="s">
        <v>6464</v>
      </c>
      <c r="C2808" s="35" t="s">
        <v>48</v>
      </c>
      <c r="D2808" s="35" t="s">
        <v>114</v>
      </c>
      <c r="E2808" s="35"/>
      <c r="F2808" s="35"/>
      <c r="G2808" s="35" t="s">
        <v>119</v>
      </c>
      <c r="H2808" s="35" t="s">
        <v>61</v>
      </c>
      <c r="I2808" s="4"/>
    </row>
    <row r="2809" customFormat="false" ht="15" hidden="false" customHeight="false" outlineLevel="0" collapsed="false">
      <c r="A2809" s="35" t="s">
        <v>6465</v>
      </c>
      <c r="B2809" s="35" t="s">
        <v>6466</v>
      </c>
      <c r="C2809" s="35" t="s">
        <v>48</v>
      </c>
      <c r="D2809" s="35" t="s">
        <v>114</v>
      </c>
      <c r="E2809" s="35"/>
      <c r="F2809" s="35"/>
      <c r="G2809" s="35" t="s">
        <v>421</v>
      </c>
      <c r="H2809" s="35" t="s">
        <v>61</v>
      </c>
      <c r="I2809" s="4"/>
    </row>
    <row r="2810" customFormat="false" ht="15" hidden="false" customHeight="false" outlineLevel="0" collapsed="false">
      <c r="A2810" s="35" t="s">
        <v>511</v>
      </c>
      <c r="B2810" s="35" t="s">
        <v>513</v>
      </c>
      <c r="C2810" s="35" t="s">
        <v>48</v>
      </c>
      <c r="D2810" s="35" t="s">
        <v>57</v>
      </c>
      <c r="E2810" s="35" t="s">
        <v>512</v>
      </c>
      <c r="F2810" s="35"/>
      <c r="G2810" s="35" t="s">
        <v>104</v>
      </c>
      <c r="H2810" s="35" t="s">
        <v>61</v>
      </c>
      <c r="I2810" s="4" t="s">
        <v>2025</v>
      </c>
    </row>
    <row r="2811" customFormat="false" ht="15" hidden="false" customHeight="false" outlineLevel="0" collapsed="false">
      <c r="A2811" s="35" t="s">
        <v>183</v>
      </c>
      <c r="B2811" s="35" t="s">
        <v>184</v>
      </c>
      <c r="C2811" s="35" t="s">
        <v>48</v>
      </c>
      <c r="D2811" s="35" t="s">
        <v>157</v>
      </c>
      <c r="E2811" s="35"/>
      <c r="F2811" s="35"/>
      <c r="G2811" s="35" t="s">
        <v>104</v>
      </c>
      <c r="H2811" s="35" t="s">
        <v>61</v>
      </c>
      <c r="I2811" s="4" t="s">
        <v>2025</v>
      </c>
    </row>
    <row r="2812" customFormat="false" ht="15" hidden="false" customHeight="false" outlineLevel="0" collapsed="false">
      <c r="A2812" s="35" t="s">
        <v>6467</v>
      </c>
      <c r="B2812" s="35" t="s">
        <v>6468</v>
      </c>
      <c r="C2812" s="35" t="s">
        <v>48</v>
      </c>
      <c r="D2812" s="35" t="s">
        <v>157</v>
      </c>
      <c r="E2812" s="35"/>
      <c r="F2812" s="35"/>
      <c r="G2812" s="35" t="s">
        <v>104</v>
      </c>
      <c r="H2812" s="35" t="s">
        <v>61</v>
      </c>
      <c r="I2812" s="4"/>
    </row>
    <row r="2813" customFormat="false" ht="15" hidden="false" customHeight="false" outlineLevel="0" collapsed="false">
      <c r="A2813" s="35" t="s">
        <v>6469</v>
      </c>
      <c r="B2813" s="35" t="s">
        <v>6470</v>
      </c>
      <c r="C2813" s="35" t="s">
        <v>48</v>
      </c>
      <c r="D2813" s="35" t="s">
        <v>157</v>
      </c>
      <c r="E2813" s="35"/>
      <c r="F2813" s="35"/>
      <c r="G2813" s="35" t="s">
        <v>119</v>
      </c>
      <c r="H2813" s="35" t="s">
        <v>61</v>
      </c>
      <c r="I2813" s="4"/>
    </row>
    <row r="2814" customFormat="false" ht="15" hidden="false" customHeight="false" outlineLevel="0" collapsed="false">
      <c r="A2814" s="35" t="s">
        <v>6471</v>
      </c>
      <c r="B2814" s="35" t="s">
        <v>6472</v>
      </c>
      <c r="C2814" s="35" t="s">
        <v>48</v>
      </c>
      <c r="D2814" s="35" t="s">
        <v>157</v>
      </c>
      <c r="E2814" s="35"/>
      <c r="F2814" s="35"/>
      <c r="G2814" s="35" t="s">
        <v>328</v>
      </c>
      <c r="H2814" s="35" t="s">
        <v>61</v>
      </c>
      <c r="I2814" s="4"/>
    </row>
    <row r="2815" customFormat="false" ht="15" hidden="false" customHeight="false" outlineLevel="0" collapsed="false">
      <c r="A2815" s="35" t="s">
        <v>526</v>
      </c>
      <c r="B2815" s="35" t="s">
        <v>528</v>
      </c>
      <c r="C2815" s="35" t="s">
        <v>48</v>
      </c>
      <c r="D2815" s="35" t="s">
        <v>107</v>
      </c>
      <c r="E2815" s="35" t="s">
        <v>527</v>
      </c>
      <c r="F2815" s="35"/>
      <c r="G2815" s="35" t="s">
        <v>188</v>
      </c>
      <c r="H2815" s="35" t="s">
        <v>61</v>
      </c>
      <c r="I2815" s="4" t="s">
        <v>2025</v>
      </c>
    </row>
    <row r="2816" customFormat="false" ht="15" hidden="false" customHeight="false" outlineLevel="0" collapsed="false">
      <c r="A2816" s="35" t="s">
        <v>6473</v>
      </c>
      <c r="B2816" s="35" t="s">
        <v>6474</v>
      </c>
      <c r="C2816" s="35" t="s">
        <v>48</v>
      </c>
      <c r="D2816" s="35" t="s">
        <v>53</v>
      </c>
      <c r="E2816" s="35"/>
      <c r="F2816" s="35"/>
      <c r="G2816" s="35" t="s">
        <v>188</v>
      </c>
      <c r="H2816" s="35" t="s">
        <v>61</v>
      </c>
      <c r="I2816" s="4"/>
    </row>
    <row r="2817" customFormat="false" ht="15" hidden="false" customHeight="false" outlineLevel="0" collapsed="false">
      <c r="A2817" s="35" t="s">
        <v>6475</v>
      </c>
      <c r="B2817" s="35" t="s">
        <v>6476</v>
      </c>
      <c r="C2817" s="35" t="s">
        <v>48</v>
      </c>
      <c r="D2817" s="35" t="s">
        <v>53</v>
      </c>
      <c r="E2817" s="35"/>
      <c r="F2817" s="35"/>
      <c r="G2817" s="35" t="s">
        <v>188</v>
      </c>
      <c r="H2817" s="35" t="s">
        <v>61</v>
      </c>
      <c r="I2817" s="4"/>
    </row>
    <row r="2818" customFormat="false" ht="15" hidden="false" customHeight="false" outlineLevel="0" collapsed="false">
      <c r="A2818" s="35" t="s">
        <v>1583</v>
      </c>
      <c r="B2818" s="35" t="s">
        <v>6477</v>
      </c>
      <c r="C2818" s="35" t="s">
        <v>48</v>
      </c>
      <c r="D2818" s="35" t="s">
        <v>57</v>
      </c>
      <c r="E2818" s="35" t="s">
        <v>1582</v>
      </c>
      <c r="F2818" s="35"/>
      <c r="G2818" s="35" t="s">
        <v>188</v>
      </c>
      <c r="H2818" s="35" t="s">
        <v>61</v>
      </c>
      <c r="I2818" s="4"/>
    </row>
    <row r="2819" customFormat="false" ht="15" hidden="false" customHeight="false" outlineLevel="0" collapsed="false">
      <c r="A2819" s="35" t="s">
        <v>6478</v>
      </c>
      <c r="B2819" s="35" t="s">
        <v>6479</v>
      </c>
      <c r="C2819" s="35" t="s">
        <v>48</v>
      </c>
      <c r="D2819" s="35" t="s">
        <v>114</v>
      </c>
      <c r="E2819" s="35"/>
      <c r="F2819" s="35"/>
      <c r="G2819" s="35" t="s">
        <v>328</v>
      </c>
      <c r="H2819" s="35" t="s">
        <v>61</v>
      </c>
      <c r="I2819" s="4"/>
    </row>
    <row r="2820" customFormat="false" ht="15" hidden="false" customHeight="false" outlineLevel="0" collapsed="false">
      <c r="A2820" s="35" t="s">
        <v>6480</v>
      </c>
      <c r="B2820" s="35" t="s">
        <v>6481</v>
      </c>
      <c r="C2820" s="35" t="s">
        <v>48</v>
      </c>
      <c r="D2820" s="35" t="s">
        <v>146</v>
      </c>
      <c r="E2820" s="35"/>
      <c r="F2820" s="35"/>
      <c r="G2820" s="35" t="s">
        <v>681</v>
      </c>
      <c r="H2820" s="35" t="s">
        <v>61</v>
      </c>
      <c r="I2820" s="4"/>
    </row>
    <row r="2821" customFormat="false" ht="15" hidden="false" customHeight="false" outlineLevel="0" collapsed="false">
      <c r="A2821" s="35" t="s">
        <v>1048</v>
      </c>
      <c r="B2821" s="35" t="s">
        <v>6482</v>
      </c>
      <c r="C2821" s="35" t="s">
        <v>48</v>
      </c>
      <c r="D2821" s="35" t="s">
        <v>107</v>
      </c>
      <c r="E2821" s="35" t="s">
        <v>1048</v>
      </c>
      <c r="F2821" s="35"/>
      <c r="G2821" s="35" t="s">
        <v>736</v>
      </c>
      <c r="H2821" s="35" t="s">
        <v>61</v>
      </c>
      <c r="I2821" s="4"/>
    </row>
    <row r="2822" customFormat="false" ht="15" hidden="false" customHeight="false" outlineLevel="0" collapsed="false">
      <c r="A2822" s="35" t="s">
        <v>6483</v>
      </c>
      <c r="B2822" s="35" t="s">
        <v>6484</v>
      </c>
      <c r="C2822" s="35" t="s">
        <v>48</v>
      </c>
      <c r="D2822" s="35" t="s">
        <v>107</v>
      </c>
      <c r="E2822" s="35" t="s">
        <v>1244</v>
      </c>
      <c r="F2822" s="35"/>
      <c r="G2822" s="35" t="s">
        <v>748</v>
      </c>
      <c r="H2822" s="35" t="s">
        <v>61</v>
      </c>
      <c r="I2822" s="4"/>
    </row>
    <row r="2823" customFormat="false" ht="15" hidden="false" customHeight="false" outlineLevel="0" collapsed="false">
      <c r="A2823" s="35" t="s">
        <v>1809</v>
      </c>
      <c r="B2823" s="35" t="s">
        <v>6485</v>
      </c>
      <c r="C2823" s="35" t="s">
        <v>48</v>
      </c>
      <c r="D2823" s="35" t="s">
        <v>107</v>
      </c>
      <c r="E2823" s="35" t="s">
        <v>780</v>
      </c>
      <c r="F2823" s="35" t="s">
        <v>2147</v>
      </c>
      <c r="G2823" s="35" t="s">
        <v>780</v>
      </c>
      <c r="H2823" s="35" t="s">
        <v>61</v>
      </c>
      <c r="I2823" s="4"/>
    </row>
    <row r="2824" customFormat="false" ht="15" hidden="false" customHeight="false" outlineLevel="0" collapsed="false">
      <c r="A2824" s="35" t="s">
        <v>6486</v>
      </c>
      <c r="B2824" s="35" t="s">
        <v>6487</v>
      </c>
      <c r="C2824" s="35" t="s">
        <v>48</v>
      </c>
      <c r="D2824" s="35" t="s">
        <v>107</v>
      </c>
      <c r="E2824" s="35" t="s">
        <v>1246</v>
      </c>
      <c r="F2824" s="35" t="s">
        <v>2147</v>
      </c>
      <c r="G2824" s="35" t="s">
        <v>697</v>
      </c>
      <c r="H2824" s="35" t="s">
        <v>61</v>
      </c>
      <c r="I2824" s="4"/>
    </row>
    <row r="2825" customFormat="false" ht="15" hidden="false" customHeight="false" outlineLevel="0" collapsed="false">
      <c r="A2825" s="35" t="s">
        <v>6488</v>
      </c>
      <c r="B2825" s="35" t="s">
        <v>6489</v>
      </c>
      <c r="C2825" s="35" t="s">
        <v>48</v>
      </c>
      <c r="D2825" s="35" t="s">
        <v>114</v>
      </c>
      <c r="E2825" s="35"/>
      <c r="F2825" s="35" t="s">
        <v>6490</v>
      </c>
      <c r="G2825" s="35" t="s">
        <v>328</v>
      </c>
      <c r="H2825" s="35" t="s">
        <v>61</v>
      </c>
      <c r="I2825" s="4"/>
    </row>
    <row r="2826" customFormat="false" ht="15" hidden="false" customHeight="false" outlineLevel="0" collapsed="false">
      <c r="A2826" s="35" t="s">
        <v>6491</v>
      </c>
      <c r="B2826" s="35" t="s">
        <v>6492</v>
      </c>
      <c r="C2826" s="35" t="s">
        <v>48</v>
      </c>
      <c r="D2826" s="35" t="s">
        <v>53</v>
      </c>
      <c r="E2826" s="35"/>
      <c r="F2826" s="35"/>
      <c r="G2826" s="35" t="s">
        <v>119</v>
      </c>
      <c r="H2826" s="35" t="s">
        <v>61</v>
      </c>
      <c r="I2826" s="4"/>
    </row>
    <row r="2827" customFormat="false" ht="15" hidden="false" customHeight="false" outlineLevel="0" collapsed="false">
      <c r="A2827" s="35" t="s">
        <v>6493</v>
      </c>
      <c r="B2827" s="35" t="s">
        <v>6494</v>
      </c>
      <c r="C2827" s="35" t="s">
        <v>48</v>
      </c>
      <c r="D2827" s="35" t="s">
        <v>157</v>
      </c>
      <c r="E2827" s="35"/>
      <c r="F2827" s="35"/>
      <c r="G2827" s="35" t="s">
        <v>188</v>
      </c>
      <c r="H2827" s="35" t="s">
        <v>61</v>
      </c>
      <c r="I2827" s="4"/>
    </row>
    <row r="2828" customFormat="false" ht="15" hidden="false" customHeight="false" outlineLevel="0" collapsed="false">
      <c r="A2828" s="35" t="s">
        <v>6495</v>
      </c>
      <c r="B2828" s="35" t="s">
        <v>6496</v>
      </c>
      <c r="C2828" s="35" t="s">
        <v>48</v>
      </c>
      <c r="D2828" s="35" t="s">
        <v>53</v>
      </c>
      <c r="E2828" s="35"/>
      <c r="F2828" s="35"/>
      <c r="G2828" s="35" t="s">
        <v>119</v>
      </c>
      <c r="H2828" s="35" t="s">
        <v>5085</v>
      </c>
      <c r="I2828" s="4"/>
    </row>
    <row r="2829" customFormat="false" ht="15" hidden="false" customHeight="false" outlineLevel="0" collapsed="false">
      <c r="A2829" s="35" t="s">
        <v>6497</v>
      </c>
      <c r="B2829" s="35" t="s">
        <v>6498</v>
      </c>
      <c r="C2829" s="35" t="s">
        <v>48</v>
      </c>
      <c r="D2829" s="35" t="s">
        <v>53</v>
      </c>
      <c r="E2829" s="35"/>
      <c r="F2829" s="35"/>
      <c r="G2829" s="35" t="s">
        <v>119</v>
      </c>
      <c r="H2829" s="35" t="s">
        <v>61</v>
      </c>
      <c r="I2829" s="4"/>
    </row>
    <row r="2830" customFormat="false" ht="15" hidden="false" customHeight="false" outlineLevel="0" collapsed="false">
      <c r="A2830" s="35" t="s">
        <v>6499</v>
      </c>
      <c r="B2830" s="35" t="s">
        <v>6500</v>
      </c>
      <c r="C2830" s="35" t="s">
        <v>48</v>
      </c>
      <c r="D2830" s="35" t="s">
        <v>107</v>
      </c>
      <c r="E2830" s="35" t="s">
        <v>897</v>
      </c>
      <c r="F2830" s="35"/>
      <c r="G2830" s="35" t="s">
        <v>545</v>
      </c>
      <c r="H2830" s="35" t="s">
        <v>61</v>
      </c>
      <c r="I2830" s="4"/>
    </row>
    <row r="2831" customFormat="false" ht="15" hidden="false" customHeight="false" outlineLevel="0" collapsed="false">
      <c r="A2831" s="35" t="s">
        <v>6501</v>
      </c>
      <c r="B2831" s="35" t="s">
        <v>6502</v>
      </c>
      <c r="C2831" s="35" t="s">
        <v>48</v>
      </c>
      <c r="D2831" s="35" t="s">
        <v>107</v>
      </c>
      <c r="E2831" s="35" t="s">
        <v>897</v>
      </c>
      <c r="F2831" s="35"/>
      <c r="G2831" s="35" t="s">
        <v>545</v>
      </c>
      <c r="H2831" s="35" t="s">
        <v>61</v>
      </c>
      <c r="I2831" s="4"/>
    </row>
    <row r="2832" customFormat="false" ht="15" hidden="false" customHeight="false" outlineLevel="0" collapsed="false">
      <c r="A2832" s="35" t="s">
        <v>6503</v>
      </c>
      <c r="B2832" s="35" t="s">
        <v>6504</v>
      </c>
      <c r="C2832" s="35" t="s">
        <v>48</v>
      </c>
      <c r="D2832" s="35" t="s">
        <v>146</v>
      </c>
      <c r="E2832" s="35"/>
      <c r="F2832" s="35" t="s">
        <v>3772</v>
      </c>
      <c r="G2832" s="35" t="s">
        <v>328</v>
      </c>
      <c r="H2832" s="35" t="s">
        <v>369</v>
      </c>
      <c r="I2832" s="4"/>
    </row>
    <row r="2833" customFormat="false" ht="15" hidden="false" customHeight="false" outlineLevel="0" collapsed="false">
      <c r="A2833" s="35" t="s">
        <v>6505</v>
      </c>
      <c r="B2833" s="35" t="s">
        <v>6506</v>
      </c>
      <c r="C2833" s="35" t="s">
        <v>48</v>
      </c>
      <c r="D2833" s="35" t="s">
        <v>107</v>
      </c>
      <c r="E2833" s="35" t="s">
        <v>548</v>
      </c>
      <c r="F2833" s="35" t="s">
        <v>6507</v>
      </c>
      <c r="G2833" s="35" t="s">
        <v>545</v>
      </c>
      <c r="H2833" s="35" t="s">
        <v>61</v>
      </c>
      <c r="I2833" s="4"/>
    </row>
    <row r="2834" customFormat="false" ht="15" hidden="false" customHeight="false" outlineLevel="0" collapsed="false">
      <c r="A2834" s="35" t="s">
        <v>542</v>
      </c>
      <c r="B2834" s="35" t="s">
        <v>544</v>
      </c>
      <c r="C2834" s="35" t="s">
        <v>48</v>
      </c>
      <c r="D2834" s="35" t="s">
        <v>107</v>
      </c>
      <c r="E2834" s="35" t="s">
        <v>543</v>
      </c>
      <c r="F2834" s="35"/>
      <c r="G2834" s="35" t="s">
        <v>545</v>
      </c>
      <c r="H2834" s="35" t="s">
        <v>61</v>
      </c>
      <c r="I2834" s="4" t="s">
        <v>2025</v>
      </c>
    </row>
    <row r="2835" customFormat="false" ht="15" hidden="false" customHeight="false" outlineLevel="0" collapsed="false">
      <c r="A2835" s="35" t="s">
        <v>6508</v>
      </c>
      <c r="B2835" s="35" t="s">
        <v>6509</v>
      </c>
      <c r="C2835" s="35" t="s">
        <v>48</v>
      </c>
      <c r="D2835" s="35" t="s">
        <v>157</v>
      </c>
      <c r="E2835" s="35"/>
      <c r="F2835" s="35"/>
      <c r="G2835" s="35" t="s">
        <v>104</v>
      </c>
      <c r="H2835" s="35" t="s">
        <v>61</v>
      </c>
      <c r="I2835" s="4"/>
    </row>
    <row r="2836" customFormat="false" ht="15" hidden="false" customHeight="false" outlineLevel="0" collapsed="false">
      <c r="A2836" s="35" t="s">
        <v>6510</v>
      </c>
      <c r="B2836" s="35" t="s">
        <v>6511</v>
      </c>
      <c r="C2836" s="35" t="s">
        <v>48</v>
      </c>
      <c r="D2836" s="35" t="s">
        <v>107</v>
      </c>
      <c r="E2836" s="35" t="s">
        <v>897</v>
      </c>
      <c r="F2836" s="35"/>
      <c r="G2836" s="35" t="s">
        <v>545</v>
      </c>
      <c r="H2836" s="35" t="s">
        <v>61</v>
      </c>
      <c r="I2836" s="4"/>
    </row>
    <row r="2837" customFormat="false" ht="15" hidden="false" customHeight="false" outlineLevel="0" collapsed="false">
      <c r="A2837" s="35" t="s">
        <v>136</v>
      </c>
      <c r="B2837" s="35" t="s">
        <v>137</v>
      </c>
      <c r="C2837" s="35" t="s">
        <v>48</v>
      </c>
      <c r="D2837" s="35" t="s">
        <v>57</v>
      </c>
      <c r="E2837" s="35" t="s">
        <v>136</v>
      </c>
      <c r="F2837" s="35"/>
      <c r="G2837" s="35" t="s">
        <v>104</v>
      </c>
      <c r="H2837" s="35" t="s">
        <v>50</v>
      </c>
      <c r="I2837" s="4" t="s">
        <v>2025</v>
      </c>
    </row>
    <row r="2838" customFormat="false" ht="15" hidden="false" customHeight="false" outlineLevel="0" collapsed="false">
      <c r="A2838" s="35" t="s">
        <v>1250</v>
      </c>
      <c r="B2838" s="35" t="s">
        <v>6512</v>
      </c>
      <c r="C2838" s="35" t="s">
        <v>48</v>
      </c>
      <c r="D2838" s="35" t="s">
        <v>107</v>
      </c>
      <c r="E2838" s="35" t="s">
        <v>1249</v>
      </c>
      <c r="F2838" s="35"/>
      <c r="G2838" s="35" t="s">
        <v>421</v>
      </c>
      <c r="H2838" s="35" t="s">
        <v>61</v>
      </c>
      <c r="I2838" s="4"/>
    </row>
    <row r="2839" customFormat="false" ht="15" hidden="false" customHeight="false" outlineLevel="0" collapsed="false">
      <c r="A2839" s="35" t="s">
        <v>6513</v>
      </c>
      <c r="B2839" s="35" t="s">
        <v>6514</v>
      </c>
      <c r="C2839" s="35" t="s">
        <v>48</v>
      </c>
      <c r="D2839" s="35" t="s">
        <v>107</v>
      </c>
      <c r="E2839" s="35" t="s">
        <v>885</v>
      </c>
      <c r="F2839" s="35" t="s">
        <v>2147</v>
      </c>
      <c r="G2839" s="35" t="s">
        <v>704</v>
      </c>
      <c r="H2839" s="35" t="s">
        <v>61</v>
      </c>
      <c r="I2839" s="4"/>
    </row>
    <row r="2840" customFormat="false" ht="15" hidden="false" customHeight="false" outlineLevel="0" collapsed="false">
      <c r="A2840" s="35" t="s">
        <v>6515</v>
      </c>
      <c r="B2840" s="35" t="s">
        <v>6516</v>
      </c>
      <c r="C2840" s="35" t="s">
        <v>48</v>
      </c>
      <c r="D2840" s="35" t="s">
        <v>53</v>
      </c>
      <c r="E2840" s="35"/>
      <c r="F2840" s="35"/>
      <c r="G2840" s="35" t="s">
        <v>723</v>
      </c>
      <c r="H2840" s="35" t="s">
        <v>61</v>
      </c>
      <c r="I2840" s="4"/>
    </row>
    <row r="2841" customFormat="false" ht="15" hidden="false" customHeight="false" outlineLevel="0" collapsed="false">
      <c r="A2841" s="35" t="s">
        <v>6517</v>
      </c>
      <c r="B2841" s="35" t="s">
        <v>6518</v>
      </c>
      <c r="C2841" s="35" t="s">
        <v>48</v>
      </c>
      <c r="D2841" s="35" t="s">
        <v>53</v>
      </c>
      <c r="E2841" s="35"/>
      <c r="F2841" s="35"/>
      <c r="G2841" s="35" t="s">
        <v>690</v>
      </c>
      <c r="H2841" s="35" t="s">
        <v>61</v>
      </c>
      <c r="I2841" s="4"/>
    </row>
    <row r="2842" customFormat="false" ht="15" hidden="false" customHeight="false" outlineLevel="0" collapsed="false">
      <c r="A2842" s="35" t="s">
        <v>6519</v>
      </c>
      <c r="B2842" s="35" t="s">
        <v>6520</v>
      </c>
      <c r="C2842" s="35" t="s">
        <v>48</v>
      </c>
      <c r="D2842" s="35" t="s">
        <v>107</v>
      </c>
      <c r="E2842" s="35" t="s">
        <v>876</v>
      </c>
      <c r="F2842" s="35" t="s">
        <v>6521</v>
      </c>
      <c r="G2842" s="35" t="s">
        <v>262</v>
      </c>
      <c r="H2842" s="35" t="s">
        <v>61</v>
      </c>
      <c r="I2842" s="4"/>
    </row>
    <row r="2843" customFormat="false" ht="15" hidden="false" customHeight="false" outlineLevel="0" collapsed="false">
      <c r="A2843" s="35" t="s">
        <v>6522</v>
      </c>
      <c r="B2843" s="35" t="s">
        <v>6523</v>
      </c>
      <c r="C2843" s="35" t="s">
        <v>48</v>
      </c>
      <c r="D2843" s="35" t="s">
        <v>107</v>
      </c>
      <c r="E2843" s="35" t="s">
        <v>262</v>
      </c>
      <c r="F2843" s="35"/>
      <c r="G2843" s="35" t="s">
        <v>262</v>
      </c>
      <c r="H2843" s="35" t="s">
        <v>61</v>
      </c>
      <c r="I2843" s="4"/>
    </row>
    <row r="2844" customFormat="false" ht="15" hidden="false" customHeight="false" outlineLevel="0" collapsed="false">
      <c r="A2844" s="35" t="s">
        <v>446</v>
      </c>
      <c r="B2844" s="35" t="s">
        <v>448</v>
      </c>
      <c r="C2844" s="35" t="s">
        <v>48</v>
      </c>
      <c r="D2844" s="35" t="s">
        <v>447</v>
      </c>
      <c r="E2844" s="35"/>
      <c r="F2844" s="35"/>
      <c r="G2844" s="35" t="s">
        <v>49</v>
      </c>
      <c r="H2844" s="35" t="s">
        <v>49</v>
      </c>
      <c r="I2844" s="4" t="s">
        <v>2025</v>
      </c>
    </row>
    <row r="2845" customFormat="false" ht="15" hidden="false" customHeight="false" outlineLevel="0" collapsed="false">
      <c r="A2845" s="35" t="s">
        <v>6524</v>
      </c>
      <c r="B2845" s="35" t="s">
        <v>6525</v>
      </c>
      <c r="C2845" s="35" t="s">
        <v>48</v>
      </c>
      <c r="D2845" s="35" t="s">
        <v>447</v>
      </c>
      <c r="E2845" s="35"/>
      <c r="F2845" s="35"/>
      <c r="G2845" s="35" t="s">
        <v>49</v>
      </c>
      <c r="H2845" s="35" t="s">
        <v>49</v>
      </c>
      <c r="I2845" s="4"/>
    </row>
    <row r="2846" customFormat="false" ht="15" hidden="false" customHeight="false" outlineLevel="0" collapsed="false">
      <c r="A2846" s="35" t="s">
        <v>460</v>
      </c>
      <c r="B2846" s="35" t="s">
        <v>461</v>
      </c>
      <c r="C2846" s="35" t="s">
        <v>48</v>
      </c>
      <c r="D2846" s="35" t="s">
        <v>447</v>
      </c>
      <c r="E2846" s="35"/>
      <c r="F2846" s="35"/>
      <c r="G2846" s="35" t="s">
        <v>444</v>
      </c>
      <c r="H2846" s="35" t="s">
        <v>61</v>
      </c>
      <c r="I2846" s="4" t="s">
        <v>2025</v>
      </c>
    </row>
    <row r="2847" customFormat="false" ht="15" hidden="false" customHeight="false" outlineLevel="0" collapsed="false">
      <c r="A2847" s="35" t="s">
        <v>450</v>
      </c>
      <c r="B2847" s="35" t="s">
        <v>451</v>
      </c>
      <c r="C2847" s="35" t="s">
        <v>48</v>
      </c>
      <c r="D2847" s="35" t="s">
        <v>57</v>
      </c>
      <c r="E2847" s="35" t="s">
        <v>447</v>
      </c>
      <c r="F2847" s="35"/>
      <c r="G2847" s="35" t="s">
        <v>49</v>
      </c>
      <c r="H2847" s="35" t="s">
        <v>49</v>
      </c>
      <c r="I2847" s="4" t="s">
        <v>2025</v>
      </c>
    </row>
    <row r="2848" customFormat="false" ht="15" hidden="false" customHeight="false" outlineLevel="0" collapsed="false">
      <c r="A2848" s="35" t="s">
        <v>453</v>
      </c>
      <c r="B2848" s="35" t="s">
        <v>455</v>
      </c>
      <c r="C2848" s="35" t="s">
        <v>48</v>
      </c>
      <c r="D2848" s="35" t="s">
        <v>57</v>
      </c>
      <c r="E2848" s="35" t="s">
        <v>454</v>
      </c>
      <c r="F2848" s="35"/>
      <c r="G2848" s="35" t="s">
        <v>49</v>
      </c>
      <c r="H2848" s="35" t="s">
        <v>49</v>
      </c>
      <c r="I2848" s="4" t="s">
        <v>2025</v>
      </c>
    </row>
    <row r="2849" customFormat="false" ht="15" hidden="false" customHeight="false" outlineLevel="0" collapsed="false">
      <c r="A2849" s="35" t="s">
        <v>6526</v>
      </c>
      <c r="B2849" s="35" t="s">
        <v>6527</v>
      </c>
      <c r="C2849" s="35" t="s">
        <v>48</v>
      </c>
      <c r="D2849" s="35" t="s">
        <v>57</v>
      </c>
      <c r="E2849" s="35" t="s">
        <v>980</v>
      </c>
      <c r="F2849" s="35"/>
      <c r="G2849" s="35" t="s">
        <v>49</v>
      </c>
      <c r="H2849" s="35" t="s">
        <v>49</v>
      </c>
      <c r="I2849" s="4"/>
    </row>
    <row r="2850" customFormat="false" ht="15" hidden="false" customHeight="false" outlineLevel="0" collapsed="false">
      <c r="A2850" s="35" t="s">
        <v>1587</v>
      </c>
      <c r="B2850" s="35" t="s">
        <v>6528</v>
      </c>
      <c r="C2850" s="35" t="s">
        <v>48</v>
      </c>
      <c r="D2850" s="35" t="s">
        <v>57</v>
      </c>
      <c r="E2850" s="35" t="s">
        <v>1586</v>
      </c>
      <c r="F2850" s="35"/>
      <c r="G2850" s="35" t="s">
        <v>444</v>
      </c>
      <c r="H2850" s="35" t="s">
        <v>61</v>
      </c>
      <c r="I2850" s="4"/>
    </row>
    <row r="2851" customFormat="false" ht="15" hidden="false" customHeight="false" outlineLevel="0" collapsed="false">
      <c r="A2851" s="35" t="s">
        <v>6529</v>
      </c>
      <c r="B2851" s="35" t="s">
        <v>6530</v>
      </c>
      <c r="C2851" s="35" t="s">
        <v>48</v>
      </c>
      <c r="D2851" s="35" t="s">
        <v>447</v>
      </c>
      <c r="E2851" s="35"/>
      <c r="F2851" s="35"/>
      <c r="G2851" s="35" t="s">
        <v>49</v>
      </c>
      <c r="H2851" s="35" t="s">
        <v>49</v>
      </c>
      <c r="I2851" s="4"/>
    </row>
    <row r="2852" customFormat="false" ht="15" hidden="false" customHeight="false" outlineLevel="0" collapsed="false">
      <c r="A2852" s="35" t="s">
        <v>6531</v>
      </c>
      <c r="B2852" s="35" t="s">
        <v>6532</v>
      </c>
      <c r="C2852" s="35" t="s">
        <v>48</v>
      </c>
      <c r="D2852" s="35" t="s">
        <v>447</v>
      </c>
      <c r="E2852" s="35"/>
      <c r="F2852" s="35"/>
      <c r="G2852" s="35" t="s">
        <v>49</v>
      </c>
      <c r="H2852" s="35" t="s">
        <v>49</v>
      </c>
      <c r="I2852" s="4"/>
    </row>
    <row r="2853" customFormat="false" ht="15" hidden="false" customHeight="false" outlineLevel="0" collapsed="false">
      <c r="A2853" s="35" t="s">
        <v>6533</v>
      </c>
      <c r="B2853" s="35" t="s">
        <v>6534</v>
      </c>
      <c r="C2853" s="35" t="s">
        <v>48</v>
      </c>
      <c r="D2853" s="35" t="s">
        <v>447</v>
      </c>
      <c r="E2853" s="35"/>
      <c r="F2853" s="35"/>
      <c r="G2853" s="35" t="s">
        <v>444</v>
      </c>
      <c r="H2853" s="35" t="s">
        <v>61</v>
      </c>
      <c r="I2853" s="4"/>
    </row>
    <row r="2854" customFormat="false" ht="15" hidden="false" customHeight="false" outlineLevel="0" collapsed="false">
      <c r="A2854" s="35" t="s">
        <v>457</v>
      </c>
      <c r="B2854" s="35" t="s">
        <v>458</v>
      </c>
      <c r="C2854" s="35" t="s">
        <v>48</v>
      </c>
      <c r="D2854" s="35" t="s">
        <v>447</v>
      </c>
      <c r="E2854" s="35"/>
      <c r="F2854" s="35"/>
      <c r="G2854" s="35" t="s">
        <v>49</v>
      </c>
      <c r="H2854" s="35" t="s">
        <v>49</v>
      </c>
      <c r="I2854" s="4" t="s">
        <v>2025</v>
      </c>
    </row>
    <row r="2855" customFormat="false" ht="15" hidden="false" customHeight="false" outlineLevel="0" collapsed="false">
      <c r="A2855" s="35" t="s">
        <v>6535</v>
      </c>
      <c r="B2855" s="35" t="s">
        <v>6536</v>
      </c>
      <c r="C2855" s="35" t="s">
        <v>48</v>
      </c>
      <c r="D2855" s="35" t="s">
        <v>447</v>
      </c>
      <c r="E2855" s="35"/>
      <c r="F2855" s="35"/>
      <c r="G2855" s="35" t="s">
        <v>49</v>
      </c>
      <c r="H2855" s="35" t="s">
        <v>49</v>
      </c>
      <c r="I2855" s="4"/>
    </row>
    <row r="2856" customFormat="false" ht="15" hidden="false" customHeight="false" outlineLevel="0" collapsed="false">
      <c r="A2856" s="35" t="s">
        <v>6537</v>
      </c>
      <c r="B2856" s="35" t="s">
        <v>6538</v>
      </c>
      <c r="C2856" s="35" t="s">
        <v>48</v>
      </c>
      <c r="D2856" s="35" t="s">
        <v>57</v>
      </c>
      <c r="E2856" s="35" t="s">
        <v>447</v>
      </c>
      <c r="F2856" s="35"/>
      <c r="G2856" s="35" t="s">
        <v>444</v>
      </c>
      <c r="H2856" s="35" t="s">
        <v>61</v>
      </c>
      <c r="I2856" s="4"/>
    </row>
    <row r="2857" customFormat="false" ht="15" hidden="false" customHeight="false" outlineLevel="0" collapsed="false">
      <c r="A2857" s="35" t="s">
        <v>6539</v>
      </c>
      <c r="B2857" s="35" t="s">
        <v>6540</v>
      </c>
      <c r="C2857" s="35" t="s">
        <v>48</v>
      </c>
      <c r="D2857" s="35" t="s">
        <v>57</v>
      </c>
      <c r="E2857" s="35" t="s">
        <v>454</v>
      </c>
      <c r="F2857" s="35"/>
      <c r="G2857" s="35" t="s">
        <v>444</v>
      </c>
      <c r="H2857" s="35" t="s">
        <v>61</v>
      </c>
      <c r="I2857" s="4"/>
    </row>
    <row r="2858" customFormat="false" ht="15" hidden="false" customHeight="false" outlineLevel="0" collapsed="false">
      <c r="A2858" s="35" t="s">
        <v>6541</v>
      </c>
      <c r="B2858" s="35" t="s">
        <v>6542</v>
      </c>
      <c r="C2858" s="35" t="s">
        <v>48</v>
      </c>
      <c r="D2858" s="35" t="s">
        <v>53</v>
      </c>
      <c r="E2858" s="35"/>
      <c r="F2858" s="35"/>
      <c r="G2858" s="35" t="s">
        <v>444</v>
      </c>
      <c r="H2858" s="35" t="s">
        <v>61</v>
      </c>
      <c r="I2858" s="4"/>
    </row>
    <row r="2859" customFormat="false" ht="15" hidden="false" customHeight="false" outlineLevel="0" collapsed="false">
      <c r="A2859" s="35" t="s">
        <v>6543</v>
      </c>
      <c r="B2859" s="35" t="s">
        <v>6544</v>
      </c>
      <c r="C2859" s="35" t="s">
        <v>48</v>
      </c>
      <c r="D2859" s="35" t="s">
        <v>447</v>
      </c>
      <c r="E2859" s="35"/>
      <c r="F2859" s="35" t="s">
        <v>2534</v>
      </c>
      <c r="G2859" s="35" t="s">
        <v>691</v>
      </c>
      <c r="H2859" s="35" t="s">
        <v>61</v>
      </c>
      <c r="I2859" s="4"/>
    </row>
    <row r="2860" customFormat="false" ht="15" hidden="false" customHeight="false" outlineLevel="0" collapsed="false">
      <c r="A2860" s="35" t="s">
        <v>6545</v>
      </c>
      <c r="B2860" s="35" t="s">
        <v>6546</v>
      </c>
      <c r="C2860" s="35" t="s">
        <v>48</v>
      </c>
      <c r="D2860" s="35" t="s">
        <v>447</v>
      </c>
      <c r="E2860" s="35"/>
      <c r="F2860" s="35"/>
      <c r="G2860" s="35" t="s">
        <v>444</v>
      </c>
      <c r="H2860" s="35" t="s">
        <v>61</v>
      </c>
      <c r="I2860" s="4"/>
    </row>
    <row r="2861" customFormat="false" ht="15" hidden="false" customHeight="false" outlineLevel="0" collapsed="false">
      <c r="A2861" s="35" t="s">
        <v>6547</v>
      </c>
      <c r="B2861" s="35" t="s">
        <v>4261</v>
      </c>
      <c r="C2861" s="35" t="s">
        <v>48</v>
      </c>
      <c r="D2861" s="35" t="s">
        <v>57</v>
      </c>
      <c r="E2861" s="35" t="s">
        <v>447</v>
      </c>
      <c r="F2861" s="35"/>
      <c r="G2861" s="35" t="s">
        <v>444</v>
      </c>
      <c r="H2861" s="35" t="s">
        <v>61</v>
      </c>
      <c r="I2861" s="4"/>
    </row>
    <row r="2862" customFormat="false" ht="15" hidden="false" customHeight="false" outlineLevel="0" collapsed="false">
      <c r="A2862" s="35" t="s">
        <v>6548</v>
      </c>
      <c r="B2862" s="35" t="s">
        <v>6540</v>
      </c>
      <c r="C2862" s="35" t="s">
        <v>48</v>
      </c>
      <c r="D2862" s="35" t="s">
        <v>57</v>
      </c>
      <c r="E2862" s="35" t="s">
        <v>454</v>
      </c>
      <c r="F2862" s="35"/>
      <c r="G2862" s="35" t="s">
        <v>444</v>
      </c>
      <c r="H2862" s="35" t="s">
        <v>61</v>
      </c>
      <c r="I2862" s="4"/>
    </row>
    <row r="2863" customFormat="false" ht="15" hidden="false" customHeight="false" outlineLevel="0" collapsed="false">
      <c r="A2863" s="35" t="s">
        <v>6549</v>
      </c>
      <c r="B2863" s="35" t="s">
        <v>6550</v>
      </c>
      <c r="C2863" s="35" t="s">
        <v>48</v>
      </c>
      <c r="D2863" s="35" t="s">
        <v>447</v>
      </c>
      <c r="E2863" s="35"/>
      <c r="F2863" s="35"/>
      <c r="G2863" s="35" t="s">
        <v>444</v>
      </c>
      <c r="H2863" s="35" t="s">
        <v>61</v>
      </c>
      <c r="I2863" s="4"/>
    </row>
    <row r="2864" customFormat="false" ht="15" hidden="false" customHeight="false" outlineLevel="0" collapsed="false">
      <c r="A2864" s="35" t="s">
        <v>6551</v>
      </c>
      <c r="B2864" s="35" t="s">
        <v>6552</v>
      </c>
      <c r="C2864" s="35" t="s">
        <v>48</v>
      </c>
      <c r="D2864" s="35" t="s">
        <v>447</v>
      </c>
      <c r="E2864" s="35"/>
      <c r="F2864" s="35"/>
      <c r="G2864" s="35" t="s">
        <v>444</v>
      </c>
      <c r="H2864" s="35" t="s">
        <v>61</v>
      </c>
      <c r="I2864" s="4"/>
    </row>
    <row r="2865" customFormat="false" ht="15" hidden="false" customHeight="false" outlineLevel="0" collapsed="false">
      <c r="A2865" s="35" t="s">
        <v>6553</v>
      </c>
      <c r="B2865" s="35" t="s">
        <v>6554</v>
      </c>
      <c r="C2865" s="35" t="s">
        <v>48</v>
      </c>
      <c r="D2865" s="35" t="s">
        <v>447</v>
      </c>
      <c r="E2865" s="35"/>
      <c r="F2865" s="35"/>
      <c r="G2865" s="35" t="s">
        <v>444</v>
      </c>
      <c r="H2865" s="35" t="s">
        <v>61</v>
      </c>
      <c r="I2865" s="4"/>
    </row>
    <row r="2866" customFormat="false" ht="15" hidden="false" customHeight="false" outlineLevel="0" collapsed="false">
      <c r="A2866" s="35" t="s">
        <v>6555</v>
      </c>
      <c r="B2866" s="35" t="s">
        <v>6556</v>
      </c>
      <c r="C2866" s="35" t="s">
        <v>48</v>
      </c>
      <c r="D2866" s="35" t="s">
        <v>57</v>
      </c>
      <c r="E2866" s="35" t="s">
        <v>447</v>
      </c>
      <c r="F2866" s="35"/>
      <c r="G2866" s="35" t="s">
        <v>444</v>
      </c>
      <c r="H2866" s="35" t="s">
        <v>61</v>
      </c>
      <c r="I2866" s="4"/>
    </row>
    <row r="2867" customFormat="false" ht="15" hidden="false" customHeight="false" outlineLevel="0" collapsed="false">
      <c r="A2867" s="35" t="s">
        <v>6557</v>
      </c>
      <c r="B2867" s="35" t="s">
        <v>6558</v>
      </c>
      <c r="C2867" s="35" t="s">
        <v>48</v>
      </c>
      <c r="D2867" s="35" t="s">
        <v>57</v>
      </c>
      <c r="E2867" s="35" t="s">
        <v>454</v>
      </c>
      <c r="F2867" s="35"/>
      <c r="G2867" s="35" t="s">
        <v>444</v>
      </c>
      <c r="H2867" s="35" t="s">
        <v>61</v>
      </c>
      <c r="I2867" s="4"/>
    </row>
    <row r="2868" customFormat="false" ht="15" hidden="false" customHeight="false" outlineLevel="0" collapsed="false">
      <c r="A2868" s="35" t="s">
        <v>6559</v>
      </c>
      <c r="B2868" s="35" t="s">
        <v>6560</v>
      </c>
      <c r="C2868" s="35" t="s">
        <v>48</v>
      </c>
      <c r="D2868" s="35" t="s">
        <v>447</v>
      </c>
      <c r="E2868" s="35"/>
      <c r="F2868" s="35"/>
      <c r="G2868" s="35" t="s">
        <v>444</v>
      </c>
      <c r="H2868" s="35" t="s">
        <v>61</v>
      </c>
      <c r="I2868" s="4"/>
    </row>
    <row r="2869" customFormat="false" ht="15" hidden="false" customHeight="false" outlineLevel="0" collapsed="false">
      <c r="A2869" s="35" t="s">
        <v>6561</v>
      </c>
      <c r="B2869" s="35" t="s">
        <v>6556</v>
      </c>
      <c r="C2869" s="35" t="s">
        <v>48</v>
      </c>
      <c r="D2869" s="35" t="s">
        <v>57</v>
      </c>
      <c r="E2869" s="35" t="s">
        <v>447</v>
      </c>
      <c r="F2869" s="35"/>
      <c r="G2869" s="35" t="s">
        <v>444</v>
      </c>
      <c r="H2869" s="35" t="s">
        <v>61</v>
      </c>
      <c r="I2869" s="4"/>
    </row>
    <row r="2870" customFormat="false" ht="15" hidden="false" customHeight="false" outlineLevel="0" collapsed="false">
      <c r="A2870" s="35" t="s">
        <v>6562</v>
      </c>
      <c r="B2870" s="35" t="s">
        <v>6563</v>
      </c>
      <c r="C2870" s="35" t="s">
        <v>48</v>
      </c>
      <c r="D2870" s="35" t="s">
        <v>57</v>
      </c>
      <c r="E2870" s="35" t="s">
        <v>454</v>
      </c>
      <c r="F2870" s="35"/>
      <c r="G2870" s="35" t="s">
        <v>444</v>
      </c>
      <c r="H2870" s="35" t="s">
        <v>61</v>
      </c>
      <c r="I2870" s="4"/>
    </row>
    <row r="2871" customFormat="false" ht="15" hidden="false" customHeight="false" outlineLevel="0" collapsed="false">
      <c r="A2871" s="35" t="s">
        <v>6564</v>
      </c>
      <c r="B2871" s="35" t="s">
        <v>6565</v>
      </c>
      <c r="C2871" s="35" t="s">
        <v>48</v>
      </c>
      <c r="D2871" s="35" t="s">
        <v>447</v>
      </c>
      <c r="E2871" s="35"/>
      <c r="F2871" s="35"/>
      <c r="G2871" s="35" t="s">
        <v>444</v>
      </c>
      <c r="H2871" s="35" t="s">
        <v>61</v>
      </c>
      <c r="I2871" s="4"/>
    </row>
    <row r="2872" customFormat="false" ht="15" hidden="false" customHeight="false" outlineLevel="0" collapsed="false">
      <c r="A2872" s="35" t="s">
        <v>6566</v>
      </c>
      <c r="B2872" s="35" t="s">
        <v>4261</v>
      </c>
      <c r="C2872" s="35" t="s">
        <v>48</v>
      </c>
      <c r="D2872" s="35" t="s">
        <v>57</v>
      </c>
      <c r="E2872" s="35" t="s">
        <v>447</v>
      </c>
      <c r="F2872" s="35"/>
      <c r="G2872" s="35" t="s">
        <v>444</v>
      </c>
      <c r="H2872" s="35" t="s">
        <v>61</v>
      </c>
      <c r="I2872" s="4"/>
    </row>
    <row r="2873" customFormat="false" ht="15" hidden="false" customHeight="false" outlineLevel="0" collapsed="false">
      <c r="A2873" s="35" t="s">
        <v>6567</v>
      </c>
      <c r="B2873" s="35" t="s">
        <v>6563</v>
      </c>
      <c r="C2873" s="35" t="s">
        <v>48</v>
      </c>
      <c r="D2873" s="35" t="s">
        <v>57</v>
      </c>
      <c r="E2873" s="35" t="s">
        <v>454</v>
      </c>
      <c r="F2873" s="35"/>
      <c r="G2873" s="35" t="s">
        <v>444</v>
      </c>
      <c r="H2873" s="35" t="s">
        <v>61</v>
      </c>
      <c r="I2873" s="4"/>
    </row>
    <row r="2874" customFormat="false" ht="15" hidden="false" customHeight="false" outlineLevel="0" collapsed="false">
      <c r="A2874" s="35" t="s">
        <v>6568</v>
      </c>
      <c r="B2874" s="35" t="s">
        <v>6569</v>
      </c>
      <c r="C2874" s="35" t="s">
        <v>48</v>
      </c>
      <c r="D2874" s="35" t="s">
        <v>57</v>
      </c>
      <c r="E2874" s="35" t="s">
        <v>454</v>
      </c>
      <c r="F2874" s="35" t="s">
        <v>2534</v>
      </c>
      <c r="G2874" s="35" t="s">
        <v>691</v>
      </c>
      <c r="H2874" s="35" t="s">
        <v>61</v>
      </c>
      <c r="I2874" s="4"/>
    </row>
    <row r="2875" customFormat="false" ht="15" hidden="false" customHeight="false" outlineLevel="0" collapsed="false">
      <c r="A2875" s="35" t="s">
        <v>476</v>
      </c>
      <c r="B2875" s="35" t="s">
        <v>478</v>
      </c>
      <c r="C2875" s="35" t="s">
        <v>48</v>
      </c>
      <c r="D2875" s="35" t="s">
        <v>57</v>
      </c>
      <c r="E2875" s="35" t="s">
        <v>477</v>
      </c>
      <c r="F2875" s="35"/>
      <c r="G2875" s="35" t="s">
        <v>444</v>
      </c>
      <c r="H2875" s="35" t="s">
        <v>61</v>
      </c>
      <c r="I2875" s="4" t="s">
        <v>2025</v>
      </c>
    </row>
    <row r="2876" customFormat="false" ht="15" hidden="false" customHeight="false" outlineLevel="0" collapsed="false">
      <c r="A2876" s="35" t="s">
        <v>6570</v>
      </c>
      <c r="B2876" s="35" t="s">
        <v>6571</v>
      </c>
      <c r="C2876" s="35" t="s">
        <v>48</v>
      </c>
      <c r="D2876" s="35" t="s">
        <v>146</v>
      </c>
      <c r="E2876" s="35"/>
      <c r="F2876" s="35"/>
      <c r="G2876" s="35" t="s">
        <v>714</v>
      </c>
      <c r="H2876" s="35" t="s">
        <v>49</v>
      </c>
      <c r="I2876" s="4"/>
    </row>
    <row r="2877" customFormat="false" ht="15" hidden="false" customHeight="false" outlineLevel="0" collapsed="false">
      <c r="A2877" s="35" t="s">
        <v>6572</v>
      </c>
      <c r="B2877" s="35" t="s">
        <v>6573</v>
      </c>
      <c r="C2877" s="35" t="s">
        <v>48</v>
      </c>
      <c r="D2877" s="35" t="s">
        <v>146</v>
      </c>
      <c r="E2877" s="35"/>
      <c r="F2877" s="35"/>
      <c r="G2877" s="35" t="s">
        <v>49</v>
      </c>
      <c r="H2877" s="35" t="s">
        <v>49</v>
      </c>
      <c r="I2877" s="4"/>
    </row>
    <row r="2878" customFormat="false" ht="15" hidden="false" customHeight="false" outlineLevel="0" collapsed="false">
      <c r="A2878" s="35" t="s">
        <v>6574</v>
      </c>
      <c r="B2878" s="35" t="s">
        <v>6575</v>
      </c>
      <c r="C2878" s="35" t="s">
        <v>48</v>
      </c>
      <c r="D2878" s="35" t="s">
        <v>146</v>
      </c>
      <c r="E2878" s="35"/>
      <c r="F2878" s="35"/>
      <c r="G2878" s="35" t="s">
        <v>545</v>
      </c>
      <c r="H2878" s="35" t="s">
        <v>369</v>
      </c>
      <c r="I2878" s="4"/>
    </row>
    <row r="2879" customFormat="false" ht="15" hidden="false" customHeight="false" outlineLevel="0" collapsed="false">
      <c r="A2879" s="35" t="s">
        <v>6576</v>
      </c>
      <c r="B2879" s="35" t="s">
        <v>6577</v>
      </c>
      <c r="C2879" s="35" t="s">
        <v>48</v>
      </c>
      <c r="D2879" s="35" t="s">
        <v>146</v>
      </c>
      <c r="E2879" s="35"/>
      <c r="F2879" s="35"/>
      <c r="G2879" s="35" t="s">
        <v>545</v>
      </c>
      <c r="H2879" s="35" t="s">
        <v>369</v>
      </c>
      <c r="I2879" s="4"/>
    </row>
    <row r="2880" customFormat="false" ht="15" hidden="false" customHeight="false" outlineLevel="0" collapsed="false">
      <c r="A2880" s="35" t="s">
        <v>6578</v>
      </c>
      <c r="B2880" s="35" t="s">
        <v>6579</v>
      </c>
      <c r="C2880" s="35" t="s">
        <v>48</v>
      </c>
      <c r="D2880" s="35" t="s">
        <v>57</v>
      </c>
      <c r="E2880" s="35" t="s">
        <v>853</v>
      </c>
      <c r="F2880" s="35"/>
      <c r="G2880" s="35" t="s">
        <v>444</v>
      </c>
      <c r="H2880" s="35" t="s">
        <v>61</v>
      </c>
      <c r="I2880" s="4"/>
    </row>
    <row r="2881" customFormat="false" ht="15" hidden="false" customHeight="false" outlineLevel="0" collapsed="false">
      <c r="A2881" s="35" t="s">
        <v>6580</v>
      </c>
      <c r="B2881" s="35" t="s">
        <v>6581</v>
      </c>
      <c r="C2881" s="35" t="s">
        <v>48</v>
      </c>
      <c r="D2881" s="35" t="s">
        <v>53</v>
      </c>
      <c r="E2881" s="35"/>
      <c r="F2881" s="35"/>
      <c r="G2881" s="35" t="s">
        <v>444</v>
      </c>
      <c r="H2881" s="35" t="s">
        <v>61</v>
      </c>
      <c r="I2881" s="4"/>
    </row>
    <row r="2882" customFormat="false" ht="15" hidden="false" customHeight="false" outlineLevel="0" collapsed="false">
      <c r="A2882" s="35" t="s">
        <v>6582</v>
      </c>
      <c r="B2882" s="35" t="s">
        <v>6583</v>
      </c>
      <c r="C2882" s="35" t="s">
        <v>48</v>
      </c>
      <c r="D2882" s="35" t="s">
        <v>447</v>
      </c>
      <c r="E2882" s="35"/>
      <c r="F2882" s="35"/>
      <c r="G2882" s="35" t="s">
        <v>444</v>
      </c>
      <c r="H2882" s="35" t="s">
        <v>61</v>
      </c>
      <c r="I2882" s="4"/>
    </row>
    <row r="2883" customFormat="false" ht="15" hidden="false" customHeight="false" outlineLevel="0" collapsed="false">
      <c r="A2883" s="35" t="s">
        <v>6584</v>
      </c>
      <c r="B2883" s="35" t="s">
        <v>6585</v>
      </c>
      <c r="C2883" s="35" t="s">
        <v>48</v>
      </c>
      <c r="D2883" s="35" t="s">
        <v>447</v>
      </c>
      <c r="E2883" s="35"/>
      <c r="F2883" s="35"/>
      <c r="G2883" s="35" t="s">
        <v>444</v>
      </c>
      <c r="H2883" s="35" t="s">
        <v>61</v>
      </c>
      <c r="I2883" s="4"/>
    </row>
    <row r="2884" customFormat="false" ht="15" hidden="false" customHeight="false" outlineLevel="0" collapsed="false">
      <c r="A2884" s="35" t="s">
        <v>6586</v>
      </c>
      <c r="B2884" s="35" t="s">
        <v>6587</v>
      </c>
      <c r="C2884" s="35" t="s">
        <v>48</v>
      </c>
      <c r="D2884" s="35" t="s">
        <v>447</v>
      </c>
      <c r="E2884" s="35"/>
      <c r="F2884" s="35" t="s">
        <v>6588</v>
      </c>
      <c r="G2884" s="35" t="s">
        <v>699</v>
      </c>
      <c r="H2884" s="35" t="s">
        <v>61</v>
      </c>
      <c r="I2884" s="4"/>
    </row>
    <row r="2885" customFormat="false" ht="15" hidden="false" customHeight="false" outlineLevel="0" collapsed="false">
      <c r="A2885" s="35" t="s">
        <v>6589</v>
      </c>
      <c r="B2885" s="35" t="s">
        <v>6590</v>
      </c>
      <c r="C2885" s="35" t="s">
        <v>48</v>
      </c>
      <c r="D2885" s="35" t="s">
        <v>447</v>
      </c>
      <c r="E2885" s="35"/>
      <c r="F2885" s="35"/>
      <c r="G2885" s="35" t="s">
        <v>681</v>
      </c>
      <c r="H2885" s="35" t="s">
        <v>61</v>
      </c>
      <c r="I2885" s="4"/>
    </row>
    <row r="2886" customFormat="false" ht="15" hidden="false" customHeight="false" outlineLevel="0" collapsed="false">
      <c r="A2886" s="35" t="s">
        <v>6591</v>
      </c>
      <c r="B2886" s="35" t="s">
        <v>6592</v>
      </c>
      <c r="C2886" s="35" t="s">
        <v>48</v>
      </c>
      <c r="D2886" s="35" t="s">
        <v>146</v>
      </c>
      <c r="E2886" s="35"/>
      <c r="F2886" s="35"/>
      <c r="G2886" s="35" t="s">
        <v>545</v>
      </c>
      <c r="H2886" s="35" t="s">
        <v>61</v>
      </c>
      <c r="I2886" s="4"/>
    </row>
    <row r="2887" customFormat="false" ht="15" hidden="false" customHeight="false" outlineLevel="0" collapsed="false">
      <c r="A2887" s="35" t="s">
        <v>6593</v>
      </c>
      <c r="B2887" s="35" t="s">
        <v>6594</v>
      </c>
      <c r="C2887" s="35" t="s">
        <v>48</v>
      </c>
      <c r="D2887" s="35" t="s">
        <v>146</v>
      </c>
      <c r="E2887" s="35"/>
      <c r="F2887" s="35"/>
      <c r="G2887" s="35" t="s">
        <v>682</v>
      </c>
      <c r="H2887" s="35" t="s">
        <v>49</v>
      </c>
      <c r="I2887" s="4"/>
    </row>
    <row r="2888" customFormat="false" ht="15" hidden="false" customHeight="false" outlineLevel="0" collapsed="false">
      <c r="A2888" s="35" t="s">
        <v>6595</v>
      </c>
      <c r="B2888" s="35" t="s">
        <v>6596</v>
      </c>
      <c r="C2888" s="35" t="s">
        <v>48</v>
      </c>
      <c r="D2888" s="35" t="s">
        <v>447</v>
      </c>
      <c r="E2888" s="35"/>
      <c r="F2888" s="35"/>
      <c r="G2888" s="35" t="s">
        <v>681</v>
      </c>
      <c r="H2888" s="35" t="s">
        <v>61</v>
      </c>
      <c r="I2888" s="4"/>
    </row>
    <row r="2889" customFormat="false" ht="15" hidden="false" customHeight="false" outlineLevel="0" collapsed="false">
      <c r="A2889" s="35" t="s">
        <v>6597</v>
      </c>
      <c r="B2889" s="35" t="s">
        <v>6598</v>
      </c>
      <c r="C2889" s="35" t="s">
        <v>48</v>
      </c>
      <c r="D2889" s="35" t="s">
        <v>146</v>
      </c>
      <c r="E2889" s="35"/>
      <c r="F2889" s="35"/>
      <c r="G2889" s="35" t="s">
        <v>119</v>
      </c>
      <c r="H2889" s="35" t="s">
        <v>61</v>
      </c>
      <c r="I2889" s="4"/>
    </row>
    <row r="2890" customFormat="false" ht="15" hidden="false" customHeight="false" outlineLevel="0" collapsed="false">
      <c r="A2890" s="35" t="s">
        <v>6599</v>
      </c>
      <c r="B2890" s="35" t="s">
        <v>6600</v>
      </c>
      <c r="C2890" s="35" t="s">
        <v>48</v>
      </c>
      <c r="D2890" s="35" t="s">
        <v>146</v>
      </c>
      <c r="E2890" s="35"/>
      <c r="F2890" s="35"/>
      <c r="G2890" s="35" t="s">
        <v>119</v>
      </c>
      <c r="H2890" s="35" t="s">
        <v>61</v>
      </c>
      <c r="I2890" s="4"/>
    </row>
    <row r="2891" customFormat="false" ht="15" hidden="false" customHeight="false" outlineLevel="0" collapsed="false">
      <c r="A2891" s="35" t="s">
        <v>6601</v>
      </c>
      <c r="B2891" s="35" t="s">
        <v>6602</v>
      </c>
      <c r="C2891" s="35" t="s">
        <v>48</v>
      </c>
      <c r="D2891" s="35" t="s">
        <v>146</v>
      </c>
      <c r="E2891" s="35"/>
      <c r="F2891" s="35"/>
      <c r="G2891" s="35" t="s">
        <v>119</v>
      </c>
      <c r="H2891" s="35" t="s">
        <v>61</v>
      </c>
      <c r="I2891" s="4"/>
    </row>
    <row r="2892" customFormat="false" ht="15" hidden="false" customHeight="false" outlineLevel="0" collapsed="false">
      <c r="A2892" s="35" t="s">
        <v>6603</v>
      </c>
      <c r="B2892" s="35" t="s">
        <v>6604</v>
      </c>
      <c r="C2892" s="35" t="s">
        <v>48</v>
      </c>
      <c r="D2892" s="35" t="s">
        <v>146</v>
      </c>
      <c r="E2892" s="35"/>
      <c r="F2892" s="35"/>
      <c r="G2892" s="35" t="s">
        <v>49</v>
      </c>
      <c r="H2892" s="35" t="s">
        <v>49</v>
      </c>
      <c r="I2892" s="4"/>
    </row>
    <row r="2893" customFormat="false" ht="15" hidden="false" customHeight="false" outlineLevel="0" collapsed="false">
      <c r="A2893" s="35" t="s">
        <v>6605</v>
      </c>
      <c r="B2893" s="35" t="s">
        <v>6606</v>
      </c>
      <c r="C2893" s="35" t="s">
        <v>48</v>
      </c>
      <c r="D2893" s="35" t="s">
        <v>146</v>
      </c>
      <c r="E2893" s="35"/>
      <c r="F2893" s="35"/>
      <c r="G2893" s="35" t="s">
        <v>49</v>
      </c>
      <c r="H2893" s="35" t="s">
        <v>49</v>
      </c>
      <c r="I2893" s="4"/>
    </row>
    <row r="2894" customFormat="false" ht="15" hidden="false" customHeight="false" outlineLevel="0" collapsed="false">
      <c r="A2894" s="35" t="s">
        <v>6607</v>
      </c>
      <c r="B2894" s="35" t="s">
        <v>6608</v>
      </c>
      <c r="C2894" s="35" t="s">
        <v>48</v>
      </c>
      <c r="D2894" s="35" t="s">
        <v>146</v>
      </c>
      <c r="E2894" s="35"/>
      <c r="F2894" s="35"/>
      <c r="G2894" s="35" t="s">
        <v>545</v>
      </c>
      <c r="H2894" s="35" t="s">
        <v>61</v>
      </c>
      <c r="I2894" s="4"/>
    </row>
    <row r="2895" customFormat="false" ht="15" hidden="false" customHeight="false" outlineLevel="0" collapsed="false">
      <c r="A2895" s="35" t="s">
        <v>6609</v>
      </c>
      <c r="B2895" s="35" t="s">
        <v>6610</v>
      </c>
      <c r="C2895" s="35" t="s">
        <v>48</v>
      </c>
      <c r="D2895" s="35" t="s">
        <v>146</v>
      </c>
      <c r="E2895" s="35"/>
      <c r="F2895" s="35" t="s">
        <v>4932</v>
      </c>
      <c r="G2895" s="35" t="s">
        <v>689</v>
      </c>
      <c r="H2895" s="35" t="s">
        <v>61</v>
      </c>
      <c r="I2895" s="4"/>
    </row>
    <row r="2896" customFormat="false" ht="15" hidden="false" customHeight="false" outlineLevel="0" collapsed="false">
      <c r="A2896" s="35" t="s">
        <v>6611</v>
      </c>
      <c r="B2896" s="35" t="s">
        <v>6612</v>
      </c>
      <c r="C2896" s="35" t="s">
        <v>48</v>
      </c>
      <c r="D2896" s="35" t="s">
        <v>146</v>
      </c>
      <c r="E2896" s="35"/>
      <c r="F2896" s="35"/>
      <c r="G2896" s="35" t="s">
        <v>49</v>
      </c>
      <c r="H2896" s="35" t="s">
        <v>49</v>
      </c>
      <c r="I2896" s="4"/>
    </row>
    <row r="2897" customFormat="false" ht="15" hidden="false" customHeight="false" outlineLevel="0" collapsed="false">
      <c r="A2897" s="35" t="s">
        <v>6613</v>
      </c>
      <c r="B2897" s="35" t="s">
        <v>6614</v>
      </c>
      <c r="C2897" s="35" t="s">
        <v>48</v>
      </c>
      <c r="D2897" s="35" t="s">
        <v>146</v>
      </c>
      <c r="E2897" s="35"/>
      <c r="F2897" s="35"/>
      <c r="G2897" s="35" t="s">
        <v>119</v>
      </c>
      <c r="H2897" s="35" t="s">
        <v>61</v>
      </c>
      <c r="I2897" s="4"/>
    </row>
    <row r="2898" customFormat="false" ht="15" hidden="false" customHeight="false" outlineLevel="0" collapsed="false">
      <c r="A2898" s="35" t="s">
        <v>6615</v>
      </c>
      <c r="B2898" s="35" t="s">
        <v>6616</v>
      </c>
      <c r="C2898" s="35" t="s">
        <v>48</v>
      </c>
      <c r="D2898" s="35" t="s">
        <v>146</v>
      </c>
      <c r="E2898" s="35"/>
      <c r="F2898" s="35"/>
      <c r="G2898" s="35" t="s">
        <v>49</v>
      </c>
      <c r="H2898" s="35" t="s">
        <v>49</v>
      </c>
      <c r="I2898" s="4"/>
    </row>
    <row r="2899" customFormat="false" ht="15" hidden="false" customHeight="false" outlineLevel="0" collapsed="false">
      <c r="A2899" s="35" t="s">
        <v>6617</v>
      </c>
      <c r="B2899" s="35" t="s">
        <v>6618</v>
      </c>
      <c r="C2899" s="35" t="s">
        <v>48</v>
      </c>
      <c r="D2899" s="35" t="s">
        <v>447</v>
      </c>
      <c r="E2899" s="35"/>
      <c r="F2899" s="35"/>
      <c r="G2899" s="35" t="s">
        <v>444</v>
      </c>
      <c r="H2899" s="35" t="s">
        <v>61</v>
      </c>
      <c r="I2899" s="4"/>
    </row>
    <row r="2900" customFormat="false" ht="15" hidden="false" customHeight="false" outlineLevel="0" collapsed="false">
      <c r="A2900" s="35" t="s">
        <v>6619</v>
      </c>
      <c r="B2900" s="35" t="s">
        <v>6620</v>
      </c>
      <c r="C2900" s="35" t="s">
        <v>48</v>
      </c>
      <c r="D2900" s="35" t="s">
        <v>57</v>
      </c>
      <c r="E2900" s="35" t="s">
        <v>447</v>
      </c>
      <c r="F2900" s="35"/>
      <c r="G2900" s="35" t="s">
        <v>444</v>
      </c>
      <c r="H2900" s="35" t="s">
        <v>61</v>
      </c>
      <c r="I2900" s="4"/>
    </row>
    <row r="2901" customFormat="false" ht="15" hidden="false" customHeight="false" outlineLevel="0" collapsed="false">
      <c r="A2901" s="35" t="s">
        <v>6621</v>
      </c>
      <c r="B2901" s="35" t="s">
        <v>6622</v>
      </c>
      <c r="C2901" s="35" t="s">
        <v>48</v>
      </c>
      <c r="D2901" s="35" t="s">
        <v>57</v>
      </c>
      <c r="E2901" s="35" t="s">
        <v>454</v>
      </c>
      <c r="F2901" s="35"/>
      <c r="G2901" s="35" t="s">
        <v>444</v>
      </c>
      <c r="H2901" s="35" t="s">
        <v>61</v>
      </c>
      <c r="I2901" s="4"/>
    </row>
    <row r="2902" customFormat="false" ht="15" hidden="false" customHeight="false" outlineLevel="0" collapsed="false">
      <c r="A2902" s="35" t="s">
        <v>6623</v>
      </c>
      <c r="B2902" s="35" t="s">
        <v>6624</v>
      </c>
      <c r="C2902" s="35" t="s">
        <v>48</v>
      </c>
      <c r="D2902" s="35" t="s">
        <v>447</v>
      </c>
      <c r="E2902" s="35"/>
      <c r="F2902" s="35"/>
      <c r="G2902" s="35" t="s">
        <v>444</v>
      </c>
      <c r="H2902" s="35" t="s">
        <v>61</v>
      </c>
      <c r="I2902" s="4"/>
    </row>
    <row r="2903" customFormat="false" ht="15" hidden="false" customHeight="false" outlineLevel="0" collapsed="false">
      <c r="A2903" s="35" t="s">
        <v>6625</v>
      </c>
      <c r="B2903" s="35" t="s">
        <v>6626</v>
      </c>
      <c r="C2903" s="35" t="s">
        <v>48</v>
      </c>
      <c r="D2903" s="35" t="s">
        <v>57</v>
      </c>
      <c r="E2903" s="35" t="s">
        <v>447</v>
      </c>
      <c r="F2903" s="35"/>
      <c r="G2903" s="35" t="s">
        <v>444</v>
      </c>
      <c r="H2903" s="35" t="s">
        <v>61</v>
      </c>
      <c r="I2903" s="4"/>
    </row>
    <row r="2904" customFormat="false" ht="15" hidden="false" customHeight="false" outlineLevel="0" collapsed="false">
      <c r="A2904" s="35" t="s">
        <v>6627</v>
      </c>
      <c r="B2904" s="35" t="s">
        <v>6628</v>
      </c>
      <c r="C2904" s="35" t="s">
        <v>48</v>
      </c>
      <c r="D2904" s="35" t="s">
        <v>57</v>
      </c>
      <c r="E2904" s="35" t="s">
        <v>454</v>
      </c>
      <c r="F2904" s="35"/>
      <c r="G2904" s="35" t="s">
        <v>444</v>
      </c>
      <c r="H2904" s="35" t="s">
        <v>61</v>
      </c>
      <c r="I2904" s="4"/>
    </row>
    <row r="2905" customFormat="false" ht="15" hidden="false" customHeight="false" outlineLevel="0" collapsed="false">
      <c r="A2905" s="35" t="s">
        <v>6629</v>
      </c>
      <c r="B2905" s="35" t="s">
        <v>6630</v>
      </c>
      <c r="C2905" s="35" t="s">
        <v>48</v>
      </c>
      <c r="D2905" s="35" t="s">
        <v>447</v>
      </c>
      <c r="E2905" s="35"/>
      <c r="F2905" s="35"/>
      <c r="G2905" s="35" t="s">
        <v>444</v>
      </c>
      <c r="H2905" s="35" t="s">
        <v>61</v>
      </c>
      <c r="I2905" s="4"/>
    </row>
    <row r="2906" customFormat="false" ht="15" hidden="false" customHeight="false" outlineLevel="0" collapsed="false">
      <c r="A2906" s="35" t="s">
        <v>6631</v>
      </c>
      <c r="B2906" s="35" t="s">
        <v>4261</v>
      </c>
      <c r="C2906" s="35" t="s">
        <v>48</v>
      </c>
      <c r="D2906" s="35" t="s">
        <v>57</v>
      </c>
      <c r="E2906" s="35" t="s">
        <v>447</v>
      </c>
      <c r="F2906" s="35"/>
      <c r="G2906" s="35" t="s">
        <v>444</v>
      </c>
      <c r="H2906" s="35" t="s">
        <v>61</v>
      </c>
      <c r="I2906" s="4"/>
    </row>
    <row r="2907" customFormat="false" ht="15" hidden="false" customHeight="false" outlineLevel="0" collapsed="false">
      <c r="A2907" s="35" t="s">
        <v>6632</v>
      </c>
      <c r="B2907" s="35" t="s">
        <v>6628</v>
      </c>
      <c r="C2907" s="35" t="s">
        <v>48</v>
      </c>
      <c r="D2907" s="35" t="s">
        <v>57</v>
      </c>
      <c r="E2907" s="35" t="s">
        <v>454</v>
      </c>
      <c r="F2907" s="35"/>
      <c r="G2907" s="35" t="s">
        <v>444</v>
      </c>
      <c r="H2907" s="35" t="s">
        <v>61</v>
      </c>
      <c r="I2907" s="4"/>
    </row>
    <row r="2908" customFormat="false" ht="15" hidden="false" customHeight="false" outlineLevel="0" collapsed="false">
      <c r="A2908" s="35" t="s">
        <v>6633</v>
      </c>
      <c r="B2908" s="35" t="s">
        <v>6634</v>
      </c>
      <c r="C2908" s="35" t="s">
        <v>48</v>
      </c>
      <c r="D2908" s="35" t="s">
        <v>447</v>
      </c>
      <c r="E2908" s="35"/>
      <c r="F2908" s="35"/>
      <c r="G2908" s="35" t="s">
        <v>444</v>
      </c>
      <c r="H2908" s="35" t="s">
        <v>61</v>
      </c>
      <c r="I2908" s="4"/>
    </row>
    <row r="2909" customFormat="false" ht="15" hidden="false" customHeight="false" outlineLevel="0" collapsed="false">
      <c r="A2909" s="35" t="s">
        <v>6635</v>
      </c>
      <c r="B2909" s="35" t="s">
        <v>6556</v>
      </c>
      <c r="C2909" s="35" t="s">
        <v>48</v>
      </c>
      <c r="D2909" s="35" t="s">
        <v>57</v>
      </c>
      <c r="E2909" s="35" t="s">
        <v>447</v>
      </c>
      <c r="F2909" s="35"/>
      <c r="G2909" s="35" t="s">
        <v>444</v>
      </c>
      <c r="H2909" s="35" t="s">
        <v>61</v>
      </c>
      <c r="I2909" s="4"/>
    </row>
    <row r="2910" customFormat="false" ht="15" hidden="false" customHeight="false" outlineLevel="0" collapsed="false">
      <c r="A2910" s="35" t="s">
        <v>6636</v>
      </c>
      <c r="B2910" s="35" t="s">
        <v>6637</v>
      </c>
      <c r="C2910" s="35" t="s">
        <v>48</v>
      </c>
      <c r="D2910" s="35" t="s">
        <v>57</v>
      </c>
      <c r="E2910" s="35" t="s">
        <v>454</v>
      </c>
      <c r="F2910" s="35"/>
      <c r="G2910" s="35" t="s">
        <v>444</v>
      </c>
      <c r="H2910" s="35" t="s">
        <v>61</v>
      </c>
      <c r="I2910" s="4"/>
    </row>
    <row r="2911" customFormat="false" ht="15" hidden="false" customHeight="false" outlineLevel="0" collapsed="false">
      <c r="A2911" s="35" t="s">
        <v>6638</v>
      </c>
      <c r="B2911" s="35" t="s">
        <v>6639</v>
      </c>
      <c r="C2911" s="35" t="s">
        <v>48</v>
      </c>
      <c r="D2911" s="35" t="s">
        <v>447</v>
      </c>
      <c r="E2911" s="35"/>
      <c r="F2911" s="35"/>
      <c r="G2911" s="35" t="s">
        <v>444</v>
      </c>
      <c r="H2911" s="35" t="s">
        <v>61</v>
      </c>
      <c r="I2911" s="4"/>
    </row>
    <row r="2912" customFormat="false" ht="15" hidden="false" customHeight="false" outlineLevel="0" collapsed="false">
      <c r="A2912" s="35" t="s">
        <v>6640</v>
      </c>
      <c r="B2912" s="35" t="s">
        <v>6556</v>
      </c>
      <c r="C2912" s="35" t="s">
        <v>48</v>
      </c>
      <c r="D2912" s="35" t="s">
        <v>57</v>
      </c>
      <c r="E2912" s="35" t="s">
        <v>447</v>
      </c>
      <c r="F2912" s="35"/>
      <c r="G2912" s="35" t="s">
        <v>444</v>
      </c>
      <c r="H2912" s="35" t="s">
        <v>61</v>
      </c>
      <c r="I2912" s="4"/>
    </row>
    <row r="2913" customFormat="false" ht="15" hidden="false" customHeight="false" outlineLevel="0" collapsed="false">
      <c r="A2913" s="35" t="s">
        <v>6641</v>
      </c>
      <c r="B2913" s="35" t="s">
        <v>6642</v>
      </c>
      <c r="C2913" s="35" t="s">
        <v>48</v>
      </c>
      <c r="D2913" s="35" t="s">
        <v>57</v>
      </c>
      <c r="E2913" s="35" t="s">
        <v>454</v>
      </c>
      <c r="F2913" s="35"/>
      <c r="G2913" s="35" t="s">
        <v>444</v>
      </c>
      <c r="H2913" s="35" t="s">
        <v>61</v>
      </c>
      <c r="I2913" s="4"/>
    </row>
    <row r="2914" customFormat="false" ht="15" hidden="false" customHeight="false" outlineLevel="0" collapsed="false">
      <c r="A2914" s="35" t="s">
        <v>6643</v>
      </c>
      <c r="B2914" s="35" t="s">
        <v>6644</v>
      </c>
      <c r="C2914" s="35" t="s">
        <v>48</v>
      </c>
      <c r="D2914" s="35" t="s">
        <v>447</v>
      </c>
      <c r="E2914" s="35"/>
      <c r="F2914" s="35"/>
      <c r="G2914" s="35" t="s">
        <v>444</v>
      </c>
      <c r="H2914" s="35" t="s">
        <v>61</v>
      </c>
      <c r="I2914" s="4"/>
    </row>
    <row r="2915" customFormat="false" ht="15" hidden="false" customHeight="false" outlineLevel="0" collapsed="false">
      <c r="A2915" s="35" t="s">
        <v>6645</v>
      </c>
      <c r="B2915" s="35" t="s">
        <v>4261</v>
      </c>
      <c r="C2915" s="35" t="s">
        <v>48</v>
      </c>
      <c r="D2915" s="35" t="s">
        <v>57</v>
      </c>
      <c r="E2915" s="35" t="s">
        <v>447</v>
      </c>
      <c r="F2915" s="35"/>
      <c r="G2915" s="35" t="s">
        <v>444</v>
      </c>
      <c r="H2915" s="35" t="s">
        <v>61</v>
      </c>
      <c r="I2915" s="4"/>
    </row>
    <row r="2916" customFormat="false" ht="15" hidden="false" customHeight="false" outlineLevel="0" collapsed="false">
      <c r="A2916" s="35" t="s">
        <v>6646</v>
      </c>
      <c r="B2916" s="35" t="s">
        <v>6563</v>
      </c>
      <c r="C2916" s="35" t="s">
        <v>48</v>
      </c>
      <c r="D2916" s="35" t="s">
        <v>57</v>
      </c>
      <c r="E2916" s="35" t="s">
        <v>454</v>
      </c>
      <c r="F2916" s="35"/>
      <c r="G2916" s="35" t="s">
        <v>444</v>
      </c>
      <c r="H2916" s="35" t="s">
        <v>61</v>
      </c>
      <c r="I2916" s="4"/>
    </row>
    <row r="2917" customFormat="false" ht="15" hidden="false" customHeight="false" outlineLevel="0" collapsed="false">
      <c r="A2917" s="35" t="s">
        <v>6647</v>
      </c>
      <c r="B2917" s="35" t="s">
        <v>6648</v>
      </c>
      <c r="C2917" s="35" t="s">
        <v>48</v>
      </c>
      <c r="D2917" s="35" t="s">
        <v>447</v>
      </c>
      <c r="E2917" s="35"/>
      <c r="F2917" s="35"/>
      <c r="G2917" s="35" t="s">
        <v>680</v>
      </c>
      <c r="H2917" s="35" t="s">
        <v>61</v>
      </c>
      <c r="I2917" s="4"/>
    </row>
    <row r="2918" customFormat="false" ht="15" hidden="false" customHeight="false" outlineLevel="0" collapsed="false">
      <c r="A2918" s="35" t="s">
        <v>6649</v>
      </c>
      <c r="B2918" s="35" t="s">
        <v>6650</v>
      </c>
      <c r="C2918" s="35" t="s">
        <v>48</v>
      </c>
      <c r="D2918" s="35" t="s">
        <v>447</v>
      </c>
      <c r="E2918" s="35"/>
      <c r="F2918" s="35"/>
      <c r="G2918" s="35" t="s">
        <v>680</v>
      </c>
      <c r="H2918" s="35" t="s">
        <v>61</v>
      </c>
      <c r="I2918" s="4"/>
    </row>
    <row r="2919" customFormat="false" ht="15" hidden="false" customHeight="false" outlineLevel="0" collapsed="false">
      <c r="A2919" s="35" t="s">
        <v>6651</v>
      </c>
      <c r="B2919" s="35" t="s">
        <v>6652</v>
      </c>
      <c r="C2919" s="35" t="s">
        <v>48</v>
      </c>
      <c r="D2919" s="35" t="s">
        <v>146</v>
      </c>
      <c r="E2919" s="35"/>
      <c r="F2919" s="35"/>
      <c r="G2919" s="35" t="s">
        <v>689</v>
      </c>
      <c r="H2919" s="35" t="s">
        <v>61</v>
      </c>
      <c r="I2919" s="4"/>
    </row>
    <row r="2920" customFormat="false" ht="15" hidden="false" customHeight="false" outlineLevel="0" collapsed="false">
      <c r="A2920" s="35" t="s">
        <v>6653</v>
      </c>
      <c r="B2920" s="35" t="s">
        <v>6654</v>
      </c>
      <c r="C2920" s="35" t="s">
        <v>48</v>
      </c>
      <c r="D2920" s="35" t="s">
        <v>146</v>
      </c>
      <c r="E2920" s="35"/>
      <c r="F2920" s="35" t="s">
        <v>2147</v>
      </c>
      <c r="G2920" s="35" t="s">
        <v>689</v>
      </c>
      <c r="H2920" s="35" t="s">
        <v>61</v>
      </c>
      <c r="I2920" s="4"/>
    </row>
    <row r="2921" customFormat="false" ht="15" hidden="false" customHeight="false" outlineLevel="0" collapsed="false">
      <c r="A2921" s="35" t="s">
        <v>6655</v>
      </c>
      <c r="B2921" s="35" t="s">
        <v>6656</v>
      </c>
      <c r="C2921" s="35" t="s">
        <v>48</v>
      </c>
      <c r="D2921" s="35" t="s">
        <v>447</v>
      </c>
      <c r="E2921" s="35"/>
      <c r="F2921" s="35"/>
      <c r="G2921" s="35" t="s">
        <v>444</v>
      </c>
      <c r="H2921" s="35" t="s">
        <v>61</v>
      </c>
      <c r="I2921" s="4"/>
    </row>
    <row r="2922" customFormat="false" ht="15" hidden="false" customHeight="false" outlineLevel="0" collapsed="false">
      <c r="A2922" s="35" t="s">
        <v>6657</v>
      </c>
      <c r="B2922" s="35" t="s">
        <v>6658</v>
      </c>
      <c r="C2922" s="35" t="s">
        <v>48</v>
      </c>
      <c r="D2922" s="35" t="s">
        <v>447</v>
      </c>
      <c r="E2922" s="35"/>
      <c r="F2922" s="35" t="s">
        <v>447</v>
      </c>
      <c r="G2922" s="35" t="s">
        <v>444</v>
      </c>
      <c r="H2922" s="35" t="s">
        <v>61</v>
      </c>
      <c r="I2922" s="4"/>
    </row>
    <row r="2923" customFormat="false" ht="15" hidden="false" customHeight="false" outlineLevel="0" collapsed="false">
      <c r="A2923" s="35" t="s">
        <v>1820</v>
      </c>
      <c r="B2923" s="35" t="s">
        <v>6659</v>
      </c>
      <c r="C2923" s="35" t="s">
        <v>48</v>
      </c>
      <c r="D2923" s="35" t="s">
        <v>107</v>
      </c>
      <c r="E2923" s="35" t="s">
        <v>1819</v>
      </c>
      <c r="F2923" s="35" t="s">
        <v>447</v>
      </c>
      <c r="G2923" s="35" t="s">
        <v>444</v>
      </c>
      <c r="H2923" s="35" t="s">
        <v>61</v>
      </c>
      <c r="I2923" s="4"/>
    </row>
    <row r="2924" customFormat="false" ht="15" hidden="false" customHeight="false" outlineLevel="0" collapsed="false">
      <c r="A2924" s="35" t="s">
        <v>1822</v>
      </c>
      <c r="B2924" s="35" t="s">
        <v>6659</v>
      </c>
      <c r="C2924" s="35" t="s">
        <v>48</v>
      </c>
      <c r="D2924" s="35" t="s">
        <v>107</v>
      </c>
      <c r="E2924" s="35" t="s">
        <v>1821</v>
      </c>
      <c r="F2924" s="35" t="s">
        <v>447</v>
      </c>
      <c r="G2924" s="35" t="s">
        <v>444</v>
      </c>
      <c r="H2924" s="35" t="s">
        <v>61</v>
      </c>
      <c r="I2924" s="4"/>
    </row>
    <row r="2925" customFormat="false" ht="15" hidden="false" customHeight="false" outlineLevel="0" collapsed="false">
      <c r="A2925" s="35" t="s">
        <v>468</v>
      </c>
      <c r="B2925" s="35" t="s">
        <v>469</v>
      </c>
      <c r="C2925" s="35" t="s">
        <v>48</v>
      </c>
      <c r="D2925" s="35" t="s">
        <v>447</v>
      </c>
      <c r="E2925" s="35"/>
      <c r="F2925" s="35"/>
      <c r="G2925" s="35" t="s">
        <v>444</v>
      </c>
      <c r="H2925" s="35" t="s">
        <v>61</v>
      </c>
      <c r="I2925" s="4" t="s">
        <v>2025</v>
      </c>
    </row>
    <row r="2926" customFormat="false" ht="15" hidden="false" customHeight="false" outlineLevel="0" collapsed="false">
      <c r="A2926" s="35" t="s">
        <v>6660</v>
      </c>
      <c r="B2926" s="35" t="s">
        <v>6661</v>
      </c>
      <c r="C2926" s="35" t="s">
        <v>48</v>
      </c>
      <c r="D2926" s="35" t="s">
        <v>146</v>
      </c>
      <c r="E2926" s="35"/>
      <c r="F2926" s="35"/>
      <c r="G2926" s="35" t="s">
        <v>119</v>
      </c>
      <c r="H2926" s="35" t="s">
        <v>61</v>
      </c>
      <c r="I2926" s="4"/>
    </row>
    <row r="2927" customFormat="false" ht="15" hidden="false" customHeight="false" outlineLevel="0" collapsed="false">
      <c r="A2927" s="35" t="s">
        <v>6662</v>
      </c>
      <c r="B2927" s="35" t="s">
        <v>6663</v>
      </c>
      <c r="C2927" s="35" t="s">
        <v>48</v>
      </c>
      <c r="D2927" s="35" t="s">
        <v>146</v>
      </c>
      <c r="E2927" s="35"/>
      <c r="F2927" s="35"/>
      <c r="G2927" s="35" t="s">
        <v>49</v>
      </c>
      <c r="H2927" s="35" t="s">
        <v>49</v>
      </c>
      <c r="I2927" s="4"/>
    </row>
    <row r="2928" customFormat="false" ht="15" hidden="false" customHeight="false" outlineLevel="0" collapsed="false">
      <c r="A2928" s="35" t="s">
        <v>6664</v>
      </c>
      <c r="B2928" s="35" t="s">
        <v>6665</v>
      </c>
      <c r="C2928" s="35" t="s">
        <v>48</v>
      </c>
      <c r="D2928" s="35" t="s">
        <v>447</v>
      </c>
      <c r="E2928" s="35"/>
      <c r="F2928" s="35"/>
      <c r="G2928" s="35" t="s">
        <v>680</v>
      </c>
      <c r="H2928" s="35" t="s">
        <v>61</v>
      </c>
      <c r="I2928" s="4"/>
    </row>
    <row r="2929" customFormat="false" ht="15" hidden="false" customHeight="false" outlineLevel="0" collapsed="false">
      <c r="A2929" s="35" t="s">
        <v>6666</v>
      </c>
      <c r="B2929" s="35" t="s">
        <v>6667</v>
      </c>
      <c r="C2929" s="35" t="s">
        <v>48</v>
      </c>
      <c r="D2929" s="35" t="s">
        <v>447</v>
      </c>
      <c r="E2929" s="35"/>
      <c r="F2929" s="35"/>
      <c r="G2929" s="35" t="s">
        <v>680</v>
      </c>
      <c r="H2929" s="35" t="s">
        <v>61</v>
      </c>
      <c r="I2929" s="4"/>
    </row>
    <row r="2930" customFormat="false" ht="15" hidden="false" customHeight="false" outlineLevel="0" collapsed="false">
      <c r="A2930" s="35" t="s">
        <v>6668</v>
      </c>
      <c r="B2930" s="35" t="s">
        <v>6669</v>
      </c>
      <c r="C2930" s="35" t="s">
        <v>48</v>
      </c>
      <c r="D2930" s="35" t="s">
        <v>146</v>
      </c>
      <c r="E2930" s="35"/>
      <c r="F2930" s="35"/>
      <c r="G2930" s="35" t="s">
        <v>779</v>
      </c>
      <c r="H2930" s="35" t="s">
        <v>6670</v>
      </c>
      <c r="I2930" s="4"/>
    </row>
    <row r="2931" customFormat="false" ht="15" hidden="false" customHeight="false" outlineLevel="0" collapsed="false">
      <c r="A2931" s="35" t="s">
        <v>6671</v>
      </c>
      <c r="B2931" s="35" t="s">
        <v>6672</v>
      </c>
      <c r="C2931" s="35" t="s">
        <v>48</v>
      </c>
      <c r="D2931" s="35" t="s">
        <v>146</v>
      </c>
      <c r="E2931" s="35"/>
      <c r="F2931" s="35" t="s">
        <v>6673</v>
      </c>
      <c r="G2931" s="35" t="s">
        <v>545</v>
      </c>
      <c r="H2931" s="35" t="s">
        <v>61</v>
      </c>
      <c r="I2931" s="4"/>
    </row>
    <row r="2932" customFormat="false" ht="15" hidden="false" customHeight="false" outlineLevel="0" collapsed="false">
      <c r="A2932" s="35" t="s">
        <v>6674</v>
      </c>
      <c r="B2932" s="35" t="s">
        <v>6675</v>
      </c>
      <c r="C2932" s="35" t="s">
        <v>48</v>
      </c>
      <c r="D2932" s="35" t="s">
        <v>146</v>
      </c>
      <c r="E2932" s="35"/>
      <c r="F2932" s="35"/>
      <c r="G2932" s="35" t="s">
        <v>119</v>
      </c>
      <c r="H2932" s="35" t="s">
        <v>61</v>
      </c>
      <c r="I2932" s="4"/>
    </row>
    <row r="2933" customFormat="false" ht="15" hidden="false" customHeight="false" outlineLevel="0" collapsed="false">
      <c r="A2933" s="35" t="s">
        <v>6676</v>
      </c>
      <c r="B2933" s="35" t="s">
        <v>6677</v>
      </c>
      <c r="C2933" s="35" t="s">
        <v>48</v>
      </c>
      <c r="D2933" s="35" t="s">
        <v>146</v>
      </c>
      <c r="E2933" s="35"/>
      <c r="F2933" s="35"/>
      <c r="G2933" s="35" t="s">
        <v>49</v>
      </c>
      <c r="H2933" s="35" t="s">
        <v>49</v>
      </c>
      <c r="I2933" s="4"/>
    </row>
    <row r="2934" customFormat="false" ht="15" hidden="false" customHeight="false" outlineLevel="0" collapsed="false">
      <c r="A2934" s="35" t="s">
        <v>608</v>
      </c>
      <c r="B2934" s="35" t="s">
        <v>609</v>
      </c>
      <c r="C2934" s="35" t="s">
        <v>48</v>
      </c>
      <c r="D2934" s="35" t="s">
        <v>146</v>
      </c>
      <c r="E2934" s="35"/>
      <c r="F2934" s="35"/>
      <c r="G2934" s="35" t="s">
        <v>204</v>
      </c>
      <c r="H2934" s="35" t="s">
        <v>61</v>
      </c>
      <c r="I2934" s="4" t="s">
        <v>2025</v>
      </c>
    </row>
    <row r="2935" customFormat="false" ht="15" hidden="false" customHeight="false" outlineLevel="0" collapsed="false">
      <c r="A2935" s="35" t="s">
        <v>6678</v>
      </c>
      <c r="B2935" s="35" t="s">
        <v>6679</v>
      </c>
      <c r="C2935" s="35" t="s">
        <v>48</v>
      </c>
      <c r="D2935" s="35" t="s">
        <v>53</v>
      </c>
      <c r="E2935" s="35"/>
      <c r="F2935" s="35"/>
      <c r="G2935" s="35" t="s">
        <v>204</v>
      </c>
      <c r="H2935" s="35" t="s">
        <v>61</v>
      </c>
      <c r="I2935" s="4"/>
    </row>
    <row r="2936" customFormat="false" ht="15" hidden="false" customHeight="false" outlineLevel="0" collapsed="false">
      <c r="A2936" s="35" t="s">
        <v>6680</v>
      </c>
      <c r="B2936" s="35" t="s">
        <v>6681</v>
      </c>
      <c r="C2936" s="35" t="s">
        <v>48</v>
      </c>
      <c r="D2936" s="35" t="s">
        <v>107</v>
      </c>
      <c r="E2936" s="35" t="s">
        <v>1062</v>
      </c>
      <c r="F2936" s="35"/>
      <c r="G2936" s="35" t="s">
        <v>713</v>
      </c>
      <c r="H2936" s="35" t="s">
        <v>61</v>
      </c>
      <c r="I2936" s="4"/>
    </row>
    <row r="2937" customFormat="false" ht="15" hidden="false" customHeight="false" outlineLevel="0" collapsed="false">
      <c r="A2937" s="35" t="s">
        <v>6682</v>
      </c>
      <c r="B2937" s="35" t="s">
        <v>6683</v>
      </c>
      <c r="C2937" s="35" t="s">
        <v>48</v>
      </c>
      <c r="D2937" s="35" t="s">
        <v>57</v>
      </c>
      <c r="E2937" s="35" t="s">
        <v>1062</v>
      </c>
      <c r="F2937" s="35"/>
      <c r="G2937" s="35" t="s">
        <v>713</v>
      </c>
      <c r="H2937" s="35" t="s">
        <v>61</v>
      </c>
      <c r="I2937" s="4"/>
    </row>
    <row r="2938" customFormat="false" ht="15" hidden="false" customHeight="false" outlineLevel="0" collapsed="false">
      <c r="A2938" s="35" t="s">
        <v>1823</v>
      </c>
      <c r="B2938" s="35" t="s">
        <v>6684</v>
      </c>
      <c r="C2938" s="35" t="s">
        <v>48</v>
      </c>
      <c r="D2938" s="35" t="s">
        <v>107</v>
      </c>
      <c r="E2938" s="35" t="s">
        <v>1823</v>
      </c>
      <c r="F2938" s="35"/>
      <c r="G2938" s="35" t="s">
        <v>417</v>
      </c>
      <c r="H2938" s="35" t="s">
        <v>61</v>
      </c>
      <c r="I2938" s="4"/>
    </row>
    <row r="2939" customFormat="false" ht="15" hidden="false" customHeight="false" outlineLevel="0" collapsed="false">
      <c r="A2939" s="35" t="s">
        <v>6685</v>
      </c>
      <c r="B2939" s="35" t="s">
        <v>6686</v>
      </c>
      <c r="C2939" s="35" t="s">
        <v>48</v>
      </c>
      <c r="D2939" s="35" t="s">
        <v>114</v>
      </c>
      <c r="E2939" s="35"/>
      <c r="F2939" s="35"/>
      <c r="G2939" s="35" t="s">
        <v>571</v>
      </c>
      <c r="H2939" s="35" t="s">
        <v>61</v>
      </c>
      <c r="I2939" s="4"/>
    </row>
    <row r="2940" customFormat="false" ht="15" hidden="false" customHeight="false" outlineLevel="0" collapsed="false">
      <c r="A2940" s="35" t="s">
        <v>6687</v>
      </c>
      <c r="B2940" s="35" t="s">
        <v>6688</v>
      </c>
      <c r="C2940" s="35" t="s">
        <v>48</v>
      </c>
      <c r="D2940" s="35" t="s">
        <v>53</v>
      </c>
      <c r="E2940" s="35"/>
      <c r="F2940" s="35"/>
      <c r="G2940" s="35" t="s">
        <v>687</v>
      </c>
      <c r="H2940" s="35" t="s">
        <v>61</v>
      </c>
      <c r="I2940" s="4"/>
    </row>
    <row r="2941" customFormat="false" ht="15" hidden="false" customHeight="false" outlineLevel="0" collapsed="false">
      <c r="A2941" s="35" t="s">
        <v>1824</v>
      </c>
      <c r="B2941" s="35" t="s">
        <v>6688</v>
      </c>
      <c r="C2941" s="35" t="s">
        <v>48</v>
      </c>
      <c r="D2941" s="35" t="s">
        <v>57</v>
      </c>
      <c r="E2941" s="35" t="s">
        <v>1824</v>
      </c>
      <c r="F2941" s="35"/>
      <c r="G2941" s="35" t="s">
        <v>687</v>
      </c>
      <c r="H2941" s="35" t="s">
        <v>61</v>
      </c>
      <c r="I2941" s="4"/>
    </row>
    <row r="2942" customFormat="false" ht="15" hidden="false" customHeight="false" outlineLevel="0" collapsed="false">
      <c r="A2942" s="35" t="s">
        <v>1826</v>
      </c>
      <c r="B2942" s="35" t="s">
        <v>6689</v>
      </c>
      <c r="C2942" s="35" t="s">
        <v>48</v>
      </c>
      <c r="D2942" s="35" t="s">
        <v>57</v>
      </c>
      <c r="E2942" s="35" t="s">
        <v>1825</v>
      </c>
      <c r="F2942" s="35"/>
      <c r="G2942" s="35" t="s">
        <v>687</v>
      </c>
      <c r="H2942" s="35" t="s">
        <v>61</v>
      </c>
      <c r="I2942" s="4"/>
    </row>
    <row r="2943" customFormat="false" ht="15" hidden="false" customHeight="false" outlineLevel="0" collapsed="false">
      <c r="A2943" s="35" t="s">
        <v>6690</v>
      </c>
      <c r="B2943" s="35" t="s">
        <v>6691</v>
      </c>
      <c r="C2943" s="35" t="s">
        <v>48</v>
      </c>
      <c r="D2943" s="35" t="s">
        <v>157</v>
      </c>
      <c r="E2943" s="35"/>
      <c r="F2943" s="35"/>
      <c r="G2943" s="35" t="s">
        <v>687</v>
      </c>
      <c r="H2943" s="35" t="s">
        <v>61</v>
      </c>
      <c r="I2943" s="4"/>
    </row>
    <row r="2944" customFormat="false" ht="15" hidden="false" customHeight="false" outlineLevel="0" collapsed="false">
      <c r="A2944" s="35" t="s">
        <v>6692</v>
      </c>
      <c r="B2944" s="35" t="s">
        <v>6693</v>
      </c>
      <c r="C2944" s="35" t="s">
        <v>48</v>
      </c>
      <c r="D2944" s="35" t="s">
        <v>114</v>
      </c>
      <c r="E2944" s="35"/>
      <c r="F2944" s="35"/>
      <c r="G2944" s="35" t="s">
        <v>571</v>
      </c>
      <c r="H2944" s="35" t="s">
        <v>61</v>
      </c>
      <c r="I2944" s="4"/>
    </row>
    <row r="2945" customFormat="false" ht="15" hidden="false" customHeight="false" outlineLevel="0" collapsed="false">
      <c r="A2945" s="35" t="s">
        <v>6694</v>
      </c>
      <c r="B2945" s="35" t="s">
        <v>6695</v>
      </c>
      <c r="C2945" s="35" t="s">
        <v>48</v>
      </c>
      <c r="D2945" s="35" t="s">
        <v>57</v>
      </c>
      <c r="E2945" s="35" t="s">
        <v>816</v>
      </c>
      <c r="F2945" s="35"/>
      <c r="G2945" s="35" t="s">
        <v>701</v>
      </c>
      <c r="H2945" s="35" t="s">
        <v>61</v>
      </c>
      <c r="I2945" s="4"/>
    </row>
    <row r="2946" customFormat="false" ht="15" hidden="false" customHeight="false" outlineLevel="0" collapsed="false">
      <c r="A2946" s="35" t="s">
        <v>6696</v>
      </c>
      <c r="B2946" s="35" t="s">
        <v>6695</v>
      </c>
      <c r="C2946" s="35" t="s">
        <v>48</v>
      </c>
      <c r="D2946" s="35" t="s">
        <v>57</v>
      </c>
      <c r="E2946" s="35" t="s">
        <v>816</v>
      </c>
      <c r="F2946" s="35"/>
      <c r="G2946" s="35" t="s">
        <v>701</v>
      </c>
      <c r="H2946" s="35" t="s">
        <v>61</v>
      </c>
      <c r="I2946" s="4"/>
    </row>
    <row r="2947" customFormat="false" ht="15" hidden="false" customHeight="false" outlineLevel="0" collapsed="false">
      <c r="A2947" s="35" t="s">
        <v>6697</v>
      </c>
      <c r="B2947" s="35" t="s">
        <v>6695</v>
      </c>
      <c r="C2947" s="35" t="s">
        <v>48</v>
      </c>
      <c r="D2947" s="35" t="s">
        <v>57</v>
      </c>
      <c r="E2947" s="35" t="s">
        <v>816</v>
      </c>
      <c r="F2947" s="35"/>
      <c r="G2947" s="35" t="s">
        <v>701</v>
      </c>
      <c r="H2947" s="35" t="s">
        <v>61</v>
      </c>
      <c r="I2947" s="4"/>
    </row>
    <row r="2948" customFormat="false" ht="15" hidden="false" customHeight="false" outlineLevel="0" collapsed="false">
      <c r="A2948" s="35" t="s">
        <v>6698</v>
      </c>
      <c r="B2948" s="35" t="s">
        <v>6695</v>
      </c>
      <c r="C2948" s="35" t="s">
        <v>48</v>
      </c>
      <c r="D2948" s="35" t="s">
        <v>57</v>
      </c>
      <c r="E2948" s="35" t="s">
        <v>816</v>
      </c>
      <c r="F2948" s="35"/>
      <c r="G2948" s="35" t="s">
        <v>701</v>
      </c>
      <c r="H2948" s="35" t="s">
        <v>61</v>
      </c>
      <c r="I2948" s="4"/>
    </row>
    <row r="2949" customFormat="false" ht="15" hidden="false" customHeight="false" outlineLevel="0" collapsed="false">
      <c r="A2949" s="35" t="s">
        <v>6699</v>
      </c>
      <c r="B2949" s="35" t="s">
        <v>6695</v>
      </c>
      <c r="C2949" s="35" t="s">
        <v>48</v>
      </c>
      <c r="D2949" s="35" t="s">
        <v>57</v>
      </c>
      <c r="E2949" s="35" t="s">
        <v>816</v>
      </c>
      <c r="F2949" s="35"/>
      <c r="G2949" s="35" t="s">
        <v>701</v>
      </c>
      <c r="H2949" s="35" t="s">
        <v>61</v>
      </c>
      <c r="I2949" s="4"/>
    </row>
    <row r="2950" customFormat="false" ht="15" hidden="false" customHeight="false" outlineLevel="0" collapsed="false">
      <c r="A2950" s="35" t="s">
        <v>6700</v>
      </c>
      <c r="B2950" s="35" t="s">
        <v>6695</v>
      </c>
      <c r="C2950" s="35" t="s">
        <v>48</v>
      </c>
      <c r="D2950" s="35" t="s">
        <v>57</v>
      </c>
      <c r="E2950" s="35" t="s">
        <v>816</v>
      </c>
      <c r="F2950" s="35"/>
      <c r="G2950" s="35" t="s">
        <v>701</v>
      </c>
      <c r="H2950" s="35" t="s">
        <v>61</v>
      </c>
      <c r="I2950" s="4"/>
    </row>
    <row r="2951" customFormat="false" ht="15" hidden="false" customHeight="false" outlineLevel="0" collapsed="false">
      <c r="A2951" s="35" t="s">
        <v>6701</v>
      </c>
      <c r="B2951" s="35" t="s">
        <v>6695</v>
      </c>
      <c r="C2951" s="35" t="s">
        <v>48</v>
      </c>
      <c r="D2951" s="35" t="s">
        <v>57</v>
      </c>
      <c r="E2951" s="35" t="s">
        <v>816</v>
      </c>
      <c r="F2951" s="35"/>
      <c r="G2951" s="35" t="s">
        <v>701</v>
      </c>
      <c r="H2951" s="35" t="s">
        <v>61</v>
      </c>
      <c r="I2951" s="4"/>
    </row>
    <row r="2952" customFormat="false" ht="15" hidden="false" customHeight="false" outlineLevel="0" collapsed="false">
      <c r="A2952" s="35" t="s">
        <v>6702</v>
      </c>
      <c r="B2952" s="35" t="s">
        <v>6695</v>
      </c>
      <c r="C2952" s="35" t="s">
        <v>48</v>
      </c>
      <c r="D2952" s="35" t="s">
        <v>57</v>
      </c>
      <c r="E2952" s="35" t="s">
        <v>816</v>
      </c>
      <c r="F2952" s="35"/>
      <c r="G2952" s="35" t="s">
        <v>701</v>
      </c>
      <c r="H2952" s="35" t="s">
        <v>61</v>
      </c>
      <c r="I2952" s="4"/>
    </row>
    <row r="2953" customFormat="false" ht="15" hidden="false" customHeight="false" outlineLevel="0" collapsed="false">
      <c r="A2953" s="35" t="s">
        <v>6703</v>
      </c>
      <c r="B2953" s="35" t="s">
        <v>6695</v>
      </c>
      <c r="C2953" s="35" t="s">
        <v>48</v>
      </c>
      <c r="D2953" s="35" t="s">
        <v>57</v>
      </c>
      <c r="E2953" s="35" t="s">
        <v>816</v>
      </c>
      <c r="F2953" s="35"/>
      <c r="G2953" s="35" t="s">
        <v>701</v>
      </c>
      <c r="H2953" s="35" t="s">
        <v>61</v>
      </c>
      <c r="I2953" s="4"/>
    </row>
    <row r="2954" customFormat="false" ht="15" hidden="false" customHeight="false" outlineLevel="0" collapsed="false">
      <c r="A2954" s="35" t="s">
        <v>6704</v>
      </c>
      <c r="B2954" s="35" t="s">
        <v>6695</v>
      </c>
      <c r="C2954" s="35" t="s">
        <v>48</v>
      </c>
      <c r="D2954" s="35" t="s">
        <v>57</v>
      </c>
      <c r="E2954" s="35" t="s">
        <v>816</v>
      </c>
      <c r="F2954" s="35"/>
      <c r="G2954" s="35" t="s">
        <v>701</v>
      </c>
      <c r="H2954" s="35" t="s">
        <v>61</v>
      </c>
      <c r="I2954" s="4"/>
    </row>
    <row r="2955" customFormat="false" ht="15" hidden="false" customHeight="false" outlineLevel="0" collapsed="false">
      <c r="A2955" s="35" t="s">
        <v>6705</v>
      </c>
      <c r="B2955" s="35" t="s">
        <v>6706</v>
      </c>
      <c r="C2955" s="35" t="s">
        <v>48</v>
      </c>
      <c r="D2955" s="35" t="s">
        <v>114</v>
      </c>
      <c r="E2955" s="35"/>
      <c r="F2955" s="35"/>
      <c r="G2955" s="35" t="s">
        <v>681</v>
      </c>
      <c r="H2955" s="35" t="s">
        <v>61</v>
      </c>
      <c r="I2955" s="4"/>
    </row>
    <row r="2956" customFormat="false" ht="15" hidden="false" customHeight="false" outlineLevel="0" collapsed="false">
      <c r="A2956" s="35" t="s">
        <v>6707</v>
      </c>
      <c r="B2956" s="35"/>
      <c r="C2956" s="35" t="s">
        <v>632</v>
      </c>
      <c r="D2956" s="35" t="s">
        <v>57</v>
      </c>
      <c r="E2956" s="35" t="s">
        <v>247</v>
      </c>
      <c r="F2956" s="35"/>
      <c r="G2956" s="35" t="s">
        <v>421</v>
      </c>
      <c r="H2956" s="35" t="s">
        <v>61</v>
      </c>
      <c r="I2956" s="4"/>
    </row>
    <row r="2957" customFormat="false" ht="15" hidden="false" customHeight="false" outlineLevel="0" collapsed="false">
      <c r="A2957" s="35" t="s">
        <v>6708</v>
      </c>
      <c r="B2957" s="35"/>
      <c r="C2957" s="35" t="s">
        <v>632</v>
      </c>
      <c r="D2957" s="35" t="s">
        <v>107</v>
      </c>
      <c r="E2957" s="35" t="s">
        <v>45</v>
      </c>
      <c r="F2957" s="35"/>
      <c r="G2957" s="35" t="s">
        <v>45</v>
      </c>
      <c r="H2957" s="35" t="s">
        <v>61</v>
      </c>
      <c r="I2957" s="4"/>
    </row>
    <row r="2958" customFormat="false" ht="15" hidden="false" customHeight="false" outlineLevel="0" collapsed="false">
      <c r="A2958" s="35" t="s">
        <v>6709</v>
      </c>
      <c r="B2958" s="35"/>
      <c r="C2958" s="35" t="s">
        <v>632</v>
      </c>
      <c r="D2958" s="35" t="s">
        <v>107</v>
      </c>
      <c r="E2958" s="35" t="s">
        <v>45</v>
      </c>
      <c r="F2958" s="35"/>
      <c r="G2958" s="35" t="s">
        <v>45</v>
      </c>
      <c r="H2958" s="35" t="s">
        <v>61</v>
      </c>
      <c r="I2958" s="4"/>
    </row>
    <row r="2959" customFormat="false" ht="15" hidden="false" customHeight="false" outlineLevel="0" collapsed="false">
      <c r="A2959" s="35" t="s">
        <v>6710</v>
      </c>
      <c r="B2959" s="35"/>
      <c r="C2959" s="35" t="s">
        <v>632</v>
      </c>
      <c r="D2959" s="35" t="s">
        <v>157</v>
      </c>
      <c r="E2959" s="35"/>
      <c r="F2959" s="35"/>
      <c r="G2959" s="35" t="s">
        <v>421</v>
      </c>
      <c r="H2959" s="35" t="s">
        <v>61</v>
      </c>
      <c r="I2959" s="4"/>
    </row>
    <row r="2960" customFormat="false" ht="15" hidden="false" customHeight="false" outlineLevel="0" collapsed="false">
      <c r="A2960" s="35" t="s">
        <v>6711</v>
      </c>
      <c r="B2960" s="35" t="s">
        <v>6712</v>
      </c>
      <c r="C2960" s="35" t="s">
        <v>48</v>
      </c>
      <c r="D2960" s="35" t="s">
        <v>114</v>
      </c>
      <c r="E2960" s="35"/>
      <c r="F2960" s="35"/>
      <c r="G2960" s="35" t="s">
        <v>328</v>
      </c>
      <c r="H2960" s="35" t="s">
        <v>61</v>
      </c>
      <c r="I2960" s="4"/>
    </row>
    <row r="2961" customFormat="false" ht="15" hidden="false" customHeight="false" outlineLevel="0" collapsed="false">
      <c r="A2961" s="35" t="s">
        <v>6713</v>
      </c>
      <c r="B2961" s="35" t="s">
        <v>6714</v>
      </c>
      <c r="C2961" s="35" t="s">
        <v>48</v>
      </c>
      <c r="D2961" s="35" t="s">
        <v>57</v>
      </c>
      <c r="E2961" s="35" t="s">
        <v>1004</v>
      </c>
      <c r="F2961" s="35" t="s">
        <v>885</v>
      </c>
      <c r="G2961" s="35" t="s">
        <v>328</v>
      </c>
      <c r="H2961" s="35" t="s">
        <v>61</v>
      </c>
      <c r="I2961" s="4"/>
    </row>
    <row r="2962" customFormat="false" ht="15" hidden="false" customHeight="false" outlineLevel="0" collapsed="false">
      <c r="A2962" s="35" t="s">
        <v>6715</v>
      </c>
      <c r="B2962" s="35" t="s">
        <v>6716</v>
      </c>
      <c r="C2962" s="35" t="s">
        <v>48</v>
      </c>
      <c r="D2962" s="35" t="s">
        <v>114</v>
      </c>
      <c r="E2962" s="35"/>
      <c r="F2962" s="35"/>
      <c r="G2962" s="35" t="s">
        <v>328</v>
      </c>
      <c r="H2962" s="35" t="s">
        <v>61</v>
      </c>
      <c r="I2962" s="4"/>
    </row>
    <row r="2963" customFormat="false" ht="15" hidden="false" customHeight="false" outlineLevel="0" collapsed="false">
      <c r="A2963" s="35" t="s">
        <v>6717</v>
      </c>
      <c r="B2963" s="35" t="s">
        <v>6718</v>
      </c>
      <c r="C2963" s="35" t="s">
        <v>48</v>
      </c>
      <c r="D2963" s="35" t="s">
        <v>107</v>
      </c>
      <c r="E2963" s="35" t="s">
        <v>598</v>
      </c>
      <c r="F2963" s="35"/>
      <c r="G2963" s="35" t="s">
        <v>417</v>
      </c>
      <c r="H2963" s="35" t="s">
        <v>61</v>
      </c>
      <c r="I2963" s="4"/>
    </row>
    <row r="2964" customFormat="false" ht="15" hidden="false" customHeight="false" outlineLevel="0" collapsed="false">
      <c r="A2964" s="35" t="s">
        <v>1256</v>
      </c>
      <c r="B2964" s="35" t="s">
        <v>6719</v>
      </c>
      <c r="C2964" s="35" t="s">
        <v>48</v>
      </c>
      <c r="D2964" s="35" t="s">
        <v>57</v>
      </c>
      <c r="E2964" s="35" t="s">
        <v>1256</v>
      </c>
      <c r="F2964" s="35"/>
      <c r="G2964" s="35" t="s">
        <v>417</v>
      </c>
      <c r="H2964" s="35" t="s">
        <v>61</v>
      </c>
      <c r="I2964" s="4"/>
    </row>
    <row r="2965" customFormat="false" ht="15" hidden="false" customHeight="false" outlineLevel="0" collapsed="false">
      <c r="A2965" s="35" t="s">
        <v>6720</v>
      </c>
      <c r="B2965" s="35" t="s">
        <v>6721</v>
      </c>
      <c r="C2965" s="35" t="s">
        <v>48</v>
      </c>
      <c r="D2965" s="35" t="s">
        <v>57</v>
      </c>
      <c r="E2965" s="35" t="s">
        <v>1256</v>
      </c>
      <c r="F2965" s="35" t="s">
        <v>2013</v>
      </c>
      <c r="G2965" s="35" t="s">
        <v>417</v>
      </c>
      <c r="H2965" s="35" t="s">
        <v>61</v>
      </c>
      <c r="I2965" s="4"/>
    </row>
    <row r="2966" customFormat="false" ht="15" hidden="false" customHeight="false" outlineLevel="0" collapsed="false">
      <c r="A2966" s="35" t="s">
        <v>1829</v>
      </c>
      <c r="B2966" s="35" t="s">
        <v>6722</v>
      </c>
      <c r="C2966" s="35" t="s">
        <v>48</v>
      </c>
      <c r="D2966" s="35" t="s">
        <v>107</v>
      </c>
      <c r="E2966" s="35" t="s">
        <v>1829</v>
      </c>
      <c r="F2966" s="35"/>
      <c r="G2966" s="35" t="s">
        <v>331</v>
      </c>
      <c r="H2966" s="35" t="s">
        <v>61</v>
      </c>
      <c r="I2966" s="4"/>
    </row>
    <row r="2967" customFormat="false" ht="15" hidden="false" customHeight="false" outlineLevel="0" collapsed="false">
      <c r="A2967" s="35" t="s">
        <v>1830</v>
      </c>
      <c r="B2967" s="35" t="s">
        <v>6723</v>
      </c>
      <c r="C2967" s="35" t="s">
        <v>48</v>
      </c>
      <c r="D2967" s="35" t="s">
        <v>107</v>
      </c>
      <c r="E2967" s="35" t="s">
        <v>1830</v>
      </c>
      <c r="F2967" s="35"/>
      <c r="G2967" s="35" t="s">
        <v>331</v>
      </c>
      <c r="H2967" s="35" t="s">
        <v>61</v>
      </c>
      <c r="I2967" s="4"/>
    </row>
    <row r="2968" customFormat="false" ht="15" hidden="false" customHeight="false" outlineLevel="0" collapsed="false">
      <c r="A2968" s="35" t="s">
        <v>330</v>
      </c>
      <c r="B2968" s="35" t="s">
        <v>332</v>
      </c>
      <c r="C2968" s="35" t="s">
        <v>48</v>
      </c>
      <c r="D2968" s="35" t="s">
        <v>107</v>
      </c>
      <c r="E2968" s="35" t="s">
        <v>331</v>
      </c>
      <c r="F2968" s="35"/>
      <c r="G2968" s="35" t="s">
        <v>331</v>
      </c>
      <c r="H2968" s="35" t="s">
        <v>50</v>
      </c>
      <c r="I2968" s="4" t="s">
        <v>2025</v>
      </c>
    </row>
    <row r="2969" customFormat="false" ht="15" hidden="false" customHeight="false" outlineLevel="0" collapsed="false">
      <c r="A2969" s="35" t="s">
        <v>6724</v>
      </c>
      <c r="B2969" s="35" t="s">
        <v>6725</v>
      </c>
      <c r="C2969" s="35" t="s">
        <v>48</v>
      </c>
      <c r="D2969" s="35" t="s">
        <v>107</v>
      </c>
      <c r="E2969" s="35" t="s">
        <v>331</v>
      </c>
      <c r="F2969" s="35"/>
      <c r="G2969" s="35" t="s">
        <v>331</v>
      </c>
      <c r="H2969" s="35" t="s">
        <v>49</v>
      </c>
      <c r="I2969" s="4"/>
    </row>
    <row r="2970" customFormat="false" ht="15" hidden="false" customHeight="false" outlineLevel="0" collapsed="false">
      <c r="A2970" s="35" t="s">
        <v>6726</v>
      </c>
      <c r="B2970" s="35" t="s">
        <v>6727</v>
      </c>
      <c r="C2970" s="35" t="s">
        <v>48</v>
      </c>
      <c r="D2970" s="35" t="s">
        <v>107</v>
      </c>
      <c r="E2970" s="35" t="s">
        <v>331</v>
      </c>
      <c r="F2970" s="35"/>
      <c r="G2970" s="35" t="s">
        <v>331</v>
      </c>
      <c r="H2970" s="35" t="s">
        <v>49</v>
      </c>
      <c r="I2970" s="4"/>
    </row>
    <row r="2971" customFormat="false" ht="15" hidden="false" customHeight="false" outlineLevel="0" collapsed="false">
      <c r="A2971" s="35" t="s">
        <v>6728</v>
      </c>
      <c r="B2971" s="35" t="s">
        <v>6729</v>
      </c>
      <c r="C2971" s="35" t="s">
        <v>48</v>
      </c>
      <c r="D2971" s="35" t="s">
        <v>107</v>
      </c>
      <c r="E2971" s="35" t="s">
        <v>331</v>
      </c>
      <c r="F2971" s="35"/>
      <c r="G2971" s="35" t="s">
        <v>535</v>
      </c>
      <c r="H2971" s="35" t="s">
        <v>61</v>
      </c>
      <c r="I2971" s="4"/>
    </row>
    <row r="2972" customFormat="false" ht="15" hidden="false" customHeight="false" outlineLevel="0" collapsed="false">
      <c r="A2972" s="35" t="s">
        <v>6730</v>
      </c>
      <c r="B2972" s="35" t="s">
        <v>6731</v>
      </c>
      <c r="C2972" s="35" t="s">
        <v>48</v>
      </c>
      <c r="D2972" s="35" t="s">
        <v>107</v>
      </c>
      <c r="E2972" s="35" t="s">
        <v>331</v>
      </c>
      <c r="F2972" s="35"/>
      <c r="G2972" s="35" t="s">
        <v>545</v>
      </c>
      <c r="H2972" s="35" t="s">
        <v>369</v>
      </c>
      <c r="I2972" s="4"/>
    </row>
    <row r="2973" customFormat="false" ht="15" hidden="false" customHeight="false" outlineLevel="0" collapsed="false">
      <c r="A2973" s="35" t="s">
        <v>6732</v>
      </c>
      <c r="B2973" s="35" t="s">
        <v>6733</v>
      </c>
      <c r="C2973" s="35" t="s">
        <v>48</v>
      </c>
      <c r="D2973" s="35" t="s">
        <v>107</v>
      </c>
      <c r="E2973" s="35" t="s">
        <v>331</v>
      </c>
      <c r="F2973" s="35"/>
      <c r="G2973" s="35" t="s">
        <v>545</v>
      </c>
      <c r="H2973" s="35" t="s">
        <v>369</v>
      </c>
      <c r="I2973" s="4"/>
    </row>
    <row r="2974" customFormat="false" ht="15" hidden="false" customHeight="false" outlineLevel="0" collapsed="false">
      <c r="A2974" s="35" t="s">
        <v>6734</v>
      </c>
      <c r="B2974" s="35" t="s">
        <v>6735</v>
      </c>
      <c r="C2974" s="35" t="s">
        <v>48</v>
      </c>
      <c r="D2974" s="35" t="s">
        <v>107</v>
      </c>
      <c r="E2974" s="35" t="s">
        <v>331</v>
      </c>
      <c r="F2974" s="35"/>
      <c r="G2974" s="35" t="s">
        <v>328</v>
      </c>
      <c r="H2974" s="35" t="s">
        <v>369</v>
      </c>
      <c r="I2974" s="4"/>
    </row>
    <row r="2975" customFormat="false" ht="15" hidden="false" customHeight="false" outlineLevel="0" collapsed="false">
      <c r="A2975" s="35" t="s">
        <v>6736</v>
      </c>
      <c r="B2975" s="35" t="s">
        <v>6737</v>
      </c>
      <c r="C2975" s="35" t="s">
        <v>48</v>
      </c>
      <c r="D2975" s="35" t="s">
        <v>107</v>
      </c>
      <c r="E2975" s="35" t="s">
        <v>331</v>
      </c>
      <c r="F2975" s="35"/>
      <c r="G2975" s="35" t="s">
        <v>331</v>
      </c>
      <c r="H2975" s="35" t="s">
        <v>49</v>
      </c>
      <c r="I2975" s="4"/>
    </row>
    <row r="2976" customFormat="false" ht="15" hidden="false" customHeight="false" outlineLevel="0" collapsed="false">
      <c r="A2976" s="35" t="s">
        <v>6738</v>
      </c>
      <c r="B2976" s="35" t="s">
        <v>6739</v>
      </c>
      <c r="C2976" s="35" t="s">
        <v>48</v>
      </c>
      <c r="D2976" s="35" t="s">
        <v>53</v>
      </c>
      <c r="E2976" s="35"/>
      <c r="F2976" s="35"/>
      <c r="G2976" s="35" t="s">
        <v>444</v>
      </c>
      <c r="H2976" s="35" t="s">
        <v>61</v>
      </c>
      <c r="I2976" s="4"/>
    </row>
    <row r="2977" customFormat="false" ht="15" hidden="false" customHeight="false" outlineLevel="0" collapsed="false">
      <c r="A2977" s="35" t="s">
        <v>6740</v>
      </c>
      <c r="B2977" s="35" t="s">
        <v>6741</v>
      </c>
      <c r="C2977" s="35" t="s">
        <v>48</v>
      </c>
      <c r="D2977" s="35" t="s">
        <v>107</v>
      </c>
      <c r="E2977" s="35" t="s">
        <v>484</v>
      </c>
      <c r="F2977" s="35"/>
      <c r="G2977" s="35" t="s">
        <v>444</v>
      </c>
      <c r="H2977" s="35" t="s">
        <v>61</v>
      </c>
      <c r="I2977" s="4"/>
    </row>
    <row r="2978" customFormat="false" ht="15" hidden="false" customHeight="false" outlineLevel="0" collapsed="false">
      <c r="A2978" s="35" t="s">
        <v>85</v>
      </c>
      <c r="B2978" s="35" t="s">
        <v>86</v>
      </c>
      <c r="C2978" s="35" t="s">
        <v>48</v>
      </c>
      <c r="D2978" s="35" t="s">
        <v>53</v>
      </c>
      <c r="E2978" s="35"/>
      <c r="F2978" s="35"/>
      <c r="G2978" s="35" t="s">
        <v>87</v>
      </c>
      <c r="H2978" s="35" t="s">
        <v>61</v>
      </c>
      <c r="I2978" s="4" t="s">
        <v>2025</v>
      </c>
    </row>
    <row r="2979" customFormat="false" ht="15" hidden="false" customHeight="false" outlineLevel="0" collapsed="false">
      <c r="A2979" s="35" t="s">
        <v>1831</v>
      </c>
      <c r="B2979" s="35" t="s">
        <v>6742</v>
      </c>
      <c r="C2979" s="35" t="s">
        <v>48</v>
      </c>
      <c r="D2979" s="35" t="s">
        <v>57</v>
      </c>
      <c r="E2979" s="35" t="s">
        <v>1831</v>
      </c>
      <c r="F2979" s="35"/>
      <c r="G2979" s="35" t="s">
        <v>689</v>
      </c>
      <c r="H2979" s="35" t="s">
        <v>61</v>
      </c>
      <c r="I2979" s="4"/>
    </row>
    <row r="2980" customFormat="false" ht="15" hidden="false" customHeight="false" outlineLevel="0" collapsed="false">
      <c r="A2980" s="35" t="s">
        <v>6743</v>
      </c>
      <c r="B2980" s="35" t="s">
        <v>6744</v>
      </c>
      <c r="C2980" s="35" t="s">
        <v>48</v>
      </c>
      <c r="D2980" s="35" t="s">
        <v>157</v>
      </c>
      <c r="E2980" s="35"/>
      <c r="F2980" s="35"/>
      <c r="G2980" s="35" t="s">
        <v>328</v>
      </c>
      <c r="H2980" s="35" t="s">
        <v>61</v>
      </c>
      <c r="I2980" s="4"/>
    </row>
    <row r="2981" customFormat="false" ht="15" hidden="false" customHeight="false" outlineLevel="0" collapsed="false">
      <c r="A2981" s="35" t="s">
        <v>6745</v>
      </c>
      <c r="B2981" s="35" t="s">
        <v>6746</v>
      </c>
      <c r="C2981" s="35" t="s">
        <v>48</v>
      </c>
      <c r="D2981" s="35" t="s">
        <v>53</v>
      </c>
      <c r="E2981" s="35"/>
      <c r="F2981" s="35" t="s">
        <v>2534</v>
      </c>
      <c r="G2981" s="35" t="s">
        <v>328</v>
      </c>
      <c r="H2981" s="35" t="s">
        <v>61</v>
      </c>
      <c r="I2981" s="4"/>
    </row>
    <row r="2982" customFormat="false" ht="15" hidden="false" customHeight="false" outlineLevel="0" collapsed="false">
      <c r="A2982" s="35" t="s">
        <v>6747</v>
      </c>
      <c r="B2982" s="35" t="s">
        <v>6748</v>
      </c>
      <c r="C2982" s="35" t="s">
        <v>48</v>
      </c>
      <c r="D2982" s="35" t="s">
        <v>53</v>
      </c>
      <c r="E2982" s="35"/>
      <c r="F2982" s="35" t="s">
        <v>2534</v>
      </c>
      <c r="G2982" s="35" t="s">
        <v>328</v>
      </c>
      <c r="H2982" s="35" t="s">
        <v>61</v>
      </c>
      <c r="I2982" s="4"/>
    </row>
    <row r="2983" customFormat="false" ht="15" hidden="false" customHeight="false" outlineLevel="0" collapsed="false">
      <c r="A2983" s="35" t="s">
        <v>6749</v>
      </c>
      <c r="B2983" s="35" t="s">
        <v>6750</v>
      </c>
      <c r="C2983" s="35" t="s">
        <v>48</v>
      </c>
      <c r="D2983" s="35" t="s">
        <v>53</v>
      </c>
      <c r="E2983" s="35"/>
      <c r="F2983" s="35"/>
      <c r="G2983" s="35" t="s">
        <v>681</v>
      </c>
      <c r="H2983" s="35" t="s">
        <v>61</v>
      </c>
      <c r="I2983" s="4"/>
    </row>
    <row r="2984" customFormat="false" ht="15" hidden="false" customHeight="false" outlineLevel="0" collapsed="false">
      <c r="A2984" s="35" t="s">
        <v>6751</v>
      </c>
      <c r="B2984" s="35" t="s">
        <v>6752</v>
      </c>
      <c r="C2984" s="35" t="s">
        <v>48</v>
      </c>
      <c r="D2984" s="35" t="s">
        <v>114</v>
      </c>
      <c r="E2984" s="35"/>
      <c r="F2984" s="35"/>
      <c r="G2984" s="35" t="s">
        <v>681</v>
      </c>
      <c r="H2984" s="35" t="s">
        <v>61</v>
      </c>
      <c r="I2984" s="4"/>
    </row>
    <row r="2985" customFormat="false" ht="15" hidden="false" customHeight="false" outlineLevel="0" collapsed="false">
      <c r="A2985" s="35" t="s">
        <v>81</v>
      </c>
      <c r="B2985" s="35" t="s">
        <v>82</v>
      </c>
      <c r="C2985" s="35" t="s">
        <v>48</v>
      </c>
      <c r="D2985" s="35" t="s">
        <v>53</v>
      </c>
      <c r="E2985" s="35"/>
      <c r="F2985" s="35"/>
      <c r="G2985" s="35" t="s">
        <v>83</v>
      </c>
      <c r="H2985" s="35" t="s">
        <v>61</v>
      </c>
      <c r="I2985" s="4" t="s">
        <v>2025</v>
      </c>
    </row>
    <row r="2986" customFormat="false" ht="15" hidden="false" customHeight="false" outlineLevel="0" collapsed="false">
      <c r="A2986" s="35" t="s">
        <v>1843</v>
      </c>
      <c r="B2986" s="35" t="s">
        <v>6753</v>
      </c>
      <c r="C2986" s="35" t="s">
        <v>48</v>
      </c>
      <c r="D2986" s="35" t="s">
        <v>107</v>
      </c>
      <c r="E2986" s="35" t="s">
        <v>1842</v>
      </c>
      <c r="F2986" s="35"/>
      <c r="G2986" s="35" t="s">
        <v>421</v>
      </c>
      <c r="H2986" s="35" t="s">
        <v>61</v>
      </c>
      <c r="I2986" s="4"/>
    </row>
    <row r="2987" customFormat="false" ht="15" hidden="false" customHeight="false" outlineLevel="0" collapsed="false">
      <c r="A2987" s="35" t="s">
        <v>6754</v>
      </c>
      <c r="B2987" s="35" t="s">
        <v>6755</v>
      </c>
      <c r="C2987" s="35" t="s">
        <v>48</v>
      </c>
      <c r="D2987" s="35" t="s">
        <v>57</v>
      </c>
      <c r="E2987" s="35" t="s">
        <v>89</v>
      </c>
      <c r="F2987" s="35"/>
      <c r="G2987" s="35" t="s">
        <v>421</v>
      </c>
      <c r="H2987" s="35" t="s">
        <v>61</v>
      </c>
      <c r="I2987" s="4"/>
    </row>
    <row r="2988" customFormat="false" ht="15" hidden="false" customHeight="false" outlineLevel="0" collapsed="false">
      <c r="A2988" s="35" t="s">
        <v>6756</v>
      </c>
      <c r="B2988" s="35" t="s">
        <v>6757</v>
      </c>
      <c r="C2988" s="35" t="s">
        <v>48</v>
      </c>
      <c r="D2988" s="35" t="s">
        <v>114</v>
      </c>
      <c r="E2988" s="35"/>
      <c r="F2988" s="35"/>
      <c r="G2988" s="35" t="s">
        <v>681</v>
      </c>
      <c r="H2988" s="35" t="s">
        <v>61</v>
      </c>
      <c r="I2988" s="4"/>
    </row>
    <row r="2989" customFormat="false" ht="15" hidden="false" customHeight="false" outlineLevel="0" collapsed="false">
      <c r="A2989" s="35" t="s">
        <v>6758</v>
      </c>
      <c r="B2989" s="35" t="s">
        <v>6759</v>
      </c>
      <c r="C2989" s="35" t="s">
        <v>48</v>
      </c>
      <c r="D2989" s="35" t="s">
        <v>114</v>
      </c>
      <c r="E2989" s="35"/>
      <c r="F2989" s="35"/>
      <c r="G2989" s="35" t="s">
        <v>337</v>
      </c>
      <c r="H2989" s="35" t="s">
        <v>61</v>
      </c>
      <c r="I2989" s="4"/>
    </row>
    <row r="2990" customFormat="false" ht="15" hidden="false" customHeight="false" outlineLevel="0" collapsed="false">
      <c r="A2990" s="35" t="s">
        <v>6760</v>
      </c>
      <c r="B2990" s="35" t="s">
        <v>6761</v>
      </c>
      <c r="C2990" s="35" t="s">
        <v>48</v>
      </c>
      <c r="D2990" s="35" t="s">
        <v>114</v>
      </c>
      <c r="E2990" s="35"/>
      <c r="F2990" s="35"/>
      <c r="G2990" s="35" t="s">
        <v>49</v>
      </c>
      <c r="H2990" s="35" t="s">
        <v>49</v>
      </c>
      <c r="I2990" s="4"/>
    </row>
    <row r="2991" customFormat="false" ht="15" hidden="false" customHeight="false" outlineLevel="0" collapsed="false">
      <c r="A2991" s="35" t="s">
        <v>6762</v>
      </c>
      <c r="B2991" s="35" t="s">
        <v>6763</v>
      </c>
      <c r="C2991" s="35" t="s">
        <v>48</v>
      </c>
      <c r="D2991" s="35" t="s">
        <v>157</v>
      </c>
      <c r="E2991" s="35"/>
      <c r="F2991" s="35"/>
      <c r="G2991" s="35" t="s">
        <v>49</v>
      </c>
      <c r="H2991" s="35" t="s">
        <v>49</v>
      </c>
      <c r="I2991" s="4"/>
    </row>
    <row r="2992" customFormat="false" ht="15" hidden="false" customHeight="false" outlineLevel="0" collapsed="false">
      <c r="A2992" s="35" t="s">
        <v>6764</v>
      </c>
      <c r="B2992" s="35" t="s">
        <v>6765</v>
      </c>
      <c r="C2992" s="35" t="s">
        <v>48</v>
      </c>
      <c r="D2992" s="35" t="s">
        <v>114</v>
      </c>
      <c r="E2992" s="35"/>
      <c r="F2992" s="35"/>
      <c r="G2992" s="35" t="s">
        <v>444</v>
      </c>
      <c r="H2992" s="35" t="s">
        <v>61</v>
      </c>
      <c r="I2992" s="4"/>
    </row>
    <row r="2993" customFormat="false" ht="15" hidden="false" customHeight="false" outlineLevel="0" collapsed="false">
      <c r="A2993" s="35" t="s">
        <v>6766</v>
      </c>
      <c r="B2993" s="35" t="s">
        <v>6767</v>
      </c>
      <c r="C2993" s="35" t="s">
        <v>48</v>
      </c>
      <c r="D2993" s="35" t="s">
        <v>107</v>
      </c>
      <c r="E2993" s="35" t="s">
        <v>1258</v>
      </c>
      <c r="F2993" s="35"/>
      <c r="G2993" s="35" t="s">
        <v>684</v>
      </c>
      <c r="H2993" s="35" t="s">
        <v>61</v>
      </c>
      <c r="I2993" s="4"/>
    </row>
    <row r="2994" customFormat="false" ht="15" hidden="false" customHeight="false" outlineLevel="0" collapsed="false">
      <c r="A2994" s="35" t="s">
        <v>6768</v>
      </c>
      <c r="B2994" s="35" t="s">
        <v>6769</v>
      </c>
      <c r="C2994" s="35" t="s">
        <v>48</v>
      </c>
      <c r="D2994" s="35" t="s">
        <v>114</v>
      </c>
      <c r="E2994" s="35"/>
      <c r="F2994" s="35"/>
      <c r="G2994" s="35" t="s">
        <v>99</v>
      </c>
      <c r="H2994" s="35" t="s">
        <v>61</v>
      </c>
      <c r="I2994" s="4"/>
    </row>
    <row r="2995" customFormat="false" ht="15" hidden="false" customHeight="false" outlineLevel="0" collapsed="false">
      <c r="A2995" s="35" t="s">
        <v>6770</v>
      </c>
      <c r="B2995" s="35" t="s">
        <v>6771</v>
      </c>
      <c r="C2995" s="35" t="s">
        <v>48</v>
      </c>
      <c r="D2995" s="35" t="s">
        <v>447</v>
      </c>
      <c r="E2995" s="35"/>
      <c r="F2995" s="35"/>
      <c r="G2995" s="35" t="s">
        <v>444</v>
      </c>
      <c r="H2995" s="35" t="s">
        <v>61</v>
      </c>
      <c r="I2995" s="4"/>
    </row>
    <row r="2996" customFormat="false" ht="15" hidden="false" customHeight="false" outlineLevel="0" collapsed="false">
      <c r="A2996" s="35" t="s">
        <v>6772</v>
      </c>
      <c r="B2996" s="35" t="s">
        <v>6773</v>
      </c>
      <c r="C2996" s="35" t="s">
        <v>48</v>
      </c>
      <c r="D2996" s="35" t="s">
        <v>157</v>
      </c>
      <c r="E2996" s="35"/>
      <c r="F2996" s="35"/>
      <c r="G2996" s="35" t="s">
        <v>104</v>
      </c>
      <c r="H2996" s="35" t="s">
        <v>61</v>
      </c>
      <c r="I2996" s="4"/>
    </row>
    <row r="2997" customFormat="false" ht="15" hidden="false" customHeight="false" outlineLevel="0" collapsed="false">
      <c r="A2997" s="35" t="s">
        <v>1839</v>
      </c>
      <c r="B2997" s="35" t="s">
        <v>6774</v>
      </c>
      <c r="C2997" s="35" t="s">
        <v>48</v>
      </c>
      <c r="D2997" s="35" t="s">
        <v>57</v>
      </c>
      <c r="E2997" s="35" t="s">
        <v>1838</v>
      </c>
      <c r="F2997" s="35"/>
      <c r="G2997" s="35" t="s">
        <v>685</v>
      </c>
      <c r="H2997" s="35" t="s">
        <v>61</v>
      </c>
      <c r="I2997" s="4"/>
    </row>
    <row r="2998" customFormat="false" ht="15" hidden="false" customHeight="false" outlineLevel="0" collapsed="false">
      <c r="A2998" s="35" t="s">
        <v>6775</v>
      </c>
      <c r="B2998" s="35" t="s">
        <v>6776</v>
      </c>
      <c r="C2998" s="35" t="s">
        <v>48</v>
      </c>
      <c r="D2998" s="35" t="s">
        <v>157</v>
      </c>
      <c r="E2998" s="35"/>
      <c r="F2998" s="35"/>
      <c r="G2998" s="35" t="s">
        <v>421</v>
      </c>
      <c r="H2998" s="35" t="s">
        <v>61</v>
      </c>
      <c r="I2998" s="4"/>
    </row>
    <row r="2999" customFormat="false" ht="15" hidden="false" customHeight="false" outlineLevel="0" collapsed="false">
      <c r="A2999" s="35" t="s">
        <v>1837</v>
      </c>
      <c r="B2999" s="35" t="s">
        <v>6777</v>
      </c>
      <c r="C2999" s="35" t="s">
        <v>48</v>
      </c>
      <c r="D2999" s="35" t="s">
        <v>107</v>
      </c>
      <c r="E2999" s="35" t="s">
        <v>1836</v>
      </c>
      <c r="F2999" s="35"/>
      <c r="G2999" s="35" t="s">
        <v>421</v>
      </c>
      <c r="H2999" s="35" t="s">
        <v>61</v>
      </c>
      <c r="I2999" s="4"/>
    </row>
    <row r="3000" customFormat="false" ht="15" hidden="false" customHeight="false" outlineLevel="0" collapsed="false">
      <c r="A3000" s="35" t="s">
        <v>6778</v>
      </c>
      <c r="B3000" s="35" t="s">
        <v>6779</v>
      </c>
      <c r="C3000" s="35" t="s">
        <v>48</v>
      </c>
      <c r="D3000" s="35" t="s">
        <v>114</v>
      </c>
      <c r="E3000" s="35"/>
      <c r="F3000" s="35"/>
      <c r="G3000" s="35" t="s">
        <v>421</v>
      </c>
      <c r="H3000" s="35" t="s">
        <v>61</v>
      </c>
      <c r="I3000" s="4"/>
    </row>
    <row r="3001" customFormat="false" ht="15" hidden="false" customHeight="false" outlineLevel="0" collapsed="false">
      <c r="A3001" s="35" t="s">
        <v>1841</v>
      </c>
      <c r="B3001" s="35" t="s">
        <v>6780</v>
      </c>
      <c r="C3001" s="35" t="s">
        <v>48</v>
      </c>
      <c r="D3001" s="35" t="s">
        <v>57</v>
      </c>
      <c r="E3001" s="35" t="s">
        <v>1840</v>
      </c>
      <c r="F3001" s="35"/>
      <c r="G3001" s="35" t="s">
        <v>685</v>
      </c>
      <c r="H3001" s="35" t="s">
        <v>61</v>
      </c>
      <c r="I3001" s="4"/>
    </row>
    <row r="3002" customFormat="false" ht="15" hidden="false" customHeight="false" outlineLevel="0" collapsed="false">
      <c r="A3002" s="35" t="s">
        <v>6781</v>
      </c>
      <c r="B3002" s="35" t="s">
        <v>6782</v>
      </c>
      <c r="C3002" s="35" t="s">
        <v>48</v>
      </c>
      <c r="D3002" s="35" t="s">
        <v>107</v>
      </c>
      <c r="E3002" s="35" t="s">
        <v>1260</v>
      </c>
      <c r="F3002" s="35"/>
      <c r="G3002" s="35" t="s">
        <v>545</v>
      </c>
      <c r="H3002" s="35" t="s">
        <v>369</v>
      </c>
      <c r="I3002" s="4"/>
    </row>
    <row r="3003" customFormat="false" ht="15" hidden="false" customHeight="false" outlineLevel="0" collapsed="false">
      <c r="A3003" s="35" t="s">
        <v>6783</v>
      </c>
      <c r="B3003" s="35" t="s">
        <v>6784</v>
      </c>
      <c r="C3003" s="35" t="s">
        <v>48</v>
      </c>
      <c r="D3003" s="35" t="s">
        <v>107</v>
      </c>
      <c r="E3003" s="35" t="s">
        <v>1260</v>
      </c>
      <c r="F3003" s="35" t="s">
        <v>2013</v>
      </c>
      <c r="G3003" s="35" t="s">
        <v>417</v>
      </c>
      <c r="H3003" s="35" t="s">
        <v>61</v>
      </c>
      <c r="I3003" s="4"/>
    </row>
    <row r="3004" customFormat="false" ht="15" hidden="false" customHeight="false" outlineLevel="0" collapsed="false">
      <c r="A3004" s="35" t="s">
        <v>6785</v>
      </c>
      <c r="B3004" s="35" t="s">
        <v>6786</v>
      </c>
      <c r="C3004" s="35" t="s">
        <v>48</v>
      </c>
      <c r="D3004" s="35" t="s">
        <v>57</v>
      </c>
      <c r="E3004" s="35" t="s">
        <v>824</v>
      </c>
      <c r="F3004" s="35"/>
      <c r="G3004" s="35" t="s">
        <v>417</v>
      </c>
      <c r="H3004" s="35" t="s">
        <v>61</v>
      </c>
      <c r="I3004" s="4"/>
    </row>
    <row r="3005" customFormat="false" ht="15" hidden="false" customHeight="false" outlineLevel="0" collapsed="false">
      <c r="A3005" s="35" t="s">
        <v>6787</v>
      </c>
      <c r="B3005" s="35" t="s">
        <v>6788</v>
      </c>
      <c r="C3005" s="35" t="s">
        <v>48</v>
      </c>
      <c r="D3005" s="35" t="s">
        <v>57</v>
      </c>
      <c r="E3005" s="35" t="s">
        <v>824</v>
      </c>
      <c r="F3005" s="35" t="s">
        <v>2013</v>
      </c>
      <c r="G3005" s="35" t="s">
        <v>417</v>
      </c>
      <c r="H3005" s="35" t="s">
        <v>61</v>
      </c>
      <c r="I3005" s="4"/>
    </row>
    <row r="3006" customFormat="false" ht="15" hidden="false" customHeight="false" outlineLevel="0" collapsed="false">
      <c r="A3006" s="35" t="s">
        <v>1845</v>
      </c>
      <c r="B3006" s="35" t="s">
        <v>6789</v>
      </c>
      <c r="C3006" s="35" t="s">
        <v>48</v>
      </c>
      <c r="D3006" s="35" t="s">
        <v>107</v>
      </c>
      <c r="E3006" s="35" t="s">
        <v>1844</v>
      </c>
      <c r="F3006" s="35"/>
      <c r="G3006" s="35" t="s">
        <v>433</v>
      </c>
      <c r="H3006" s="35" t="s">
        <v>61</v>
      </c>
      <c r="I3006" s="4"/>
    </row>
    <row r="3007" customFormat="false" ht="15" hidden="false" customHeight="false" outlineLevel="0" collapsed="false">
      <c r="A3007" s="35" t="s">
        <v>6790</v>
      </c>
      <c r="B3007" s="35" t="s">
        <v>6791</v>
      </c>
      <c r="C3007" s="35" t="s">
        <v>48</v>
      </c>
      <c r="D3007" s="35" t="s">
        <v>107</v>
      </c>
      <c r="E3007" s="35" t="s">
        <v>850</v>
      </c>
      <c r="F3007" s="35"/>
      <c r="G3007" s="35" t="s">
        <v>433</v>
      </c>
      <c r="H3007" s="35" t="s">
        <v>245</v>
      </c>
      <c r="I3007" s="4"/>
    </row>
    <row r="3008" customFormat="false" ht="15" hidden="false" customHeight="false" outlineLevel="0" collapsed="false">
      <c r="A3008" s="35" t="s">
        <v>6792</v>
      </c>
      <c r="B3008" s="35" t="s">
        <v>6793</v>
      </c>
      <c r="C3008" s="35" t="s">
        <v>48</v>
      </c>
      <c r="D3008" s="35" t="s">
        <v>447</v>
      </c>
      <c r="E3008" s="35"/>
      <c r="F3008" s="35"/>
      <c r="G3008" s="35" t="s">
        <v>681</v>
      </c>
      <c r="H3008" s="35" t="s">
        <v>61</v>
      </c>
      <c r="I3008" s="4"/>
    </row>
    <row r="3009" customFormat="false" ht="15" hidden="false" customHeight="false" outlineLevel="0" collapsed="false">
      <c r="A3009" s="35" t="s">
        <v>6794</v>
      </c>
      <c r="B3009" s="35" t="s">
        <v>6795</v>
      </c>
      <c r="C3009" s="35" t="s">
        <v>48</v>
      </c>
      <c r="D3009" s="35" t="s">
        <v>114</v>
      </c>
      <c r="E3009" s="35"/>
      <c r="F3009" s="35"/>
      <c r="G3009" s="35" t="s">
        <v>204</v>
      </c>
      <c r="H3009" s="35" t="s">
        <v>61</v>
      </c>
      <c r="I3009" s="4"/>
    </row>
    <row r="3010" customFormat="false" ht="15" hidden="false" customHeight="false" outlineLevel="0" collapsed="false">
      <c r="A3010" s="35" t="s">
        <v>1054</v>
      </c>
      <c r="B3010" s="35" t="s">
        <v>6796</v>
      </c>
      <c r="C3010" s="35" t="s">
        <v>48</v>
      </c>
      <c r="D3010" s="35" t="s">
        <v>107</v>
      </c>
      <c r="E3010" s="35" t="s">
        <v>1054</v>
      </c>
      <c r="F3010" s="35"/>
      <c r="G3010" s="35" t="s">
        <v>696</v>
      </c>
      <c r="H3010" s="35" t="s">
        <v>61</v>
      </c>
      <c r="I3010" s="4"/>
    </row>
    <row r="3011" customFormat="false" ht="15" hidden="false" customHeight="false" outlineLevel="0" collapsed="false">
      <c r="A3011" s="35" t="s">
        <v>6797</v>
      </c>
      <c r="B3011" s="35" t="s">
        <v>6798</v>
      </c>
      <c r="C3011" s="35" t="s">
        <v>48</v>
      </c>
      <c r="D3011" s="35" t="s">
        <v>107</v>
      </c>
      <c r="E3011" s="35" t="s">
        <v>1054</v>
      </c>
      <c r="F3011" s="35"/>
      <c r="G3011" s="35" t="s">
        <v>337</v>
      </c>
      <c r="H3011" s="35" t="s">
        <v>61</v>
      </c>
      <c r="I3011" s="4"/>
    </row>
    <row r="3012" customFormat="false" ht="15" hidden="false" customHeight="false" outlineLevel="0" collapsed="false">
      <c r="A3012" s="35" t="s">
        <v>1604</v>
      </c>
      <c r="B3012" s="35" t="s">
        <v>6799</v>
      </c>
      <c r="C3012" s="35" t="s">
        <v>48</v>
      </c>
      <c r="D3012" s="35" t="s">
        <v>57</v>
      </c>
      <c r="E3012" s="35" t="s">
        <v>1603</v>
      </c>
      <c r="F3012" s="35"/>
      <c r="G3012" s="35" t="s">
        <v>687</v>
      </c>
      <c r="H3012" s="35" t="s">
        <v>61</v>
      </c>
      <c r="I3012" s="4"/>
    </row>
    <row r="3013" customFormat="false" ht="15" hidden="false" customHeight="false" outlineLevel="0" collapsed="false">
      <c r="A3013" s="35" t="s">
        <v>6800</v>
      </c>
      <c r="B3013" s="35" t="s">
        <v>6801</v>
      </c>
      <c r="C3013" s="35" t="s">
        <v>48</v>
      </c>
      <c r="D3013" s="35" t="s">
        <v>114</v>
      </c>
      <c r="E3013" s="35"/>
      <c r="F3013" s="35"/>
      <c r="G3013" s="35" t="s">
        <v>99</v>
      </c>
      <c r="H3013" s="35" t="s">
        <v>61</v>
      </c>
      <c r="I3013" s="4"/>
    </row>
    <row r="3014" customFormat="false" ht="15" hidden="false" customHeight="false" outlineLevel="0" collapsed="false">
      <c r="A3014" s="35" t="s">
        <v>1848</v>
      </c>
      <c r="B3014" s="35" t="s">
        <v>6802</v>
      </c>
      <c r="C3014" s="35" t="s">
        <v>48</v>
      </c>
      <c r="D3014" s="35" t="s">
        <v>57</v>
      </c>
      <c r="E3014" s="35" t="s">
        <v>1848</v>
      </c>
      <c r="F3014" s="35"/>
      <c r="G3014" s="35" t="s">
        <v>328</v>
      </c>
      <c r="H3014" s="35" t="s">
        <v>369</v>
      </c>
      <c r="I3014" s="4"/>
    </row>
    <row r="3015" customFormat="false" ht="15" hidden="false" customHeight="false" outlineLevel="0" collapsed="false">
      <c r="A3015" s="35" t="s">
        <v>6803</v>
      </c>
      <c r="B3015" s="35" t="s">
        <v>6804</v>
      </c>
      <c r="C3015" s="35" t="s">
        <v>48</v>
      </c>
      <c r="D3015" s="35" t="s">
        <v>107</v>
      </c>
      <c r="E3015" s="35" t="s">
        <v>1263</v>
      </c>
      <c r="F3015" s="35"/>
      <c r="G3015" s="35" t="s">
        <v>744</v>
      </c>
      <c r="H3015" s="35" t="s">
        <v>61</v>
      </c>
      <c r="I3015" s="4"/>
    </row>
    <row r="3016" customFormat="false" ht="15" hidden="false" customHeight="false" outlineLevel="0" collapsed="false">
      <c r="A3016" s="35" t="s">
        <v>6805</v>
      </c>
      <c r="B3016" s="35" t="s">
        <v>6806</v>
      </c>
      <c r="C3016" s="35" t="s">
        <v>48</v>
      </c>
      <c r="D3016" s="35" t="s">
        <v>107</v>
      </c>
      <c r="E3016" s="35" t="s">
        <v>1263</v>
      </c>
      <c r="F3016" s="35"/>
      <c r="G3016" s="35" t="s">
        <v>744</v>
      </c>
      <c r="H3016" s="35" t="s">
        <v>61</v>
      </c>
      <c r="I3016" s="4"/>
    </row>
    <row r="3017" customFormat="false" ht="15" hidden="false" customHeight="false" outlineLevel="0" collapsed="false">
      <c r="A3017" s="35" t="s">
        <v>6807</v>
      </c>
      <c r="B3017" s="35" t="s">
        <v>6808</v>
      </c>
      <c r="C3017" s="35" t="s">
        <v>48</v>
      </c>
      <c r="D3017" s="35" t="s">
        <v>53</v>
      </c>
      <c r="E3017" s="35"/>
      <c r="F3017" s="35"/>
      <c r="G3017" s="35" t="s">
        <v>337</v>
      </c>
      <c r="H3017" s="35" t="s">
        <v>61</v>
      </c>
      <c r="I3017" s="4"/>
    </row>
    <row r="3018" customFormat="false" ht="15" hidden="false" customHeight="false" outlineLevel="0" collapsed="false">
      <c r="A3018" s="35" t="s">
        <v>6809</v>
      </c>
      <c r="B3018" s="35" t="s">
        <v>6810</v>
      </c>
      <c r="C3018" s="35" t="s">
        <v>48</v>
      </c>
      <c r="D3018" s="35" t="s">
        <v>53</v>
      </c>
      <c r="E3018" s="35"/>
      <c r="F3018" s="35"/>
      <c r="G3018" s="35" t="s">
        <v>49</v>
      </c>
      <c r="H3018" s="35" t="s">
        <v>49</v>
      </c>
      <c r="I3018" s="4"/>
    </row>
    <row r="3019" customFormat="false" ht="15" hidden="false" customHeight="false" outlineLevel="0" collapsed="false">
      <c r="A3019" s="35" t="s">
        <v>6811</v>
      </c>
      <c r="B3019" s="35" t="s">
        <v>6812</v>
      </c>
      <c r="C3019" s="35" t="s">
        <v>48</v>
      </c>
      <c r="D3019" s="35" t="s">
        <v>53</v>
      </c>
      <c r="E3019" s="35"/>
      <c r="F3019" s="35"/>
      <c r="G3019" s="35" t="s">
        <v>337</v>
      </c>
      <c r="H3019" s="35" t="s">
        <v>61</v>
      </c>
      <c r="I3019" s="4"/>
    </row>
    <row r="3020" customFormat="false" ht="15" hidden="false" customHeight="false" outlineLevel="0" collapsed="false">
      <c r="A3020" s="35" t="s">
        <v>6813</v>
      </c>
      <c r="B3020" s="35" t="s">
        <v>6814</v>
      </c>
      <c r="C3020" s="35" t="s">
        <v>48</v>
      </c>
      <c r="D3020" s="35" t="s">
        <v>53</v>
      </c>
      <c r="E3020" s="35"/>
      <c r="F3020" s="35"/>
      <c r="G3020" s="35" t="s">
        <v>337</v>
      </c>
      <c r="H3020" s="35" t="s">
        <v>61</v>
      </c>
      <c r="I3020" s="4"/>
    </row>
    <row r="3021" customFormat="false" ht="15" hidden="false" customHeight="false" outlineLevel="0" collapsed="false">
      <c r="A3021" s="35" t="s">
        <v>6815</v>
      </c>
      <c r="B3021" s="35" t="s">
        <v>6816</v>
      </c>
      <c r="C3021" s="35" t="s">
        <v>48</v>
      </c>
      <c r="D3021" s="35" t="s">
        <v>53</v>
      </c>
      <c r="E3021" s="35"/>
      <c r="F3021" s="35"/>
      <c r="G3021" s="35" t="s">
        <v>337</v>
      </c>
      <c r="H3021" s="35" t="s">
        <v>61</v>
      </c>
      <c r="I3021" s="4"/>
    </row>
    <row r="3022" customFormat="false" ht="15" hidden="false" customHeight="false" outlineLevel="0" collapsed="false">
      <c r="A3022" s="35" t="s">
        <v>6817</v>
      </c>
      <c r="B3022" s="35" t="s">
        <v>6818</v>
      </c>
      <c r="C3022" s="35" t="s">
        <v>48</v>
      </c>
      <c r="D3022" s="35" t="s">
        <v>53</v>
      </c>
      <c r="E3022" s="35"/>
      <c r="F3022" s="35"/>
      <c r="G3022" s="35" t="s">
        <v>337</v>
      </c>
      <c r="H3022" s="35" t="s">
        <v>61</v>
      </c>
      <c r="I3022" s="4"/>
    </row>
    <row r="3023" customFormat="false" ht="15" hidden="false" customHeight="false" outlineLevel="0" collapsed="false">
      <c r="A3023" s="35" t="s">
        <v>6819</v>
      </c>
      <c r="B3023" s="35" t="s">
        <v>6820</v>
      </c>
      <c r="C3023" s="35" t="s">
        <v>48</v>
      </c>
      <c r="D3023" s="35" t="s">
        <v>53</v>
      </c>
      <c r="E3023" s="35"/>
      <c r="F3023" s="35"/>
      <c r="G3023" s="35" t="s">
        <v>337</v>
      </c>
      <c r="H3023" s="35" t="s">
        <v>61</v>
      </c>
      <c r="I3023" s="4"/>
    </row>
    <row r="3024" customFormat="false" ht="15" hidden="false" customHeight="false" outlineLevel="0" collapsed="false">
      <c r="A3024" s="35" t="s">
        <v>6821</v>
      </c>
      <c r="B3024" s="35" t="s">
        <v>6822</v>
      </c>
      <c r="C3024" s="35" t="s">
        <v>48</v>
      </c>
      <c r="D3024" s="35" t="s">
        <v>53</v>
      </c>
      <c r="E3024" s="35"/>
      <c r="F3024" s="35"/>
      <c r="G3024" s="35" t="s">
        <v>337</v>
      </c>
      <c r="H3024" s="35" t="s">
        <v>61</v>
      </c>
      <c r="I3024" s="4"/>
    </row>
    <row r="3025" customFormat="false" ht="15" hidden="false" customHeight="false" outlineLevel="0" collapsed="false">
      <c r="A3025" s="35" t="s">
        <v>6823</v>
      </c>
      <c r="B3025" s="35" t="s">
        <v>6824</v>
      </c>
      <c r="C3025" s="35" t="s">
        <v>48</v>
      </c>
      <c r="D3025" s="35" t="s">
        <v>53</v>
      </c>
      <c r="E3025" s="35"/>
      <c r="F3025" s="35"/>
      <c r="G3025" s="35" t="s">
        <v>337</v>
      </c>
      <c r="H3025" s="35" t="s">
        <v>61</v>
      </c>
      <c r="I3025" s="4"/>
    </row>
    <row r="3026" customFormat="false" ht="15" hidden="false" customHeight="false" outlineLevel="0" collapsed="false">
      <c r="A3026" s="35" t="s">
        <v>6825</v>
      </c>
      <c r="B3026" s="35" t="s">
        <v>6826</v>
      </c>
      <c r="C3026" s="35" t="s">
        <v>48</v>
      </c>
      <c r="D3026" s="35" t="s">
        <v>157</v>
      </c>
      <c r="E3026" s="35"/>
      <c r="F3026" s="35" t="s">
        <v>157</v>
      </c>
      <c r="G3026" s="35" t="s">
        <v>692</v>
      </c>
      <c r="H3026" s="35" t="s">
        <v>61</v>
      </c>
      <c r="I3026" s="4"/>
    </row>
    <row r="3027" customFormat="false" ht="15" hidden="false" customHeight="false" outlineLevel="0" collapsed="false">
      <c r="A3027" s="35" t="s">
        <v>1851</v>
      </c>
      <c r="B3027" s="35" t="s">
        <v>6827</v>
      </c>
      <c r="C3027" s="35" t="s">
        <v>48</v>
      </c>
      <c r="D3027" s="35" t="s">
        <v>107</v>
      </c>
      <c r="E3027" s="35" t="s">
        <v>1851</v>
      </c>
      <c r="F3027" s="35"/>
      <c r="G3027" s="35" t="s">
        <v>417</v>
      </c>
      <c r="H3027" s="35" t="s">
        <v>61</v>
      </c>
      <c r="I3027" s="4"/>
    </row>
    <row r="3028" customFormat="false" ht="15" hidden="false" customHeight="false" outlineLevel="0" collapsed="false">
      <c r="A3028" s="35" t="s">
        <v>6828</v>
      </c>
      <c r="B3028" s="35" t="s">
        <v>6829</v>
      </c>
      <c r="C3028" s="35" t="s">
        <v>48</v>
      </c>
      <c r="D3028" s="35" t="s">
        <v>114</v>
      </c>
      <c r="E3028" s="35"/>
      <c r="F3028" s="35"/>
      <c r="G3028" s="35" t="s">
        <v>571</v>
      </c>
      <c r="H3028" s="35" t="s">
        <v>61</v>
      </c>
      <c r="I3028" s="4"/>
    </row>
    <row r="3029" customFormat="false" ht="15" hidden="false" customHeight="false" outlineLevel="0" collapsed="false">
      <c r="A3029" s="35" t="s">
        <v>6830</v>
      </c>
      <c r="B3029" s="35" t="s">
        <v>6831</v>
      </c>
      <c r="C3029" s="35" t="s">
        <v>48</v>
      </c>
      <c r="D3029" s="35" t="s">
        <v>107</v>
      </c>
      <c r="E3029" s="35" t="s">
        <v>837</v>
      </c>
      <c r="F3029" s="35" t="s">
        <v>2147</v>
      </c>
      <c r="G3029" s="35" t="s">
        <v>188</v>
      </c>
      <c r="H3029" s="35" t="s">
        <v>61</v>
      </c>
      <c r="I3029" s="4"/>
    </row>
    <row r="3030" customFormat="false" ht="15" hidden="false" customHeight="false" outlineLevel="0" collapsed="false">
      <c r="A3030" s="35" t="s">
        <v>6832</v>
      </c>
      <c r="B3030" s="35" t="s">
        <v>6833</v>
      </c>
      <c r="C3030" s="35" t="s">
        <v>48</v>
      </c>
      <c r="D3030" s="35" t="s">
        <v>107</v>
      </c>
      <c r="E3030" s="35" t="s">
        <v>989</v>
      </c>
      <c r="F3030" s="35"/>
      <c r="G3030" s="35" t="s">
        <v>337</v>
      </c>
      <c r="H3030" s="35" t="s">
        <v>61</v>
      </c>
      <c r="I3030" s="4"/>
    </row>
    <row r="3031" customFormat="false" ht="15" hidden="false" customHeight="false" outlineLevel="0" collapsed="false">
      <c r="A3031" s="35" t="s">
        <v>6834</v>
      </c>
      <c r="B3031" s="35" t="s">
        <v>6835</v>
      </c>
      <c r="C3031" s="35" t="s">
        <v>48</v>
      </c>
      <c r="D3031" s="35" t="s">
        <v>57</v>
      </c>
      <c r="E3031" s="35" t="s">
        <v>313</v>
      </c>
      <c r="F3031" s="35"/>
      <c r="G3031" s="35" t="s">
        <v>686</v>
      </c>
      <c r="H3031" s="35" t="s">
        <v>61</v>
      </c>
      <c r="I3031" s="4"/>
    </row>
    <row r="3032" customFormat="false" ht="15" hidden="false" customHeight="false" outlineLevel="0" collapsed="false">
      <c r="A3032" s="35" t="s">
        <v>6836</v>
      </c>
      <c r="B3032" s="35" t="s">
        <v>6837</v>
      </c>
      <c r="C3032" s="35" t="s">
        <v>48</v>
      </c>
      <c r="D3032" s="35" t="s">
        <v>107</v>
      </c>
      <c r="E3032" s="35" t="s">
        <v>347</v>
      </c>
      <c r="F3032" s="35"/>
      <c r="G3032" s="35" t="s">
        <v>337</v>
      </c>
      <c r="H3032" s="35" t="s">
        <v>61</v>
      </c>
      <c r="I3032" s="4"/>
    </row>
    <row r="3033" customFormat="false" ht="15" hidden="false" customHeight="false" outlineLevel="0" collapsed="false">
      <c r="A3033" s="35" t="s">
        <v>6838</v>
      </c>
      <c r="B3033" s="35" t="s">
        <v>6839</v>
      </c>
      <c r="C3033" s="35" t="s">
        <v>48</v>
      </c>
      <c r="D3033" s="35" t="s">
        <v>107</v>
      </c>
      <c r="E3033" s="35" t="s">
        <v>1056</v>
      </c>
      <c r="F3033" s="35"/>
      <c r="G3033" s="35" t="s">
        <v>706</v>
      </c>
      <c r="H3033" s="35" t="s">
        <v>61</v>
      </c>
      <c r="I3033" s="4"/>
    </row>
    <row r="3034" customFormat="false" ht="15" hidden="false" customHeight="false" outlineLevel="0" collapsed="false">
      <c r="A3034" s="35" t="s">
        <v>953</v>
      </c>
      <c r="B3034" s="35" t="s">
        <v>6840</v>
      </c>
      <c r="C3034" s="35" t="s">
        <v>48</v>
      </c>
      <c r="D3034" s="35" t="s">
        <v>57</v>
      </c>
      <c r="E3034" s="35" t="s">
        <v>953</v>
      </c>
      <c r="F3034" s="35"/>
      <c r="G3034" s="35" t="s">
        <v>119</v>
      </c>
      <c r="H3034" s="35" t="s">
        <v>50</v>
      </c>
      <c r="I3034" s="4"/>
    </row>
    <row r="3035" customFormat="false" ht="15" hidden="false" customHeight="false" outlineLevel="0" collapsed="false">
      <c r="A3035" s="35" t="s">
        <v>6841</v>
      </c>
      <c r="B3035" s="35" t="s">
        <v>6842</v>
      </c>
      <c r="C3035" s="35" t="s">
        <v>48</v>
      </c>
      <c r="D3035" s="35" t="s">
        <v>57</v>
      </c>
      <c r="E3035" s="35" t="s">
        <v>953</v>
      </c>
      <c r="F3035" s="35"/>
      <c r="G3035" s="35" t="s">
        <v>49</v>
      </c>
      <c r="H3035" s="35" t="s">
        <v>49</v>
      </c>
      <c r="I3035" s="4"/>
    </row>
    <row r="3036" customFormat="false" ht="15" hidden="false" customHeight="false" outlineLevel="0" collapsed="false">
      <c r="A3036" s="35" t="s">
        <v>6843</v>
      </c>
      <c r="B3036" s="35" t="s">
        <v>6844</v>
      </c>
      <c r="C3036" s="35" t="s">
        <v>48</v>
      </c>
      <c r="D3036" s="35" t="s">
        <v>107</v>
      </c>
      <c r="E3036" s="35" t="s">
        <v>953</v>
      </c>
      <c r="F3036" s="35"/>
      <c r="G3036" s="35" t="s">
        <v>49</v>
      </c>
      <c r="H3036" s="35" t="s">
        <v>49</v>
      </c>
      <c r="I3036" s="4"/>
    </row>
    <row r="3037" customFormat="false" ht="15" hidden="false" customHeight="false" outlineLevel="0" collapsed="false">
      <c r="A3037" s="35" t="s">
        <v>6845</v>
      </c>
      <c r="B3037" s="35" t="s">
        <v>6846</v>
      </c>
      <c r="C3037" s="35" t="s">
        <v>48</v>
      </c>
      <c r="D3037" s="35" t="s">
        <v>57</v>
      </c>
      <c r="E3037" s="35" t="s">
        <v>313</v>
      </c>
      <c r="F3037" s="35"/>
      <c r="G3037" s="35" t="s">
        <v>262</v>
      </c>
      <c r="H3037" s="35" t="s">
        <v>61</v>
      </c>
      <c r="I3037" s="4"/>
    </row>
    <row r="3038" customFormat="false" ht="15" hidden="false" customHeight="false" outlineLevel="0" collapsed="false">
      <c r="A3038" s="35" t="s">
        <v>6847</v>
      </c>
      <c r="B3038" s="35" t="s">
        <v>6848</v>
      </c>
      <c r="C3038" s="35" t="s">
        <v>48</v>
      </c>
      <c r="D3038" s="35" t="s">
        <v>57</v>
      </c>
      <c r="E3038" s="35" t="s">
        <v>313</v>
      </c>
      <c r="F3038" s="35"/>
      <c r="G3038" s="35" t="s">
        <v>262</v>
      </c>
      <c r="H3038" s="35" t="s">
        <v>61</v>
      </c>
      <c r="I3038" s="4"/>
    </row>
    <row r="3039" customFormat="false" ht="15" hidden="false" customHeight="false" outlineLevel="0" collapsed="false">
      <c r="A3039" s="35" t="s">
        <v>6849</v>
      </c>
      <c r="B3039" s="35" t="s">
        <v>6850</v>
      </c>
      <c r="C3039" s="35" t="s">
        <v>48</v>
      </c>
      <c r="D3039" s="35" t="s">
        <v>57</v>
      </c>
      <c r="E3039" s="35" t="s">
        <v>313</v>
      </c>
      <c r="F3039" s="35"/>
      <c r="G3039" s="35" t="s">
        <v>262</v>
      </c>
      <c r="H3039" s="35" t="s">
        <v>61</v>
      </c>
      <c r="I3039" s="4"/>
    </row>
    <row r="3040" customFormat="false" ht="15" hidden="false" customHeight="false" outlineLevel="0" collapsed="false">
      <c r="A3040" s="35" t="s">
        <v>6851</v>
      </c>
      <c r="B3040" s="35" t="s">
        <v>6850</v>
      </c>
      <c r="C3040" s="35" t="s">
        <v>48</v>
      </c>
      <c r="D3040" s="35" t="s">
        <v>57</v>
      </c>
      <c r="E3040" s="35" t="s">
        <v>313</v>
      </c>
      <c r="F3040" s="35"/>
      <c r="G3040" s="35" t="s">
        <v>262</v>
      </c>
      <c r="H3040" s="35" t="s">
        <v>61</v>
      </c>
      <c r="I3040" s="4"/>
    </row>
    <row r="3041" customFormat="false" ht="15" hidden="false" customHeight="false" outlineLevel="0" collapsed="false">
      <c r="A3041" s="35" t="s">
        <v>6852</v>
      </c>
      <c r="B3041" s="35" t="s">
        <v>6853</v>
      </c>
      <c r="C3041" s="35" t="s">
        <v>48</v>
      </c>
      <c r="D3041" s="35" t="s">
        <v>57</v>
      </c>
      <c r="E3041" s="35" t="s">
        <v>313</v>
      </c>
      <c r="F3041" s="35"/>
      <c r="G3041" s="35" t="s">
        <v>262</v>
      </c>
      <c r="H3041" s="35" t="s">
        <v>61</v>
      </c>
      <c r="I3041" s="4"/>
    </row>
    <row r="3042" customFormat="false" ht="15" hidden="false" customHeight="false" outlineLevel="0" collapsed="false">
      <c r="A3042" s="35" t="s">
        <v>6854</v>
      </c>
      <c r="B3042" s="35" t="s">
        <v>6850</v>
      </c>
      <c r="C3042" s="35" t="s">
        <v>48</v>
      </c>
      <c r="D3042" s="35" t="s">
        <v>57</v>
      </c>
      <c r="E3042" s="35" t="s">
        <v>313</v>
      </c>
      <c r="F3042" s="35"/>
      <c r="G3042" s="35" t="s">
        <v>262</v>
      </c>
      <c r="H3042" s="35" t="s">
        <v>61</v>
      </c>
      <c r="I3042" s="4"/>
    </row>
    <row r="3043" customFormat="false" ht="15" hidden="false" customHeight="false" outlineLevel="0" collapsed="false">
      <c r="A3043" s="35" t="s">
        <v>6855</v>
      </c>
      <c r="B3043" s="35" t="s">
        <v>6850</v>
      </c>
      <c r="C3043" s="35" t="s">
        <v>48</v>
      </c>
      <c r="D3043" s="35" t="s">
        <v>57</v>
      </c>
      <c r="E3043" s="35" t="s">
        <v>313</v>
      </c>
      <c r="F3043" s="35"/>
      <c r="G3043" s="35" t="s">
        <v>262</v>
      </c>
      <c r="H3043" s="35" t="s">
        <v>61</v>
      </c>
      <c r="I3043" s="4"/>
    </row>
    <row r="3044" customFormat="false" ht="15" hidden="false" customHeight="false" outlineLevel="0" collapsed="false">
      <c r="A3044" s="35" t="s">
        <v>6856</v>
      </c>
      <c r="B3044" s="35" t="s">
        <v>6850</v>
      </c>
      <c r="C3044" s="35" t="s">
        <v>48</v>
      </c>
      <c r="D3044" s="35" t="s">
        <v>57</v>
      </c>
      <c r="E3044" s="35" t="s">
        <v>313</v>
      </c>
      <c r="F3044" s="35"/>
      <c r="G3044" s="35" t="s">
        <v>262</v>
      </c>
      <c r="H3044" s="35" t="s">
        <v>61</v>
      </c>
      <c r="I3044" s="4"/>
    </row>
    <row r="3045" customFormat="false" ht="15" hidden="false" customHeight="false" outlineLevel="0" collapsed="false">
      <c r="A3045" s="35" t="s">
        <v>6857</v>
      </c>
      <c r="B3045" s="35" t="s">
        <v>6850</v>
      </c>
      <c r="C3045" s="35" t="s">
        <v>48</v>
      </c>
      <c r="D3045" s="35" t="s">
        <v>57</v>
      </c>
      <c r="E3045" s="35" t="s">
        <v>313</v>
      </c>
      <c r="F3045" s="35"/>
      <c r="G3045" s="35" t="s">
        <v>262</v>
      </c>
      <c r="H3045" s="35" t="s">
        <v>61</v>
      </c>
      <c r="I3045" s="4"/>
    </row>
    <row r="3046" customFormat="false" ht="15" hidden="false" customHeight="false" outlineLevel="0" collapsed="false">
      <c r="A3046" s="35" t="s">
        <v>6858</v>
      </c>
      <c r="B3046" s="35" t="s">
        <v>6850</v>
      </c>
      <c r="C3046" s="35" t="s">
        <v>48</v>
      </c>
      <c r="D3046" s="35" t="s">
        <v>57</v>
      </c>
      <c r="E3046" s="35" t="s">
        <v>313</v>
      </c>
      <c r="F3046" s="35"/>
      <c r="G3046" s="35" t="s">
        <v>262</v>
      </c>
      <c r="H3046" s="35" t="s">
        <v>61</v>
      </c>
      <c r="I3046" s="4"/>
    </row>
    <row r="3047" customFormat="false" ht="15" hidden="false" customHeight="false" outlineLevel="0" collapsed="false">
      <c r="A3047" s="35" t="s">
        <v>6859</v>
      </c>
      <c r="B3047" s="35" t="s">
        <v>6850</v>
      </c>
      <c r="C3047" s="35" t="s">
        <v>48</v>
      </c>
      <c r="D3047" s="35" t="s">
        <v>57</v>
      </c>
      <c r="E3047" s="35" t="s">
        <v>313</v>
      </c>
      <c r="F3047" s="35"/>
      <c r="G3047" s="35" t="s">
        <v>262</v>
      </c>
      <c r="H3047" s="35" t="s">
        <v>61</v>
      </c>
      <c r="I3047" s="4"/>
    </row>
    <row r="3048" customFormat="false" ht="15" hidden="false" customHeight="false" outlineLevel="0" collapsed="false">
      <c r="A3048" s="35" t="s">
        <v>6860</v>
      </c>
      <c r="B3048" s="35" t="s">
        <v>6850</v>
      </c>
      <c r="C3048" s="35" t="s">
        <v>48</v>
      </c>
      <c r="D3048" s="35" t="s">
        <v>57</v>
      </c>
      <c r="E3048" s="35" t="s">
        <v>313</v>
      </c>
      <c r="F3048" s="35"/>
      <c r="G3048" s="35" t="s">
        <v>262</v>
      </c>
      <c r="H3048" s="35" t="s">
        <v>61</v>
      </c>
      <c r="I3048" s="4"/>
    </row>
    <row r="3049" customFormat="false" ht="15" hidden="false" customHeight="false" outlineLevel="0" collapsed="false">
      <c r="A3049" s="35" t="s">
        <v>6861</v>
      </c>
      <c r="B3049" s="35" t="s">
        <v>6862</v>
      </c>
      <c r="C3049" s="35" t="s">
        <v>48</v>
      </c>
      <c r="D3049" s="35" t="s">
        <v>57</v>
      </c>
      <c r="E3049" s="35" t="s">
        <v>1182</v>
      </c>
      <c r="F3049" s="35"/>
      <c r="G3049" s="35" t="s">
        <v>328</v>
      </c>
      <c r="H3049" s="35" t="s">
        <v>61</v>
      </c>
      <c r="I3049" s="4"/>
    </row>
    <row r="3050" customFormat="false" ht="15" hidden="false" customHeight="false" outlineLevel="0" collapsed="false">
      <c r="A3050" s="35" t="s">
        <v>83</v>
      </c>
      <c r="B3050" s="35" t="s">
        <v>6863</v>
      </c>
      <c r="C3050" s="35" t="s">
        <v>48</v>
      </c>
      <c r="D3050" s="35" t="s">
        <v>57</v>
      </c>
      <c r="E3050" s="35" t="s">
        <v>83</v>
      </c>
      <c r="F3050" s="35"/>
      <c r="G3050" s="35" t="s">
        <v>83</v>
      </c>
      <c r="H3050" s="35" t="s">
        <v>61</v>
      </c>
      <c r="I3050" s="4"/>
    </row>
    <row r="3051" customFormat="false" ht="15" hidden="false" customHeight="false" outlineLevel="0" collapsed="false">
      <c r="A3051" s="35" t="s">
        <v>6864</v>
      </c>
      <c r="B3051" s="35" t="s">
        <v>6865</v>
      </c>
      <c r="C3051" s="35" t="s">
        <v>48</v>
      </c>
      <c r="D3051" s="35" t="s">
        <v>53</v>
      </c>
      <c r="E3051" s="35"/>
      <c r="F3051" s="35"/>
      <c r="G3051" s="35" t="s">
        <v>421</v>
      </c>
      <c r="H3051" s="35" t="s">
        <v>61</v>
      </c>
      <c r="I3051" s="4"/>
    </row>
    <row r="3052" customFormat="false" ht="15" hidden="false" customHeight="false" outlineLevel="0" collapsed="false">
      <c r="A3052" s="35" t="s">
        <v>6866</v>
      </c>
      <c r="B3052" s="35" t="s">
        <v>6867</v>
      </c>
      <c r="C3052" s="35" t="s">
        <v>48</v>
      </c>
      <c r="D3052" s="35" t="s">
        <v>107</v>
      </c>
      <c r="E3052" s="35" t="s">
        <v>1083</v>
      </c>
      <c r="F3052" s="35" t="s">
        <v>2147</v>
      </c>
      <c r="G3052" s="35" t="s">
        <v>545</v>
      </c>
      <c r="H3052" s="35" t="s">
        <v>61</v>
      </c>
      <c r="I3052" s="4"/>
    </row>
    <row r="3053" customFormat="false" ht="15" hidden="false" customHeight="false" outlineLevel="0" collapsed="false">
      <c r="A3053" s="35" t="s">
        <v>45</v>
      </c>
      <c r="B3053" s="35" t="s">
        <v>47</v>
      </c>
      <c r="C3053" s="35" t="s">
        <v>48</v>
      </c>
      <c r="D3053" s="35" t="s">
        <v>46</v>
      </c>
      <c r="E3053" s="35" t="s">
        <v>45</v>
      </c>
      <c r="F3053" s="35"/>
      <c r="G3053" s="35" t="s">
        <v>49</v>
      </c>
      <c r="H3053" s="35" t="s">
        <v>50</v>
      </c>
      <c r="I3053" s="4" t="s">
        <v>2025</v>
      </c>
    </row>
    <row r="3054" customFormat="false" ht="15" hidden="false" customHeight="false" outlineLevel="0" collapsed="false">
      <c r="A3054" s="35" t="s">
        <v>45</v>
      </c>
      <c r="B3054" s="35"/>
      <c r="C3054" s="35" t="s">
        <v>673</v>
      </c>
      <c r="D3054" s="35" t="s">
        <v>57</v>
      </c>
      <c r="E3054" s="35" t="s">
        <v>45</v>
      </c>
      <c r="F3054" s="35"/>
      <c r="G3054" s="35" t="s">
        <v>421</v>
      </c>
      <c r="H3054" s="35" t="s">
        <v>2109</v>
      </c>
      <c r="I3054" s="4"/>
    </row>
    <row r="3055" customFormat="false" ht="15" hidden="false" customHeight="false" outlineLevel="0" collapsed="false">
      <c r="A3055" s="35" t="s">
        <v>45</v>
      </c>
      <c r="B3055" s="35"/>
      <c r="C3055" s="35" t="s">
        <v>673</v>
      </c>
      <c r="D3055" s="35" t="s">
        <v>57</v>
      </c>
      <c r="E3055" s="35" t="s">
        <v>45</v>
      </c>
      <c r="F3055" s="35"/>
      <c r="G3055" s="35" t="s">
        <v>421</v>
      </c>
      <c r="H3055" s="35" t="s">
        <v>2109</v>
      </c>
      <c r="I3055" s="4"/>
    </row>
    <row r="3056" customFormat="false" ht="15" hidden="false" customHeight="false" outlineLevel="0" collapsed="false">
      <c r="A3056" s="35" t="s">
        <v>45</v>
      </c>
      <c r="B3056" s="35"/>
      <c r="C3056" s="35" t="s">
        <v>673</v>
      </c>
      <c r="D3056" s="35" t="s">
        <v>57</v>
      </c>
      <c r="E3056" s="35" t="s">
        <v>45</v>
      </c>
      <c r="F3056" s="35"/>
      <c r="G3056" s="35" t="s">
        <v>421</v>
      </c>
      <c r="H3056" s="35" t="s">
        <v>2109</v>
      </c>
      <c r="I3056" s="4"/>
    </row>
    <row r="3057" customFormat="false" ht="15" hidden="false" customHeight="false" outlineLevel="0" collapsed="false">
      <c r="A3057" s="35" t="s">
        <v>6868</v>
      </c>
      <c r="B3057" s="35" t="s">
        <v>6869</v>
      </c>
      <c r="C3057" s="35" t="s">
        <v>48</v>
      </c>
      <c r="D3057" s="35" t="s">
        <v>146</v>
      </c>
      <c r="E3057" s="35"/>
      <c r="F3057" s="35"/>
      <c r="G3057" s="35" t="s">
        <v>535</v>
      </c>
      <c r="H3057" s="35" t="s">
        <v>61</v>
      </c>
      <c r="I3057" s="4"/>
    </row>
    <row r="3058" customFormat="false" ht="15" hidden="false" customHeight="false" outlineLevel="0" collapsed="false">
      <c r="A3058" s="35" t="s">
        <v>6870</v>
      </c>
      <c r="B3058" s="35" t="s">
        <v>6871</v>
      </c>
      <c r="C3058" s="35" t="s">
        <v>48</v>
      </c>
      <c r="D3058" s="35" t="s">
        <v>46</v>
      </c>
      <c r="E3058" s="35" t="s">
        <v>45</v>
      </c>
      <c r="F3058" s="35"/>
      <c r="G3058" s="35" t="s">
        <v>49</v>
      </c>
      <c r="H3058" s="35" t="s">
        <v>49</v>
      </c>
      <c r="I3058" s="4"/>
    </row>
    <row r="3059" customFormat="false" ht="15" hidden="false" customHeight="false" outlineLevel="0" collapsed="false">
      <c r="A3059" s="35" t="s">
        <v>6872</v>
      </c>
      <c r="B3059" s="35" t="s">
        <v>6873</v>
      </c>
      <c r="C3059" s="35" t="s">
        <v>48</v>
      </c>
      <c r="D3059" s="35" t="s">
        <v>114</v>
      </c>
      <c r="E3059" s="35"/>
      <c r="F3059" s="35" t="s">
        <v>2022</v>
      </c>
      <c r="G3059" s="35" t="s">
        <v>104</v>
      </c>
      <c r="H3059" s="35" t="s">
        <v>61</v>
      </c>
      <c r="I3059" s="4"/>
    </row>
    <row r="3060" customFormat="false" ht="15" hidden="false" customHeight="false" outlineLevel="0" collapsed="false">
      <c r="A3060" s="35" t="s">
        <v>6874</v>
      </c>
      <c r="B3060" s="35" t="s">
        <v>6875</v>
      </c>
      <c r="C3060" s="35" t="s">
        <v>48</v>
      </c>
      <c r="D3060" s="35" t="s">
        <v>107</v>
      </c>
      <c r="E3060" s="35" t="s">
        <v>956</v>
      </c>
      <c r="F3060" s="35"/>
      <c r="G3060" s="35" t="s">
        <v>728</v>
      </c>
      <c r="H3060" s="35" t="s">
        <v>61</v>
      </c>
      <c r="I3060" s="4"/>
    </row>
    <row r="3061" customFormat="false" ht="15" hidden="false" customHeight="false" outlineLevel="0" collapsed="false">
      <c r="A3061" s="35" t="s">
        <v>6876</v>
      </c>
      <c r="B3061" s="35" t="s">
        <v>6877</v>
      </c>
      <c r="C3061" s="35" t="s">
        <v>48</v>
      </c>
      <c r="D3061" s="35" t="s">
        <v>107</v>
      </c>
      <c r="E3061" s="35" t="s">
        <v>956</v>
      </c>
      <c r="F3061" s="35"/>
      <c r="G3061" s="35" t="s">
        <v>728</v>
      </c>
      <c r="H3061" s="35" t="s">
        <v>61</v>
      </c>
      <c r="I3061" s="4"/>
    </row>
    <row r="3062" customFormat="false" ht="15" hidden="false" customHeight="false" outlineLevel="0" collapsed="false">
      <c r="A3062" s="35" t="s">
        <v>6878</v>
      </c>
      <c r="B3062" s="35" t="s">
        <v>6879</v>
      </c>
      <c r="C3062" s="35" t="s">
        <v>48</v>
      </c>
      <c r="D3062" s="35" t="s">
        <v>107</v>
      </c>
      <c r="E3062" s="35" t="s">
        <v>956</v>
      </c>
      <c r="F3062" s="35"/>
      <c r="G3062" s="35" t="s">
        <v>728</v>
      </c>
      <c r="H3062" s="35" t="s">
        <v>61</v>
      </c>
      <c r="I3062" s="4"/>
    </row>
    <row r="3063" customFormat="false" ht="15" hidden="false" customHeight="false" outlineLevel="0" collapsed="false">
      <c r="A3063" s="35" t="s">
        <v>1863</v>
      </c>
      <c r="B3063" s="35" t="s">
        <v>6880</v>
      </c>
      <c r="C3063" s="35" t="s">
        <v>48</v>
      </c>
      <c r="D3063" s="35" t="s">
        <v>57</v>
      </c>
      <c r="E3063" s="35" t="s">
        <v>1862</v>
      </c>
      <c r="F3063" s="35"/>
      <c r="G3063" s="35" t="s">
        <v>45</v>
      </c>
      <c r="H3063" s="35" t="s">
        <v>61</v>
      </c>
      <c r="I3063" s="4"/>
    </row>
    <row r="3064" customFormat="false" ht="15" hidden="false" customHeight="false" outlineLevel="0" collapsed="false">
      <c r="A3064" s="35" t="s">
        <v>6881</v>
      </c>
      <c r="B3064" s="35" t="s">
        <v>6882</v>
      </c>
      <c r="C3064" s="35" t="s">
        <v>48</v>
      </c>
      <c r="D3064" s="35" t="s">
        <v>53</v>
      </c>
      <c r="E3064" s="35"/>
      <c r="F3064" s="35"/>
      <c r="G3064" s="35" t="s">
        <v>45</v>
      </c>
      <c r="H3064" s="35" t="s">
        <v>61</v>
      </c>
      <c r="I3064" s="4"/>
    </row>
    <row r="3065" customFormat="false" ht="15" hidden="false" customHeight="false" outlineLevel="0" collapsed="false">
      <c r="A3065" s="35" t="s">
        <v>6883</v>
      </c>
      <c r="B3065" s="35" t="s">
        <v>6884</v>
      </c>
      <c r="C3065" s="35" t="s">
        <v>48</v>
      </c>
      <c r="D3065" s="35" t="s">
        <v>114</v>
      </c>
      <c r="E3065" s="35"/>
      <c r="F3065" s="35"/>
      <c r="G3065" s="35" t="s">
        <v>682</v>
      </c>
      <c r="H3065" s="35" t="s">
        <v>49</v>
      </c>
      <c r="I3065" s="4"/>
    </row>
    <row r="3066" customFormat="false" ht="15" hidden="false" customHeight="false" outlineLevel="0" collapsed="false">
      <c r="A3066" s="35" t="s">
        <v>1501</v>
      </c>
      <c r="B3066" s="35" t="s">
        <v>6885</v>
      </c>
      <c r="C3066" s="35" t="s">
        <v>48</v>
      </c>
      <c r="D3066" s="35" t="s">
        <v>107</v>
      </c>
      <c r="E3066" s="35" t="s">
        <v>1500</v>
      </c>
      <c r="F3066" s="35" t="s">
        <v>2147</v>
      </c>
      <c r="G3066" s="35" t="s">
        <v>328</v>
      </c>
      <c r="H3066" s="35" t="s">
        <v>61</v>
      </c>
      <c r="I3066" s="4"/>
    </row>
    <row r="3067" customFormat="false" ht="15" hidden="false" customHeight="false" outlineLevel="0" collapsed="false">
      <c r="A3067" s="35" t="s">
        <v>1703</v>
      </c>
      <c r="B3067" s="35" t="s">
        <v>6886</v>
      </c>
      <c r="C3067" s="35" t="s">
        <v>48</v>
      </c>
      <c r="D3067" s="35" t="s">
        <v>107</v>
      </c>
      <c r="E3067" s="35" t="s">
        <v>1702</v>
      </c>
      <c r="F3067" s="35" t="s">
        <v>2147</v>
      </c>
      <c r="G3067" s="35" t="s">
        <v>328</v>
      </c>
      <c r="H3067" s="35" t="s">
        <v>61</v>
      </c>
      <c r="I3067" s="4"/>
    </row>
    <row r="3068" customFormat="false" ht="15" hidden="false" customHeight="false" outlineLevel="0" collapsed="false">
      <c r="A3068" s="35" t="s">
        <v>6887</v>
      </c>
      <c r="B3068" s="35" t="s">
        <v>6888</v>
      </c>
      <c r="C3068" s="35" t="s">
        <v>48</v>
      </c>
      <c r="D3068" s="35" t="s">
        <v>447</v>
      </c>
      <c r="E3068" s="35"/>
      <c r="F3068" s="35" t="s">
        <v>2383</v>
      </c>
      <c r="G3068" s="35" t="s">
        <v>716</v>
      </c>
      <c r="H3068" s="35" t="s">
        <v>61</v>
      </c>
      <c r="I3068" s="4"/>
    </row>
    <row r="3069" customFormat="false" ht="15" hidden="false" customHeight="false" outlineLevel="0" collapsed="false">
      <c r="A3069" s="35" t="s">
        <v>1859</v>
      </c>
      <c r="B3069" s="35" t="s">
        <v>6889</v>
      </c>
      <c r="C3069" s="35" t="s">
        <v>48</v>
      </c>
      <c r="D3069" s="35" t="s">
        <v>57</v>
      </c>
      <c r="E3069" s="35" t="s">
        <v>1859</v>
      </c>
      <c r="F3069" s="35"/>
      <c r="G3069" s="35" t="s">
        <v>767</v>
      </c>
      <c r="H3069" s="35" t="s">
        <v>61</v>
      </c>
      <c r="I3069" s="4"/>
    </row>
    <row r="3070" customFormat="false" ht="15" hidden="false" customHeight="false" outlineLevel="0" collapsed="false">
      <c r="A3070" s="35" t="s">
        <v>1653</v>
      </c>
      <c r="B3070" s="35" t="s">
        <v>6890</v>
      </c>
      <c r="C3070" s="35" t="s">
        <v>48</v>
      </c>
      <c r="D3070" s="35" t="s">
        <v>107</v>
      </c>
      <c r="E3070" s="35" t="s">
        <v>1652</v>
      </c>
      <c r="F3070" s="35" t="s">
        <v>2147</v>
      </c>
      <c r="G3070" s="35" t="s">
        <v>679</v>
      </c>
      <c r="H3070" s="35" t="s">
        <v>61</v>
      </c>
      <c r="I3070" s="4"/>
    </row>
    <row r="3071" customFormat="false" ht="15" hidden="false" customHeight="false" outlineLevel="0" collapsed="false">
      <c r="A3071" s="35" t="s">
        <v>6891</v>
      </c>
      <c r="B3071" s="35" t="s">
        <v>6892</v>
      </c>
      <c r="C3071" s="35" t="s">
        <v>48</v>
      </c>
      <c r="D3071" s="35" t="s">
        <v>57</v>
      </c>
      <c r="E3071" s="35" t="s">
        <v>1265</v>
      </c>
      <c r="F3071" s="35"/>
      <c r="G3071" s="35" t="s">
        <v>571</v>
      </c>
      <c r="H3071" s="35" t="s">
        <v>61</v>
      </c>
      <c r="I3071" s="4"/>
    </row>
    <row r="3072" customFormat="false" ht="15" hidden="false" customHeight="false" outlineLevel="0" collapsed="false">
      <c r="A3072" s="35" t="s">
        <v>6893</v>
      </c>
      <c r="B3072" s="35" t="s">
        <v>6894</v>
      </c>
      <c r="C3072" s="35" t="s">
        <v>48</v>
      </c>
      <c r="D3072" s="35" t="s">
        <v>107</v>
      </c>
      <c r="E3072" s="35" t="s">
        <v>1265</v>
      </c>
      <c r="F3072" s="35"/>
      <c r="G3072" s="35" t="s">
        <v>571</v>
      </c>
      <c r="H3072" s="35" t="s">
        <v>61</v>
      </c>
      <c r="I3072" s="4"/>
    </row>
    <row r="3073" customFormat="false" ht="15" hidden="false" customHeight="false" outlineLevel="0" collapsed="false">
      <c r="A3073" s="35" t="s">
        <v>6895</v>
      </c>
      <c r="B3073" s="35" t="s">
        <v>6896</v>
      </c>
      <c r="C3073" s="35" t="s">
        <v>48</v>
      </c>
      <c r="D3073" s="35" t="s">
        <v>107</v>
      </c>
      <c r="E3073" s="35" t="s">
        <v>598</v>
      </c>
      <c r="F3073" s="35"/>
      <c r="G3073" s="35" t="s">
        <v>535</v>
      </c>
      <c r="H3073" s="35" t="s">
        <v>61</v>
      </c>
      <c r="I3073" s="4"/>
    </row>
    <row r="3074" customFormat="false" ht="15" hidden="false" customHeight="false" outlineLevel="0" collapsed="false">
      <c r="A3074" s="35" t="s">
        <v>6897</v>
      </c>
      <c r="B3074" s="35" t="s">
        <v>6898</v>
      </c>
      <c r="C3074" s="35" t="s">
        <v>48</v>
      </c>
      <c r="D3074" s="35" t="s">
        <v>107</v>
      </c>
      <c r="E3074" s="35" t="s">
        <v>598</v>
      </c>
      <c r="F3074" s="35"/>
      <c r="G3074" s="35" t="s">
        <v>545</v>
      </c>
      <c r="H3074" s="35" t="s">
        <v>369</v>
      </c>
      <c r="I3074" s="4"/>
    </row>
    <row r="3075" customFormat="false" ht="15" hidden="false" customHeight="false" outlineLevel="0" collapsed="false">
      <c r="A3075" s="35" t="s">
        <v>6899</v>
      </c>
      <c r="B3075" s="35" t="s">
        <v>6900</v>
      </c>
      <c r="C3075" s="35" t="s">
        <v>48</v>
      </c>
      <c r="D3075" s="35" t="s">
        <v>107</v>
      </c>
      <c r="E3075" s="35" t="s">
        <v>598</v>
      </c>
      <c r="F3075" s="35"/>
      <c r="G3075" s="35" t="s">
        <v>545</v>
      </c>
      <c r="H3075" s="35" t="s">
        <v>369</v>
      </c>
      <c r="I3075" s="4"/>
    </row>
    <row r="3076" customFormat="false" ht="15" hidden="false" customHeight="false" outlineLevel="0" collapsed="false">
      <c r="A3076" s="35" t="s">
        <v>6901</v>
      </c>
      <c r="B3076" s="35" t="s">
        <v>6902</v>
      </c>
      <c r="C3076" s="35" t="s">
        <v>48</v>
      </c>
      <c r="D3076" s="35" t="s">
        <v>107</v>
      </c>
      <c r="E3076" s="35" t="s">
        <v>798</v>
      </c>
      <c r="F3076" s="35" t="s">
        <v>2147</v>
      </c>
      <c r="G3076" s="35" t="s">
        <v>328</v>
      </c>
      <c r="H3076" s="35" t="s">
        <v>61</v>
      </c>
      <c r="I3076" s="4"/>
    </row>
    <row r="3077" customFormat="false" ht="15" hidden="false" customHeight="false" outlineLevel="0" collapsed="false">
      <c r="A3077" s="35" t="s">
        <v>6903</v>
      </c>
      <c r="B3077" s="35" t="s">
        <v>6904</v>
      </c>
      <c r="C3077" s="35" t="s">
        <v>48</v>
      </c>
      <c r="D3077" s="35" t="s">
        <v>107</v>
      </c>
      <c r="E3077" s="35" t="s">
        <v>798</v>
      </c>
      <c r="F3077" s="35" t="s">
        <v>2147</v>
      </c>
      <c r="G3077" s="35" t="s">
        <v>328</v>
      </c>
      <c r="H3077" s="35" t="s">
        <v>61</v>
      </c>
      <c r="I3077" s="4"/>
    </row>
    <row r="3078" customFormat="false" ht="15" hidden="false" customHeight="false" outlineLevel="0" collapsed="false">
      <c r="A3078" s="35" t="s">
        <v>6905</v>
      </c>
      <c r="B3078" s="35" t="s">
        <v>6906</v>
      </c>
      <c r="C3078" s="35" t="s">
        <v>48</v>
      </c>
      <c r="D3078" s="35" t="s">
        <v>157</v>
      </c>
      <c r="E3078" s="35"/>
      <c r="F3078" s="35" t="s">
        <v>885</v>
      </c>
      <c r="G3078" s="35" t="s">
        <v>545</v>
      </c>
      <c r="H3078" s="35" t="s">
        <v>369</v>
      </c>
      <c r="I3078" s="4"/>
    </row>
    <row r="3079" customFormat="false" ht="15" hidden="false" customHeight="false" outlineLevel="0" collapsed="false">
      <c r="A3079" s="35" t="s">
        <v>6907</v>
      </c>
      <c r="B3079" s="35" t="s">
        <v>6908</v>
      </c>
      <c r="C3079" s="35" t="s">
        <v>48</v>
      </c>
      <c r="D3079" s="35" t="s">
        <v>157</v>
      </c>
      <c r="E3079" s="35"/>
      <c r="F3079" s="35" t="s">
        <v>885</v>
      </c>
      <c r="G3079" s="35" t="s">
        <v>545</v>
      </c>
      <c r="H3079" s="35" t="s">
        <v>369</v>
      </c>
      <c r="I3079" s="4"/>
    </row>
    <row r="3080" customFormat="false" ht="15" hidden="false" customHeight="false" outlineLevel="0" collapsed="false">
      <c r="A3080" s="35" t="s">
        <v>6909</v>
      </c>
      <c r="B3080" s="35" t="s">
        <v>6906</v>
      </c>
      <c r="C3080" s="35" t="s">
        <v>48</v>
      </c>
      <c r="D3080" s="35" t="s">
        <v>157</v>
      </c>
      <c r="E3080" s="35"/>
      <c r="F3080" s="35" t="s">
        <v>885</v>
      </c>
      <c r="G3080" s="35" t="s">
        <v>545</v>
      </c>
      <c r="H3080" s="35" t="s">
        <v>369</v>
      </c>
      <c r="I3080" s="4"/>
    </row>
    <row r="3081" customFormat="false" ht="15" hidden="false" customHeight="false" outlineLevel="0" collapsed="false">
      <c r="A3081" s="35" t="s">
        <v>6910</v>
      </c>
      <c r="B3081" s="35" t="s">
        <v>6908</v>
      </c>
      <c r="C3081" s="35" t="s">
        <v>48</v>
      </c>
      <c r="D3081" s="35" t="s">
        <v>157</v>
      </c>
      <c r="E3081" s="35"/>
      <c r="F3081" s="35" t="s">
        <v>885</v>
      </c>
      <c r="G3081" s="35" t="s">
        <v>545</v>
      </c>
      <c r="H3081" s="35" t="s">
        <v>369</v>
      </c>
      <c r="I3081" s="4"/>
    </row>
    <row r="3082" customFormat="false" ht="15" hidden="false" customHeight="false" outlineLevel="0" collapsed="false">
      <c r="A3082" s="35" t="s">
        <v>6911</v>
      </c>
      <c r="B3082" s="35" t="s">
        <v>6912</v>
      </c>
      <c r="C3082" s="35" t="s">
        <v>48</v>
      </c>
      <c r="D3082" s="35" t="s">
        <v>57</v>
      </c>
      <c r="E3082" s="35" t="s">
        <v>832</v>
      </c>
      <c r="F3082" s="35" t="s">
        <v>6913</v>
      </c>
      <c r="G3082" s="35" t="s">
        <v>328</v>
      </c>
      <c r="H3082" s="35" t="s">
        <v>369</v>
      </c>
      <c r="I3082" s="4"/>
    </row>
    <row r="3083" customFormat="false" ht="15" hidden="false" customHeight="false" outlineLevel="0" collapsed="false">
      <c r="A3083" s="35" t="s">
        <v>6914</v>
      </c>
      <c r="B3083" s="35" t="s">
        <v>6915</v>
      </c>
      <c r="C3083" s="35" t="s">
        <v>48</v>
      </c>
      <c r="D3083" s="35" t="s">
        <v>57</v>
      </c>
      <c r="E3083" s="35" t="s">
        <v>832</v>
      </c>
      <c r="F3083" s="35" t="s">
        <v>6913</v>
      </c>
      <c r="G3083" s="35" t="s">
        <v>328</v>
      </c>
      <c r="H3083" s="35" t="s">
        <v>369</v>
      </c>
      <c r="I3083" s="4"/>
    </row>
    <row r="3084" customFormat="false" ht="15" hidden="false" customHeight="false" outlineLevel="0" collapsed="false">
      <c r="A3084" s="35" t="s">
        <v>6916</v>
      </c>
      <c r="B3084" s="35" t="s">
        <v>6917</v>
      </c>
      <c r="C3084" s="35" t="s">
        <v>48</v>
      </c>
      <c r="D3084" s="35" t="s">
        <v>107</v>
      </c>
      <c r="E3084" s="35" t="s">
        <v>1268</v>
      </c>
      <c r="F3084" s="35"/>
      <c r="G3084" s="35" t="s">
        <v>729</v>
      </c>
      <c r="H3084" s="35" t="s">
        <v>61</v>
      </c>
      <c r="I3084" s="4"/>
    </row>
    <row r="3085" customFormat="false" ht="15" hidden="false" customHeight="false" outlineLevel="0" collapsed="false">
      <c r="A3085" s="35" t="s">
        <v>6918</v>
      </c>
      <c r="B3085" s="35" t="s">
        <v>6919</v>
      </c>
      <c r="C3085" s="35" t="s">
        <v>48</v>
      </c>
      <c r="D3085" s="35" t="s">
        <v>114</v>
      </c>
      <c r="E3085" s="35"/>
      <c r="F3085" s="35" t="s">
        <v>1889</v>
      </c>
      <c r="G3085" s="35" t="s">
        <v>545</v>
      </c>
      <c r="H3085" s="35" t="s">
        <v>61</v>
      </c>
      <c r="I3085" s="4"/>
    </row>
    <row r="3086" customFormat="false" ht="15" hidden="false" customHeight="false" outlineLevel="0" collapsed="false">
      <c r="A3086" s="35" t="s">
        <v>6920</v>
      </c>
      <c r="B3086" s="35" t="s">
        <v>6921</v>
      </c>
      <c r="C3086" s="35" t="s">
        <v>48</v>
      </c>
      <c r="D3086" s="35" t="s">
        <v>114</v>
      </c>
      <c r="E3086" s="35"/>
      <c r="F3086" s="35" t="s">
        <v>3366</v>
      </c>
      <c r="G3086" s="35" t="s">
        <v>784</v>
      </c>
      <c r="H3086" s="35" t="s">
        <v>61</v>
      </c>
      <c r="I3086" s="4"/>
    </row>
    <row r="3087" customFormat="false" ht="15" hidden="false" customHeight="false" outlineLevel="0" collapsed="false">
      <c r="A3087" s="35" t="s">
        <v>6922</v>
      </c>
      <c r="B3087" s="35" t="s">
        <v>6923</v>
      </c>
      <c r="C3087" s="35" t="s">
        <v>48</v>
      </c>
      <c r="D3087" s="35" t="s">
        <v>107</v>
      </c>
      <c r="E3087" s="35" t="s">
        <v>798</v>
      </c>
      <c r="F3087" s="35" t="s">
        <v>2147</v>
      </c>
      <c r="G3087" s="35" t="s">
        <v>328</v>
      </c>
      <c r="H3087" s="35" t="s">
        <v>61</v>
      </c>
      <c r="I3087" s="4"/>
    </row>
    <row r="3088" customFormat="false" ht="15" hidden="false" customHeight="false" outlineLevel="0" collapsed="false">
      <c r="A3088" s="35" t="s">
        <v>1647</v>
      </c>
      <c r="B3088" s="35" t="s">
        <v>6924</v>
      </c>
      <c r="C3088" s="35" t="s">
        <v>48</v>
      </c>
      <c r="D3088" s="35" t="s">
        <v>107</v>
      </c>
      <c r="E3088" s="35" t="s">
        <v>1646</v>
      </c>
      <c r="F3088" s="35" t="s">
        <v>2147</v>
      </c>
      <c r="G3088" s="35" t="s">
        <v>679</v>
      </c>
      <c r="H3088" s="35" t="s">
        <v>61</v>
      </c>
      <c r="I3088" s="4"/>
    </row>
    <row r="3089" customFormat="false" ht="15" hidden="false" customHeight="false" outlineLevel="0" collapsed="false">
      <c r="A3089" s="35" t="s">
        <v>6925</v>
      </c>
      <c r="B3089" s="35" t="s">
        <v>6926</v>
      </c>
      <c r="C3089" s="35" t="s">
        <v>48</v>
      </c>
      <c r="D3089" s="35" t="s">
        <v>107</v>
      </c>
      <c r="E3089" s="35" t="s">
        <v>837</v>
      </c>
      <c r="F3089" s="35" t="s">
        <v>6927</v>
      </c>
      <c r="G3089" s="35" t="s">
        <v>188</v>
      </c>
      <c r="H3089" s="35" t="s">
        <v>61</v>
      </c>
      <c r="I3089" s="4"/>
    </row>
    <row r="3090" customFormat="false" ht="15" hidden="false" customHeight="false" outlineLevel="0" collapsed="false">
      <c r="A3090" s="35" t="s">
        <v>6928</v>
      </c>
      <c r="B3090" s="35" t="s">
        <v>6929</v>
      </c>
      <c r="C3090" s="35" t="s">
        <v>48</v>
      </c>
      <c r="D3090" s="35" t="s">
        <v>107</v>
      </c>
      <c r="E3090" s="35" t="s">
        <v>837</v>
      </c>
      <c r="F3090" s="35" t="s">
        <v>2147</v>
      </c>
      <c r="G3090" s="35" t="s">
        <v>188</v>
      </c>
      <c r="H3090" s="35" t="s">
        <v>61</v>
      </c>
      <c r="I3090" s="4"/>
    </row>
    <row r="3091" customFormat="false" ht="15" hidden="false" customHeight="false" outlineLevel="0" collapsed="false">
      <c r="A3091" s="35" t="s">
        <v>6930</v>
      </c>
      <c r="B3091" s="35" t="s">
        <v>6931</v>
      </c>
      <c r="C3091" s="35" t="s">
        <v>48</v>
      </c>
      <c r="D3091" s="35" t="s">
        <v>107</v>
      </c>
      <c r="E3091" s="35" t="s">
        <v>1186</v>
      </c>
      <c r="F3091" s="35" t="s">
        <v>2147</v>
      </c>
      <c r="G3091" s="35" t="s">
        <v>524</v>
      </c>
      <c r="H3091" s="35" t="s">
        <v>61</v>
      </c>
      <c r="I3091" s="4"/>
    </row>
    <row r="3092" customFormat="false" ht="15" hidden="false" customHeight="false" outlineLevel="0" collapsed="false">
      <c r="A3092" s="35" t="s">
        <v>6932</v>
      </c>
      <c r="B3092" s="35" t="s">
        <v>6933</v>
      </c>
      <c r="C3092" s="35" t="s">
        <v>48</v>
      </c>
      <c r="D3092" s="35" t="s">
        <v>107</v>
      </c>
      <c r="E3092" s="35" t="s">
        <v>798</v>
      </c>
      <c r="F3092" s="35" t="s">
        <v>2147</v>
      </c>
      <c r="G3092" s="35" t="s">
        <v>328</v>
      </c>
      <c r="H3092" s="35" t="s">
        <v>61</v>
      </c>
      <c r="I3092" s="4"/>
    </row>
    <row r="3093" customFormat="false" ht="15" hidden="false" customHeight="false" outlineLevel="0" collapsed="false">
      <c r="A3093" s="35" t="s">
        <v>6934</v>
      </c>
      <c r="B3093" s="35" t="s">
        <v>6935</v>
      </c>
      <c r="C3093" s="35" t="s">
        <v>48</v>
      </c>
      <c r="D3093" s="35" t="s">
        <v>57</v>
      </c>
      <c r="E3093" s="35" t="s">
        <v>45</v>
      </c>
      <c r="F3093" s="35"/>
      <c r="G3093" s="35" t="s">
        <v>571</v>
      </c>
      <c r="H3093" s="35" t="s">
        <v>61</v>
      </c>
      <c r="I3093" s="4"/>
    </row>
    <row r="3094" customFormat="false" ht="15" hidden="false" customHeight="false" outlineLevel="0" collapsed="false">
      <c r="A3094" s="35" t="s">
        <v>1394</v>
      </c>
      <c r="B3094" s="35" t="s">
        <v>6936</v>
      </c>
      <c r="C3094" s="35" t="s">
        <v>48</v>
      </c>
      <c r="D3094" s="35" t="s">
        <v>107</v>
      </c>
      <c r="E3094" s="35" t="s">
        <v>1393</v>
      </c>
      <c r="F3094" s="35"/>
      <c r="G3094" s="35" t="s">
        <v>433</v>
      </c>
      <c r="H3094" s="35" t="s">
        <v>61</v>
      </c>
      <c r="I3094" s="4"/>
    </row>
    <row r="3095" customFormat="false" ht="15" hidden="false" customHeight="false" outlineLevel="0" collapsed="false">
      <c r="A3095" s="35" t="s">
        <v>6937</v>
      </c>
      <c r="B3095" s="35" t="s">
        <v>6938</v>
      </c>
      <c r="C3095" s="35" t="s">
        <v>48</v>
      </c>
      <c r="D3095" s="35" t="s">
        <v>447</v>
      </c>
      <c r="E3095" s="35"/>
      <c r="F3095" s="35" t="s">
        <v>447</v>
      </c>
      <c r="G3095" s="35" t="s">
        <v>716</v>
      </c>
      <c r="H3095" s="35" t="s">
        <v>61</v>
      </c>
      <c r="I3095" s="4"/>
    </row>
    <row r="3096" customFormat="false" ht="15" hidden="false" customHeight="false" outlineLevel="0" collapsed="false">
      <c r="A3096" s="35" t="s">
        <v>1649</v>
      </c>
      <c r="B3096" s="35" t="s">
        <v>6939</v>
      </c>
      <c r="C3096" s="35" t="s">
        <v>48</v>
      </c>
      <c r="D3096" s="35" t="s">
        <v>107</v>
      </c>
      <c r="E3096" s="35" t="s">
        <v>1648</v>
      </c>
      <c r="F3096" s="35"/>
      <c r="G3096" s="35" t="s">
        <v>328</v>
      </c>
      <c r="H3096" s="35" t="s">
        <v>61</v>
      </c>
      <c r="I3096" s="4"/>
    </row>
    <row r="3097" customFormat="false" ht="15" hidden="false" customHeight="false" outlineLevel="0" collapsed="false">
      <c r="A3097" s="35" t="s">
        <v>1657</v>
      </c>
      <c r="B3097" s="35" t="s">
        <v>6940</v>
      </c>
      <c r="C3097" s="35" t="s">
        <v>48</v>
      </c>
      <c r="D3097" s="35" t="s">
        <v>107</v>
      </c>
      <c r="E3097" s="35" t="s">
        <v>1656</v>
      </c>
      <c r="F3097" s="35"/>
      <c r="G3097" s="35" t="s">
        <v>328</v>
      </c>
      <c r="H3097" s="35" t="s">
        <v>61</v>
      </c>
      <c r="I3097" s="4"/>
    </row>
    <row r="3098" customFormat="false" ht="15" hidden="false" customHeight="false" outlineLevel="0" collapsed="false">
      <c r="A3098" s="35" t="s">
        <v>1636</v>
      </c>
      <c r="B3098" s="35" t="s">
        <v>6941</v>
      </c>
      <c r="C3098" s="35" t="s">
        <v>48</v>
      </c>
      <c r="D3098" s="35" t="s">
        <v>107</v>
      </c>
      <c r="E3098" s="35" t="s">
        <v>1635</v>
      </c>
      <c r="F3098" s="35"/>
      <c r="G3098" s="35" t="s">
        <v>328</v>
      </c>
      <c r="H3098" s="35" t="s">
        <v>61</v>
      </c>
      <c r="I3098" s="4"/>
    </row>
    <row r="3099" customFormat="false" ht="15" hidden="false" customHeight="false" outlineLevel="0" collapsed="false">
      <c r="A3099" s="35" t="s">
        <v>6942</v>
      </c>
      <c r="B3099" s="35" t="s">
        <v>6943</v>
      </c>
      <c r="C3099" s="35" t="s">
        <v>48</v>
      </c>
      <c r="D3099" s="35" t="s">
        <v>53</v>
      </c>
      <c r="E3099" s="35"/>
      <c r="F3099" s="35"/>
      <c r="G3099" s="35" t="s">
        <v>680</v>
      </c>
      <c r="H3099" s="35" t="s">
        <v>61</v>
      </c>
      <c r="I3099" s="4"/>
    </row>
    <row r="3100" customFormat="false" ht="15" hidden="false" customHeight="false" outlineLevel="0" collapsed="false">
      <c r="A3100" s="35" t="s">
        <v>6944</v>
      </c>
      <c r="B3100" s="35" t="s">
        <v>6945</v>
      </c>
      <c r="C3100" s="35" t="s">
        <v>48</v>
      </c>
      <c r="D3100" s="35" t="s">
        <v>53</v>
      </c>
      <c r="E3100" s="35"/>
      <c r="F3100" s="35"/>
      <c r="G3100" s="35" t="s">
        <v>680</v>
      </c>
      <c r="H3100" s="35" t="s">
        <v>61</v>
      </c>
      <c r="I3100" s="4"/>
    </row>
    <row r="3101" customFormat="false" ht="15" hidden="false" customHeight="false" outlineLevel="0" collapsed="false">
      <c r="A3101" s="35" t="s">
        <v>6946</v>
      </c>
      <c r="B3101" s="35" t="s">
        <v>6947</v>
      </c>
      <c r="C3101" s="35" t="s">
        <v>48</v>
      </c>
      <c r="D3101" s="35" t="s">
        <v>114</v>
      </c>
      <c r="E3101" s="35"/>
      <c r="F3101" s="35"/>
      <c r="G3101" s="35" t="s">
        <v>714</v>
      </c>
      <c r="H3101" s="35" t="s">
        <v>61</v>
      </c>
      <c r="I3101" s="4"/>
    </row>
    <row r="3102" customFormat="false" ht="15" hidden="false" customHeight="false" outlineLevel="0" collapsed="false">
      <c r="A3102" s="35" t="s">
        <v>6948</v>
      </c>
      <c r="B3102" s="35" t="s">
        <v>6949</v>
      </c>
      <c r="C3102" s="35" t="s">
        <v>48</v>
      </c>
      <c r="D3102" s="35" t="s">
        <v>114</v>
      </c>
      <c r="E3102" s="35"/>
      <c r="F3102" s="35"/>
      <c r="G3102" s="35" t="s">
        <v>119</v>
      </c>
      <c r="H3102" s="35" t="s">
        <v>61</v>
      </c>
      <c r="I3102" s="4"/>
    </row>
    <row r="3103" customFormat="false" ht="15" hidden="false" customHeight="false" outlineLevel="0" collapsed="false">
      <c r="A3103" s="35" t="s">
        <v>6950</v>
      </c>
      <c r="B3103" s="35" t="s">
        <v>6951</v>
      </c>
      <c r="C3103" s="35" t="s">
        <v>48</v>
      </c>
      <c r="D3103" s="35" t="s">
        <v>114</v>
      </c>
      <c r="E3103" s="35"/>
      <c r="F3103" s="35"/>
      <c r="G3103" s="35" t="s">
        <v>337</v>
      </c>
      <c r="H3103" s="35" t="s">
        <v>61</v>
      </c>
      <c r="I3103" s="4"/>
    </row>
    <row r="3104" customFormat="false" ht="15" hidden="false" customHeight="false" outlineLevel="0" collapsed="false">
      <c r="A3104" s="35" t="s">
        <v>6952</v>
      </c>
      <c r="B3104" s="35" t="s">
        <v>6953</v>
      </c>
      <c r="C3104" s="35" t="s">
        <v>48</v>
      </c>
      <c r="D3104" s="35" t="s">
        <v>114</v>
      </c>
      <c r="E3104" s="35"/>
      <c r="F3104" s="35" t="s">
        <v>2041</v>
      </c>
      <c r="G3104" s="35" t="s">
        <v>681</v>
      </c>
      <c r="H3104" s="35" t="s">
        <v>61</v>
      </c>
      <c r="I3104" s="4"/>
    </row>
    <row r="3105" customFormat="false" ht="15" hidden="false" customHeight="false" outlineLevel="0" collapsed="false">
      <c r="A3105" s="35" t="s">
        <v>6954</v>
      </c>
      <c r="B3105" s="35" t="s">
        <v>6955</v>
      </c>
      <c r="C3105" s="35" t="s">
        <v>48</v>
      </c>
      <c r="D3105" s="35" t="s">
        <v>53</v>
      </c>
      <c r="E3105" s="35"/>
      <c r="F3105" s="35" t="s">
        <v>3711</v>
      </c>
      <c r="G3105" s="35" t="s">
        <v>328</v>
      </c>
      <c r="H3105" s="35" t="s">
        <v>61</v>
      </c>
      <c r="I3105" s="4"/>
    </row>
    <row r="3106" customFormat="false" ht="15" hidden="false" customHeight="false" outlineLevel="0" collapsed="false">
      <c r="A3106" s="35" t="s">
        <v>6956</v>
      </c>
      <c r="B3106" s="35" t="s">
        <v>6957</v>
      </c>
      <c r="C3106" s="35" t="s">
        <v>48</v>
      </c>
      <c r="D3106" s="35" t="s">
        <v>114</v>
      </c>
      <c r="E3106" s="35"/>
      <c r="F3106" s="35" t="s">
        <v>1889</v>
      </c>
      <c r="G3106" s="35" t="s">
        <v>545</v>
      </c>
      <c r="H3106" s="35" t="s">
        <v>61</v>
      </c>
      <c r="I3106" s="4"/>
    </row>
    <row r="3107" customFormat="false" ht="15" hidden="false" customHeight="false" outlineLevel="0" collapsed="false">
      <c r="A3107" s="35" t="s">
        <v>6958</v>
      </c>
      <c r="B3107" s="35" t="s">
        <v>6959</v>
      </c>
      <c r="C3107" s="35" t="s">
        <v>48</v>
      </c>
      <c r="D3107" s="35" t="s">
        <v>114</v>
      </c>
      <c r="E3107" s="35"/>
      <c r="F3107" s="35"/>
      <c r="G3107" s="35" t="s">
        <v>87</v>
      </c>
      <c r="H3107" s="35" t="s">
        <v>61</v>
      </c>
      <c r="I3107" s="4"/>
    </row>
    <row r="3108" customFormat="false" ht="15" hidden="false" customHeight="false" outlineLevel="0" collapsed="false">
      <c r="A3108" s="35" t="s">
        <v>615</v>
      </c>
      <c r="B3108" s="35" t="s">
        <v>617</v>
      </c>
      <c r="C3108" s="35" t="s">
        <v>48</v>
      </c>
      <c r="D3108" s="35" t="s">
        <v>107</v>
      </c>
      <c r="E3108" s="35" t="s">
        <v>616</v>
      </c>
      <c r="F3108" s="35"/>
      <c r="G3108" s="35" t="s">
        <v>188</v>
      </c>
      <c r="H3108" s="35" t="s">
        <v>61</v>
      </c>
      <c r="I3108" s="4" t="s">
        <v>2025</v>
      </c>
    </row>
    <row r="3109" customFormat="false" ht="15" hidden="false" customHeight="false" outlineLevel="0" collapsed="false">
      <c r="A3109" s="35" t="s">
        <v>6960</v>
      </c>
      <c r="B3109" s="35" t="s">
        <v>6961</v>
      </c>
      <c r="C3109" s="35" t="s">
        <v>48</v>
      </c>
      <c r="D3109" s="35" t="s">
        <v>107</v>
      </c>
      <c r="E3109" s="35" t="s">
        <v>616</v>
      </c>
      <c r="F3109" s="35"/>
      <c r="G3109" s="35" t="s">
        <v>188</v>
      </c>
      <c r="H3109" s="35" t="s">
        <v>61</v>
      </c>
      <c r="I3109" s="4"/>
    </row>
    <row r="3110" customFormat="false" ht="15" hidden="false" customHeight="false" outlineLevel="0" collapsed="false">
      <c r="A3110" s="35" t="s">
        <v>6962</v>
      </c>
      <c r="B3110" s="35" t="s">
        <v>6963</v>
      </c>
      <c r="C3110" s="35" t="s">
        <v>48</v>
      </c>
      <c r="D3110" s="35" t="s">
        <v>107</v>
      </c>
      <c r="E3110" s="35" t="s">
        <v>616</v>
      </c>
      <c r="F3110" s="35" t="s">
        <v>6964</v>
      </c>
      <c r="G3110" s="35" t="s">
        <v>188</v>
      </c>
      <c r="H3110" s="35" t="s">
        <v>61</v>
      </c>
      <c r="I3110" s="4"/>
    </row>
    <row r="3111" customFormat="false" ht="15" hidden="false" customHeight="false" outlineLevel="0" collapsed="false">
      <c r="A3111" s="35" t="s">
        <v>6965</v>
      </c>
      <c r="B3111" s="35" t="s">
        <v>6966</v>
      </c>
      <c r="C3111" s="35" t="s">
        <v>48</v>
      </c>
      <c r="D3111" s="35" t="s">
        <v>53</v>
      </c>
      <c r="E3111" s="35"/>
      <c r="F3111" s="35"/>
      <c r="G3111" s="35" t="s">
        <v>45</v>
      </c>
      <c r="H3111" s="35" t="s">
        <v>61</v>
      </c>
      <c r="I3111" s="4"/>
    </row>
    <row r="3112" customFormat="false" ht="15" hidden="false" customHeight="false" outlineLevel="0" collapsed="false">
      <c r="A3112" s="35" t="s">
        <v>6967</v>
      </c>
      <c r="B3112" s="35" t="s">
        <v>6968</v>
      </c>
      <c r="C3112" s="35" t="s">
        <v>48</v>
      </c>
      <c r="D3112" s="35" t="s">
        <v>107</v>
      </c>
      <c r="E3112" s="35" t="s">
        <v>1182</v>
      </c>
      <c r="F3112" s="35"/>
      <c r="G3112" s="35" t="s">
        <v>328</v>
      </c>
      <c r="H3112" s="35" t="s">
        <v>61</v>
      </c>
      <c r="I3112" s="4"/>
    </row>
    <row r="3113" customFormat="false" ht="15" hidden="false" customHeight="false" outlineLevel="0" collapsed="false">
      <c r="A3113" s="35" t="s">
        <v>6969</v>
      </c>
      <c r="B3113" s="35" t="s">
        <v>6970</v>
      </c>
      <c r="C3113" s="35" t="s">
        <v>48</v>
      </c>
      <c r="D3113" s="35" t="s">
        <v>114</v>
      </c>
      <c r="E3113" s="35"/>
      <c r="F3113" s="35"/>
      <c r="G3113" s="35" t="s">
        <v>119</v>
      </c>
      <c r="H3113" s="35" t="s">
        <v>61</v>
      </c>
      <c r="I3113" s="4"/>
    </row>
    <row r="3114" customFormat="false" ht="15" hidden="false" customHeight="false" outlineLevel="0" collapsed="false">
      <c r="A3114" s="35" t="s">
        <v>6971</v>
      </c>
      <c r="B3114" s="35" t="s">
        <v>6972</v>
      </c>
      <c r="C3114" s="35" t="s">
        <v>48</v>
      </c>
      <c r="D3114" s="35" t="s">
        <v>53</v>
      </c>
      <c r="E3114" s="35"/>
      <c r="F3114" s="35"/>
      <c r="G3114" s="35" t="s">
        <v>421</v>
      </c>
      <c r="H3114" s="35" t="s">
        <v>61</v>
      </c>
      <c r="I3114" s="4"/>
    </row>
    <row r="3115" customFormat="false" ht="15" hidden="false" customHeight="false" outlineLevel="0" collapsed="false">
      <c r="A3115" s="35" t="s">
        <v>6973</v>
      </c>
      <c r="B3115" s="35" t="s">
        <v>6974</v>
      </c>
      <c r="C3115" s="35" t="s">
        <v>48</v>
      </c>
      <c r="D3115" s="35" t="s">
        <v>53</v>
      </c>
      <c r="E3115" s="35"/>
      <c r="F3115" s="35" t="s">
        <v>174</v>
      </c>
      <c r="G3115" s="35" t="s">
        <v>328</v>
      </c>
      <c r="H3115" s="35" t="s">
        <v>61</v>
      </c>
      <c r="I3115" s="4"/>
    </row>
    <row r="3116" customFormat="false" ht="15" hidden="false" customHeight="false" outlineLevel="0" collapsed="false">
      <c r="A3116" s="35" t="s">
        <v>6975</v>
      </c>
      <c r="B3116" s="35" t="s">
        <v>6976</v>
      </c>
      <c r="C3116" s="35" t="s">
        <v>48</v>
      </c>
      <c r="D3116" s="35" t="s">
        <v>53</v>
      </c>
      <c r="E3116" s="35"/>
      <c r="F3116" s="35" t="s">
        <v>174</v>
      </c>
      <c r="G3116" s="35" t="s">
        <v>328</v>
      </c>
      <c r="H3116" s="35" t="s">
        <v>61</v>
      </c>
      <c r="I3116" s="4"/>
    </row>
    <row r="3117" customFormat="false" ht="15" hidden="false" customHeight="false" outlineLevel="0" collapsed="false">
      <c r="A3117" s="35" t="s">
        <v>6977</v>
      </c>
      <c r="B3117" s="35" t="s">
        <v>6978</v>
      </c>
      <c r="C3117" s="35" t="s">
        <v>48</v>
      </c>
      <c r="D3117" s="35" t="s">
        <v>57</v>
      </c>
      <c r="E3117" s="35" t="s">
        <v>1125</v>
      </c>
      <c r="F3117" s="35"/>
      <c r="G3117" s="35" t="s">
        <v>328</v>
      </c>
      <c r="H3117" s="35" t="s">
        <v>61</v>
      </c>
      <c r="I3117" s="4"/>
    </row>
    <row r="3118" customFormat="false" ht="15" hidden="false" customHeight="false" outlineLevel="0" collapsed="false">
      <c r="A3118" s="35" t="s">
        <v>6979</v>
      </c>
      <c r="B3118" s="35" t="s">
        <v>6980</v>
      </c>
      <c r="C3118" s="35" t="s">
        <v>48</v>
      </c>
      <c r="D3118" s="35" t="s">
        <v>107</v>
      </c>
      <c r="E3118" s="35" t="s">
        <v>1125</v>
      </c>
      <c r="F3118" s="35"/>
      <c r="G3118" s="35" t="s">
        <v>328</v>
      </c>
      <c r="H3118" s="35" t="s">
        <v>61</v>
      </c>
      <c r="I3118" s="4"/>
    </row>
    <row r="3119" customFormat="false" ht="15" hidden="false" customHeight="false" outlineLevel="0" collapsed="false">
      <c r="A3119" s="35" t="s">
        <v>6981</v>
      </c>
      <c r="B3119" s="35" t="s">
        <v>6982</v>
      </c>
      <c r="C3119" s="35" t="s">
        <v>48</v>
      </c>
      <c r="D3119" s="35" t="s">
        <v>114</v>
      </c>
      <c r="E3119" s="35"/>
      <c r="F3119" s="35" t="s">
        <v>2147</v>
      </c>
      <c r="G3119" s="35" t="s">
        <v>689</v>
      </c>
      <c r="H3119" s="35" t="s">
        <v>61</v>
      </c>
      <c r="I3119" s="4"/>
    </row>
    <row r="3120" customFormat="false" ht="15" hidden="false" customHeight="false" outlineLevel="0" collapsed="false">
      <c r="A3120" s="35" t="s">
        <v>6983</v>
      </c>
      <c r="B3120" s="35" t="s">
        <v>6984</v>
      </c>
      <c r="C3120" s="35" t="s">
        <v>48</v>
      </c>
      <c r="D3120" s="35" t="s">
        <v>114</v>
      </c>
      <c r="E3120" s="35"/>
      <c r="F3120" s="35"/>
      <c r="G3120" s="35" t="s">
        <v>689</v>
      </c>
      <c r="H3120" s="35" t="s">
        <v>61</v>
      </c>
      <c r="I3120" s="4"/>
    </row>
    <row r="3121" customFormat="false" ht="15" hidden="false" customHeight="false" outlineLevel="0" collapsed="false">
      <c r="A3121" s="35" t="s">
        <v>6985</v>
      </c>
      <c r="B3121" s="35" t="s">
        <v>6986</v>
      </c>
      <c r="C3121" s="35" t="s">
        <v>48</v>
      </c>
      <c r="D3121" s="35" t="s">
        <v>114</v>
      </c>
      <c r="E3121" s="35"/>
      <c r="F3121" s="35"/>
      <c r="G3121" s="35" t="s">
        <v>689</v>
      </c>
      <c r="H3121" s="35" t="s">
        <v>61</v>
      </c>
      <c r="I3121" s="4"/>
    </row>
    <row r="3122" customFormat="false" ht="15" hidden="false" customHeight="false" outlineLevel="0" collapsed="false">
      <c r="A3122" s="35" t="s">
        <v>113</v>
      </c>
      <c r="B3122" s="35" t="s">
        <v>115</v>
      </c>
      <c r="C3122" s="35" t="s">
        <v>48</v>
      </c>
      <c r="D3122" s="35" t="s">
        <v>114</v>
      </c>
      <c r="E3122" s="35"/>
      <c r="F3122" s="35"/>
      <c r="G3122" s="35" t="s">
        <v>49</v>
      </c>
      <c r="H3122" s="35" t="s">
        <v>49</v>
      </c>
      <c r="I3122" s="4" t="s">
        <v>2025</v>
      </c>
    </row>
    <row r="3123" customFormat="false" ht="15" hidden="false" customHeight="false" outlineLevel="0" collapsed="false">
      <c r="A3123" s="35" t="s">
        <v>6987</v>
      </c>
      <c r="B3123" s="35" t="s">
        <v>6988</v>
      </c>
      <c r="C3123" s="35" t="s">
        <v>48</v>
      </c>
      <c r="D3123" s="35" t="s">
        <v>114</v>
      </c>
      <c r="E3123" s="35"/>
      <c r="F3123" s="35"/>
      <c r="G3123" s="35" t="s">
        <v>49</v>
      </c>
      <c r="H3123" s="35" t="s">
        <v>49</v>
      </c>
      <c r="I3123" s="4"/>
    </row>
    <row r="3124" customFormat="false" ht="15" hidden="false" customHeight="false" outlineLevel="0" collapsed="false">
      <c r="A3124" s="35" t="s">
        <v>6989</v>
      </c>
      <c r="B3124" s="35" t="s">
        <v>6990</v>
      </c>
      <c r="C3124" s="35" t="s">
        <v>48</v>
      </c>
      <c r="D3124" s="35" t="s">
        <v>114</v>
      </c>
      <c r="E3124" s="35"/>
      <c r="F3124" s="35"/>
      <c r="G3124" s="35" t="s">
        <v>682</v>
      </c>
      <c r="H3124" s="35" t="s">
        <v>49</v>
      </c>
      <c r="I3124" s="4"/>
    </row>
    <row r="3125" customFormat="false" ht="15" hidden="false" customHeight="false" outlineLevel="0" collapsed="false">
      <c r="A3125" s="35" t="s">
        <v>6991</v>
      </c>
      <c r="B3125" s="35" t="s">
        <v>6992</v>
      </c>
      <c r="C3125" s="35" t="s">
        <v>48</v>
      </c>
      <c r="D3125" s="35" t="s">
        <v>114</v>
      </c>
      <c r="E3125" s="35"/>
      <c r="F3125" s="35"/>
      <c r="G3125" s="35" t="s">
        <v>682</v>
      </c>
      <c r="H3125" s="35" t="s">
        <v>49</v>
      </c>
      <c r="I3125" s="4"/>
    </row>
    <row r="3126" customFormat="false" ht="15" hidden="false" customHeight="false" outlineLevel="0" collapsed="false">
      <c r="A3126" s="35" t="s">
        <v>6993</v>
      </c>
      <c r="B3126" s="35" t="s">
        <v>6994</v>
      </c>
      <c r="C3126" s="35" t="s">
        <v>48</v>
      </c>
      <c r="D3126" s="35" t="s">
        <v>114</v>
      </c>
      <c r="E3126" s="35"/>
      <c r="F3126" s="35" t="s">
        <v>6995</v>
      </c>
      <c r="G3126" s="35" t="s">
        <v>328</v>
      </c>
      <c r="H3126" s="35" t="s">
        <v>61</v>
      </c>
      <c r="I3126" s="4"/>
    </row>
    <row r="3127" customFormat="false" ht="15" hidden="false" customHeight="false" outlineLevel="0" collapsed="false">
      <c r="A3127" s="35" t="s">
        <v>6996</v>
      </c>
      <c r="B3127" s="35" t="s">
        <v>6997</v>
      </c>
      <c r="C3127" s="35" t="s">
        <v>48</v>
      </c>
      <c r="D3127" s="35" t="s">
        <v>53</v>
      </c>
      <c r="E3127" s="35"/>
      <c r="F3127" s="35"/>
      <c r="G3127" s="35" t="s">
        <v>421</v>
      </c>
      <c r="H3127" s="35" t="s">
        <v>61</v>
      </c>
      <c r="I3127" s="4"/>
    </row>
    <row r="3128" customFormat="false" ht="15" hidden="false" customHeight="false" outlineLevel="0" collapsed="false">
      <c r="A3128" s="35" t="s">
        <v>6998</v>
      </c>
      <c r="B3128" s="35" t="s">
        <v>6999</v>
      </c>
      <c r="C3128" s="35" t="s">
        <v>48</v>
      </c>
      <c r="D3128" s="35" t="s">
        <v>107</v>
      </c>
      <c r="E3128" s="35" t="s">
        <v>1169</v>
      </c>
      <c r="F3128" s="35" t="s">
        <v>2147</v>
      </c>
      <c r="G3128" s="35" t="s">
        <v>60</v>
      </c>
      <c r="H3128" s="35" t="s">
        <v>61</v>
      </c>
      <c r="I3128" s="4"/>
    </row>
    <row r="3129" customFormat="false" ht="15" hidden="false" customHeight="false" outlineLevel="0" collapsed="false">
      <c r="A3129" s="35" t="s">
        <v>7000</v>
      </c>
      <c r="B3129" s="35" t="s">
        <v>7001</v>
      </c>
      <c r="C3129" s="35" t="s">
        <v>48</v>
      </c>
      <c r="D3129" s="35" t="s">
        <v>107</v>
      </c>
      <c r="E3129" s="35" t="s">
        <v>1169</v>
      </c>
      <c r="F3129" s="35" t="s">
        <v>2147</v>
      </c>
      <c r="G3129" s="35" t="s">
        <v>60</v>
      </c>
      <c r="H3129" s="35" t="s">
        <v>61</v>
      </c>
      <c r="I3129" s="4"/>
    </row>
    <row r="3130" customFormat="false" ht="15" hidden="false" customHeight="false" outlineLevel="0" collapsed="false">
      <c r="A3130" s="35" t="s">
        <v>7002</v>
      </c>
      <c r="B3130" s="35" t="s">
        <v>7003</v>
      </c>
      <c r="C3130" s="35" t="s">
        <v>48</v>
      </c>
      <c r="D3130" s="35" t="s">
        <v>114</v>
      </c>
      <c r="E3130" s="35"/>
      <c r="F3130" s="35"/>
      <c r="G3130" s="35" t="s">
        <v>682</v>
      </c>
      <c r="H3130" s="35" t="s">
        <v>49</v>
      </c>
      <c r="I3130" s="4"/>
    </row>
    <row r="3131" customFormat="false" ht="15" hidden="false" customHeight="false" outlineLevel="0" collapsed="false">
      <c r="A3131" s="35" t="s">
        <v>7004</v>
      </c>
      <c r="B3131" s="35" t="s">
        <v>7005</v>
      </c>
      <c r="C3131" s="35" t="s">
        <v>48</v>
      </c>
      <c r="D3131" s="35" t="s">
        <v>107</v>
      </c>
      <c r="E3131" s="35" t="s">
        <v>1184</v>
      </c>
      <c r="F3131" s="35" t="s">
        <v>2147</v>
      </c>
      <c r="G3131" s="35" t="s">
        <v>328</v>
      </c>
      <c r="H3131" s="35" t="s">
        <v>61</v>
      </c>
      <c r="I3131" s="4"/>
    </row>
    <row r="3132" customFormat="false" ht="15" hidden="false" customHeight="false" outlineLevel="0" collapsed="false">
      <c r="A3132" s="35" t="s">
        <v>7006</v>
      </c>
      <c r="B3132" s="35" t="s">
        <v>7007</v>
      </c>
      <c r="C3132" s="35" t="s">
        <v>48</v>
      </c>
      <c r="D3132" s="35" t="s">
        <v>53</v>
      </c>
      <c r="E3132" s="35"/>
      <c r="F3132" s="35" t="s">
        <v>2041</v>
      </c>
      <c r="G3132" s="35" t="s">
        <v>545</v>
      </c>
      <c r="H3132" s="35" t="s">
        <v>61</v>
      </c>
      <c r="I3132" s="4"/>
    </row>
    <row r="3133" customFormat="false" ht="15" hidden="false" customHeight="false" outlineLevel="0" collapsed="false">
      <c r="A3133" s="35" t="s">
        <v>1191</v>
      </c>
      <c r="B3133" s="35" t="s">
        <v>7008</v>
      </c>
      <c r="C3133" s="35" t="s">
        <v>48</v>
      </c>
      <c r="D3133" s="35" t="s">
        <v>107</v>
      </c>
      <c r="E3133" s="35" t="s">
        <v>1190</v>
      </c>
      <c r="F3133" s="35" t="s">
        <v>2147</v>
      </c>
      <c r="G3133" s="35" t="s">
        <v>87</v>
      </c>
      <c r="H3133" s="35" t="s">
        <v>61</v>
      </c>
      <c r="I3133" s="4"/>
    </row>
    <row r="3134" customFormat="false" ht="15" hidden="false" customHeight="false" outlineLevel="0" collapsed="false">
      <c r="A3134" s="35" t="s">
        <v>7009</v>
      </c>
      <c r="B3134" s="35" t="s">
        <v>7010</v>
      </c>
      <c r="C3134" s="35" t="s">
        <v>48</v>
      </c>
      <c r="D3134" s="35" t="s">
        <v>107</v>
      </c>
      <c r="E3134" s="35" t="s">
        <v>798</v>
      </c>
      <c r="F3134" s="35" t="s">
        <v>2147</v>
      </c>
      <c r="G3134" s="35" t="s">
        <v>328</v>
      </c>
      <c r="H3134" s="35" t="s">
        <v>61</v>
      </c>
      <c r="I3134" s="4"/>
    </row>
    <row r="3135" customFormat="false" ht="15" hidden="false" customHeight="false" outlineLevel="0" collapsed="false">
      <c r="A3135" s="35" t="s">
        <v>7011</v>
      </c>
      <c r="B3135" s="35" t="s">
        <v>7012</v>
      </c>
      <c r="C3135" s="35" t="s">
        <v>48</v>
      </c>
      <c r="D3135" s="35" t="s">
        <v>53</v>
      </c>
      <c r="E3135" s="35"/>
      <c r="F3135" s="35"/>
      <c r="G3135" s="35" t="s">
        <v>680</v>
      </c>
      <c r="H3135" s="35" t="s">
        <v>61</v>
      </c>
      <c r="I3135" s="4"/>
    </row>
    <row r="3136" customFormat="false" ht="15" hidden="false" customHeight="false" outlineLevel="0" collapsed="false">
      <c r="A3136" s="35" t="s">
        <v>7013</v>
      </c>
      <c r="B3136" s="35" t="s">
        <v>7014</v>
      </c>
      <c r="C3136" s="35" t="s">
        <v>48</v>
      </c>
      <c r="D3136" s="35" t="s">
        <v>53</v>
      </c>
      <c r="E3136" s="35"/>
      <c r="F3136" s="35"/>
      <c r="G3136" s="35" t="s">
        <v>680</v>
      </c>
      <c r="H3136" s="35" t="s">
        <v>61</v>
      </c>
      <c r="I3136" s="4"/>
    </row>
    <row r="3137" customFormat="false" ht="15" hidden="false" customHeight="false" outlineLevel="0" collapsed="false">
      <c r="A3137" s="35" t="s">
        <v>7015</v>
      </c>
      <c r="B3137" s="35" t="s">
        <v>7015</v>
      </c>
      <c r="C3137" s="35" t="s">
        <v>48</v>
      </c>
      <c r="D3137" s="35" t="s">
        <v>57</v>
      </c>
      <c r="E3137" s="35" t="s">
        <v>834</v>
      </c>
      <c r="F3137" s="35" t="s">
        <v>45</v>
      </c>
      <c r="G3137" s="35" t="s">
        <v>328</v>
      </c>
      <c r="H3137" s="35" t="s">
        <v>369</v>
      </c>
      <c r="I3137" s="4"/>
    </row>
    <row r="3138" customFormat="false" ht="15" hidden="false" customHeight="false" outlineLevel="0" collapsed="false">
      <c r="A3138" s="35" t="s">
        <v>7016</v>
      </c>
      <c r="B3138" s="35" t="s">
        <v>7017</v>
      </c>
      <c r="C3138" s="35" t="s">
        <v>48</v>
      </c>
      <c r="D3138" s="35" t="s">
        <v>57</v>
      </c>
      <c r="E3138" s="35" t="s">
        <v>834</v>
      </c>
      <c r="F3138" s="35" t="s">
        <v>45</v>
      </c>
      <c r="G3138" s="35" t="s">
        <v>328</v>
      </c>
      <c r="H3138" s="35" t="s">
        <v>369</v>
      </c>
      <c r="I3138" s="4"/>
    </row>
    <row r="3139" customFormat="false" ht="15" hidden="false" customHeight="false" outlineLevel="0" collapsed="false">
      <c r="A3139" s="35" t="s">
        <v>7018</v>
      </c>
      <c r="B3139" s="35" t="s">
        <v>7019</v>
      </c>
      <c r="C3139" s="35" t="s">
        <v>48</v>
      </c>
      <c r="D3139" s="35" t="s">
        <v>57</v>
      </c>
      <c r="E3139" s="35" t="s">
        <v>834</v>
      </c>
      <c r="F3139" s="35" t="s">
        <v>7020</v>
      </c>
      <c r="G3139" s="35" t="s">
        <v>328</v>
      </c>
      <c r="H3139" s="35" t="s">
        <v>369</v>
      </c>
      <c r="I3139" s="4"/>
    </row>
    <row r="3140" customFormat="false" ht="15" hidden="false" customHeight="false" outlineLevel="0" collapsed="false">
      <c r="A3140" s="35" t="s">
        <v>7021</v>
      </c>
      <c r="B3140" s="35" t="s">
        <v>7022</v>
      </c>
      <c r="C3140" s="35" t="s">
        <v>48</v>
      </c>
      <c r="D3140" s="35" t="s">
        <v>57</v>
      </c>
      <c r="E3140" s="35" t="s">
        <v>834</v>
      </c>
      <c r="F3140" s="35" t="s">
        <v>6913</v>
      </c>
      <c r="G3140" s="35" t="s">
        <v>328</v>
      </c>
      <c r="H3140" s="35" t="s">
        <v>369</v>
      </c>
      <c r="I3140" s="4"/>
    </row>
    <row r="3141" customFormat="false" ht="15" hidden="false" customHeight="false" outlineLevel="0" collapsed="false">
      <c r="A3141" s="35" t="s">
        <v>7023</v>
      </c>
      <c r="B3141" s="35" t="s">
        <v>7024</v>
      </c>
      <c r="C3141" s="35" t="s">
        <v>48</v>
      </c>
      <c r="D3141" s="35" t="s">
        <v>57</v>
      </c>
      <c r="E3141" s="35" t="s">
        <v>247</v>
      </c>
      <c r="F3141" s="35"/>
      <c r="G3141" s="35" t="s">
        <v>119</v>
      </c>
      <c r="H3141" s="35" t="s">
        <v>61</v>
      </c>
      <c r="I3141" s="4"/>
    </row>
    <row r="3142" customFormat="false" ht="15" hidden="false" customHeight="false" outlineLevel="0" collapsed="false">
      <c r="A3142" s="35" t="s">
        <v>7025</v>
      </c>
      <c r="B3142" s="35" t="s">
        <v>7026</v>
      </c>
      <c r="C3142" s="35" t="s">
        <v>48</v>
      </c>
      <c r="D3142" s="35" t="s">
        <v>107</v>
      </c>
      <c r="E3142" s="35" t="s">
        <v>689</v>
      </c>
      <c r="F3142" s="35"/>
      <c r="G3142" s="35" t="s">
        <v>689</v>
      </c>
      <c r="H3142" s="35" t="s">
        <v>61</v>
      </c>
      <c r="I3142" s="4"/>
    </row>
    <row r="3143" customFormat="false" ht="15" hidden="false" customHeight="false" outlineLevel="0" collapsed="false">
      <c r="A3143" s="35" t="s">
        <v>7027</v>
      </c>
      <c r="B3143" s="35" t="s">
        <v>7028</v>
      </c>
      <c r="C3143" s="35" t="s">
        <v>48</v>
      </c>
      <c r="D3143" s="35" t="s">
        <v>107</v>
      </c>
      <c r="E3143" s="35" t="s">
        <v>689</v>
      </c>
      <c r="F3143" s="35"/>
      <c r="G3143" s="35" t="s">
        <v>689</v>
      </c>
      <c r="H3143" s="35" t="s">
        <v>61</v>
      </c>
      <c r="I3143" s="4"/>
    </row>
    <row r="3144" customFormat="false" ht="15" hidden="false" customHeight="false" outlineLevel="0" collapsed="false">
      <c r="A3144" s="35" t="s">
        <v>7029</v>
      </c>
      <c r="B3144" s="35" t="s">
        <v>7030</v>
      </c>
      <c r="C3144" s="35" t="s">
        <v>48</v>
      </c>
      <c r="D3144" s="35" t="s">
        <v>57</v>
      </c>
      <c r="E3144" s="35" t="s">
        <v>834</v>
      </c>
      <c r="F3144" s="35" t="s">
        <v>885</v>
      </c>
      <c r="G3144" s="35" t="s">
        <v>328</v>
      </c>
      <c r="H3144" s="35" t="s">
        <v>369</v>
      </c>
      <c r="I3144" s="4"/>
    </row>
    <row r="3145" customFormat="false" ht="15" hidden="false" customHeight="false" outlineLevel="0" collapsed="false">
      <c r="A3145" s="35" t="s">
        <v>7031</v>
      </c>
      <c r="B3145" s="35" t="s">
        <v>7032</v>
      </c>
      <c r="C3145" s="35" t="s">
        <v>48</v>
      </c>
      <c r="D3145" s="35" t="s">
        <v>107</v>
      </c>
      <c r="E3145" s="35" t="s">
        <v>798</v>
      </c>
      <c r="F3145" s="35" t="s">
        <v>2147</v>
      </c>
      <c r="G3145" s="35" t="s">
        <v>679</v>
      </c>
      <c r="H3145" s="35" t="s">
        <v>61</v>
      </c>
      <c r="I3145" s="4"/>
    </row>
    <row r="3146" customFormat="false" ht="15" hidden="false" customHeight="false" outlineLevel="0" collapsed="false">
      <c r="A3146" s="35" t="s">
        <v>1651</v>
      </c>
      <c r="B3146" s="35" t="s">
        <v>7033</v>
      </c>
      <c r="C3146" s="35" t="s">
        <v>48</v>
      </c>
      <c r="D3146" s="35" t="s">
        <v>107</v>
      </c>
      <c r="E3146" s="35" t="s">
        <v>1650</v>
      </c>
      <c r="F3146" s="35" t="s">
        <v>2147</v>
      </c>
      <c r="G3146" s="35" t="s">
        <v>328</v>
      </c>
      <c r="H3146" s="35" t="s">
        <v>61</v>
      </c>
      <c r="I3146" s="4"/>
    </row>
    <row r="3147" customFormat="false" ht="15" hidden="false" customHeight="false" outlineLevel="0" collapsed="false">
      <c r="A3147" s="35" t="s">
        <v>1707</v>
      </c>
      <c r="B3147" s="35" t="s">
        <v>7034</v>
      </c>
      <c r="C3147" s="35" t="s">
        <v>48</v>
      </c>
      <c r="D3147" s="35" t="s">
        <v>107</v>
      </c>
      <c r="E3147" s="35" t="s">
        <v>1706</v>
      </c>
      <c r="F3147" s="35" t="s">
        <v>2147</v>
      </c>
      <c r="G3147" s="35" t="s">
        <v>328</v>
      </c>
      <c r="H3147" s="35" t="s">
        <v>61</v>
      </c>
      <c r="I3147" s="4"/>
    </row>
    <row r="3148" customFormat="false" ht="15" hidden="false" customHeight="false" outlineLevel="0" collapsed="false">
      <c r="A3148" s="35" t="s">
        <v>7035</v>
      </c>
      <c r="B3148" s="35" t="s">
        <v>7036</v>
      </c>
      <c r="C3148" s="35" t="s">
        <v>48</v>
      </c>
      <c r="D3148" s="35" t="s">
        <v>107</v>
      </c>
      <c r="E3148" s="35" t="s">
        <v>798</v>
      </c>
      <c r="F3148" s="35" t="s">
        <v>2147</v>
      </c>
      <c r="G3148" s="35" t="s">
        <v>328</v>
      </c>
      <c r="H3148" s="35" t="s">
        <v>61</v>
      </c>
      <c r="I3148" s="4"/>
    </row>
    <row r="3149" customFormat="false" ht="15" hidden="false" customHeight="false" outlineLevel="0" collapsed="false">
      <c r="A3149" s="35" t="s">
        <v>7037</v>
      </c>
      <c r="B3149" s="35" t="s">
        <v>7038</v>
      </c>
      <c r="C3149" s="35" t="s">
        <v>48</v>
      </c>
      <c r="D3149" s="35" t="s">
        <v>107</v>
      </c>
      <c r="E3149" s="35" t="s">
        <v>798</v>
      </c>
      <c r="F3149" s="35" t="s">
        <v>2147</v>
      </c>
      <c r="G3149" s="35" t="s">
        <v>328</v>
      </c>
      <c r="H3149" s="35" t="s">
        <v>61</v>
      </c>
      <c r="I3149" s="4"/>
    </row>
    <row r="3150" customFormat="false" ht="15" hidden="false" customHeight="false" outlineLevel="0" collapsed="false">
      <c r="A3150" s="35" t="s">
        <v>7039</v>
      </c>
      <c r="B3150" s="35" t="s">
        <v>7040</v>
      </c>
      <c r="C3150" s="35" t="s">
        <v>48</v>
      </c>
      <c r="D3150" s="35" t="s">
        <v>107</v>
      </c>
      <c r="E3150" s="35" t="s">
        <v>798</v>
      </c>
      <c r="F3150" s="35" t="s">
        <v>2147</v>
      </c>
      <c r="G3150" s="35" t="s">
        <v>328</v>
      </c>
      <c r="H3150" s="35" t="s">
        <v>61</v>
      </c>
      <c r="I3150" s="4"/>
    </row>
    <row r="3151" customFormat="false" ht="15" hidden="false" customHeight="false" outlineLevel="0" collapsed="false">
      <c r="A3151" s="35" t="s">
        <v>7041</v>
      </c>
      <c r="B3151" s="35" t="s">
        <v>7042</v>
      </c>
      <c r="C3151" s="35" t="s">
        <v>48</v>
      </c>
      <c r="D3151" s="35" t="s">
        <v>107</v>
      </c>
      <c r="E3151" s="35" t="s">
        <v>798</v>
      </c>
      <c r="F3151" s="35" t="s">
        <v>2147</v>
      </c>
      <c r="G3151" s="35" t="s">
        <v>328</v>
      </c>
      <c r="H3151" s="35" t="s">
        <v>61</v>
      </c>
      <c r="I3151" s="4"/>
    </row>
    <row r="3152" customFormat="false" ht="15" hidden="false" customHeight="false" outlineLevel="0" collapsed="false">
      <c r="A3152" s="35" t="s">
        <v>7043</v>
      </c>
      <c r="B3152" s="35" t="s">
        <v>7044</v>
      </c>
      <c r="C3152" s="35" t="s">
        <v>48</v>
      </c>
      <c r="D3152" s="35" t="s">
        <v>447</v>
      </c>
      <c r="E3152" s="35"/>
      <c r="F3152" s="35" t="s">
        <v>174</v>
      </c>
      <c r="G3152" s="35" t="s">
        <v>716</v>
      </c>
      <c r="H3152" s="35" t="s">
        <v>61</v>
      </c>
      <c r="I3152" s="4"/>
    </row>
    <row r="3153" customFormat="false" ht="15" hidden="false" customHeight="false" outlineLevel="0" collapsed="false">
      <c r="A3153" s="35" t="s">
        <v>7045</v>
      </c>
      <c r="B3153" s="35" t="s">
        <v>7046</v>
      </c>
      <c r="C3153" s="35" t="s">
        <v>48</v>
      </c>
      <c r="D3153" s="35" t="s">
        <v>57</v>
      </c>
      <c r="E3153" s="35" t="s">
        <v>447</v>
      </c>
      <c r="F3153" s="35" t="s">
        <v>174</v>
      </c>
      <c r="G3153" s="35" t="s">
        <v>447</v>
      </c>
      <c r="H3153" s="35" t="s">
        <v>61</v>
      </c>
      <c r="I3153" s="4"/>
    </row>
    <row r="3154" customFormat="false" ht="15" hidden="false" customHeight="false" outlineLevel="0" collapsed="false">
      <c r="A3154" s="35" t="s">
        <v>7047</v>
      </c>
      <c r="B3154" s="35" t="s">
        <v>7048</v>
      </c>
      <c r="C3154" s="35" t="s">
        <v>48</v>
      </c>
      <c r="D3154" s="35" t="s">
        <v>57</v>
      </c>
      <c r="E3154" s="35" t="s">
        <v>834</v>
      </c>
      <c r="F3154" s="35" t="s">
        <v>885</v>
      </c>
      <c r="G3154" s="35" t="s">
        <v>328</v>
      </c>
      <c r="H3154" s="35" t="s">
        <v>369</v>
      </c>
      <c r="I3154" s="4"/>
    </row>
    <row r="3155" customFormat="false" ht="15" hidden="false" customHeight="false" outlineLevel="0" collapsed="false">
      <c r="A3155" s="35" t="s">
        <v>7049</v>
      </c>
      <c r="B3155" s="35" t="s">
        <v>7050</v>
      </c>
      <c r="C3155" s="35" t="s">
        <v>48</v>
      </c>
      <c r="D3155" s="35" t="s">
        <v>107</v>
      </c>
      <c r="E3155" s="35" t="s">
        <v>798</v>
      </c>
      <c r="F3155" s="35" t="s">
        <v>2147</v>
      </c>
      <c r="G3155" s="35" t="s">
        <v>328</v>
      </c>
      <c r="H3155" s="35" t="s">
        <v>61</v>
      </c>
      <c r="I3155" s="4"/>
    </row>
    <row r="3156" customFormat="false" ht="15" hidden="false" customHeight="false" outlineLevel="0" collapsed="false">
      <c r="A3156" s="35" t="s">
        <v>7051</v>
      </c>
      <c r="B3156" s="35" t="s">
        <v>7052</v>
      </c>
      <c r="C3156" s="35" t="s">
        <v>48</v>
      </c>
      <c r="D3156" s="35" t="s">
        <v>53</v>
      </c>
      <c r="E3156" s="35"/>
      <c r="F3156" s="35" t="s">
        <v>157</v>
      </c>
      <c r="G3156" s="35" t="s">
        <v>692</v>
      </c>
      <c r="H3156" s="35" t="s">
        <v>61</v>
      </c>
      <c r="I3156" s="4"/>
    </row>
    <row r="3157" customFormat="false" ht="15" hidden="false" customHeight="false" outlineLevel="0" collapsed="false">
      <c r="A3157" s="35" t="s">
        <v>7053</v>
      </c>
      <c r="B3157" s="35" t="s">
        <v>7054</v>
      </c>
      <c r="C3157" s="35" t="s">
        <v>48</v>
      </c>
      <c r="D3157" s="35" t="s">
        <v>53</v>
      </c>
      <c r="E3157" s="35"/>
      <c r="F3157" s="35" t="s">
        <v>157</v>
      </c>
      <c r="G3157" s="35" t="s">
        <v>692</v>
      </c>
      <c r="H3157" s="35" t="s">
        <v>61</v>
      </c>
      <c r="I3157" s="4"/>
    </row>
    <row r="3158" customFormat="false" ht="15" hidden="false" customHeight="false" outlineLevel="0" collapsed="false">
      <c r="A3158" s="35" t="s">
        <v>7055</v>
      </c>
      <c r="B3158" s="35" t="s">
        <v>7056</v>
      </c>
      <c r="C3158" s="35" t="s">
        <v>48</v>
      </c>
      <c r="D3158" s="35" t="s">
        <v>53</v>
      </c>
      <c r="E3158" s="35"/>
      <c r="F3158" s="35" t="s">
        <v>157</v>
      </c>
      <c r="G3158" s="35" t="s">
        <v>692</v>
      </c>
      <c r="H3158" s="35" t="s">
        <v>61</v>
      </c>
      <c r="I3158" s="4"/>
    </row>
    <row r="3159" customFormat="false" ht="15" hidden="false" customHeight="false" outlineLevel="0" collapsed="false">
      <c r="A3159" s="35" t="s">
        <v>7057</v>
      </c>
      <c r="B3159" s="35" t="s">
        <v>7058</v>
      </c>
      <c r="C3159" s="35" t="s">
        <v>48</v>
      </c>
      <c r="D3159" s="35" t="s">
        <v>53</v>
      </c>
      <c r="E3159" s="35"/>
      <c r="F3159" s="35" t="s">
        <v>157</v>
      </c>
      <c r="G3159" s="35" t="s">
        <v>692</v>
      </c>
      <c r="H3159" s="35" t="s">
        <v>61</v>
      </c>
      <c r="I3159" s="4"/>
    </row>
    <row r="3160" customFormat="false" ht="15" hidden="false" customHeight="false" outlineLevel="0" collapsed="false">
      <c r="A3160" s="35" t="s">
        <v>7059</v>
      </c>
      <c r="B3160" s="35" t="s">
        <v>7060</v>
      </c>
      <c r="C3160" s="35" t="s">
        <v>48</v>
      </c>
      <c r="D3160" s="35" t="s">
        <v>53</v>
      </c>
      <c r="E3160" s="35"/>
      <c r="F3160" s="35" t="s">
        <v>157</v>
      </c>
      <c r="G3160" s="35" t="s">
        <v>692</v>
      </c>
      <c r="H3160" s="35" t="s">
        <v>61</v>
      </c>
      <c r="I3160" s="4"/>
    </row>
    <row r="3161" customFormat="false" ht="15" hidden="false" customHeight="false" outlineLevel="0" collapsed="false">
      <c r="A3161" s="35" t="s">
        <v>7061</v>
      </c>
      <c r="B3161" s="35" t="s">
        <v>7062</v>
      </c>
      <c r="C3161" s="35" t="s">
        <v>48</v>
      </c>
      <c r="D3161" s="35" t="s">
        <v>53</v>
      </c>
      <c r="E3161" s="35"/>
      <c r="F3161" s="35" t="s">
        <v>157</v>
      </c>
      <c r="G3161" s="35" t="s">
        <v>692</v>
      </c>
      <c r="H3161" s="35" t="s">
        <v>61</v>
      </c>
      <c r="I3161" s="4"/>
    </row>
    <row r="3162" customFormat="false" ht="15" hidden="false" customHeight="false" outlineLevel="0" collapsed="false">
      <c r="A3162" s="35" t="s">
        <v>7063</v>
      </c>
      <c r="B3162" s="35" t="s">
        <v>7064</v>
      </c>
      <c r="C3162" s="35" t="s">
        <v>48</v>
      </c>
      <c r="D3162" s="35" t="s">
        <v>53</v>
      </c>
      <c r="E3162" s="35"/>
      <c r="F3162" s="35" t="s">
        <v>157</v>
      </c>
      <c r="G3162" s="35" t="s">
        <v>692</v>
      </c>
      <c r="H3162" s="35" t="s">
        <v>61</v>
      </c>
      <c r="I3162" s="4"/>
    </row>
    <row r="3163" customFormat="false" ht="15" hidden="false" customHeight="false" outlineLevel="0" collapsed="false">
      <c r="A3163" s="35" t="s">
        <v>7065</v>
      </c>
      <c r="B3163" s="35" t="s">
        <v>7066</v>
      </c>
      <c r="C3163" s="35" t="s">
        <v>48</v>
      </c>
      <c r="D3163" s="35" t="s">
        <v>46</v>
      </c>
      <c r="E3163" s="35" t="s">
        <v>45</v>
      </c>
      <c r="F3163" s="35"/>
      <c r="G3163" s="35" t="s">
        <v>49</v>
      </c>
      <c r="H3163" s="35" t="s">
        <v>49</v>
      </c>
      <c r="I3163" s="4"/>
    </row>
    <row r="3164" customFormat="false" ht="15" hidden="false" customHeight="false" outlineLevel="0" collapsed="false">
      <c r="A3164" s="35" t="s">
        <v>7067</v>
      </c>
      <c r="B3164" s="35" t="s">
        <v>7068</v>
      </c>
      <c r="C3164" s="35" t="s">
        <v>48</v>
      </c>
      <c r="D3164" s="35" t="s">
        <v>53</v>
      </c>
      <c r="E3164" s="35"/>
      <c r="F3164" s="35"/>
      <c r="G3164" s="35" t="s">
        <v>417</v>
      </c>
      <c r="H3164" s="35" t="s">
        <v>61</v>
      </c>
      <c r="I3164" s="4"/>
    </row>
    <row r="3165" customFormat="false" ht="15" hidden="false" customHeight="false" outlineLevel="0" collapsed="false">
      <c r="A3165" s="35" t="s">
        <v>7069</v>
      </c>
      <c r="B3165" s="35" t="s">
        <v>7070</v>
      </c>
      <c r="C3165" s="35" t="s">
        <v>48</v>
      </c>
      <c r="D3165" s="35" t="s">
        <v>107</v>
      </c>
      <c r="E3165" s="35" t="s">
        <v>798</v>
      </c>
      <c r="F3165" s="35" t="s">
        <v>174</v>
      </c>
      <c r="G3165" s="35" t="s">
        <v>328</v>
      </c>
      <c r="H3165" s="35" t="s">
        <v>61</v>
      </c>
      <c r="I3165" s="4"/>
    </row>
    <row r="3166" customFormat="false" ht="15" hidden="false" customHeight="false" outlineLevel="0" collapsed="false">
      <c r="A3166" s="35" t="s">
        <v>7071</v>
      </c>
      <c r="B3166" s="35" t="s">
        <v>7072</v>
      </c>
      <c r="C3166" s="35" t="s">
        <v>48</v>
      </c>
      <c r="D3166" s="35" t="s">
        <v>57</v>
      </c>
      <c r="E3166" s="35" t="s">
        <v>938</v>
      </c>
      <c r="F3166" s="35"/>
      <c r="G3166" s="35" t="s">
        <v>119</v>
      </c>
      <c r="H3166" s="35" t="s">
        <v>61</v>
      </c>
      <c r="I3166" s="4"/>
    </row>
    <row r="3167" customFormat="false" ht="15" hidden="false" customHeight="false" outlineLevel="0" collapsed="false">
      <c r="A3167" s="35" t="s">
        <v>7073</v>
      </c>
      <c r="B3167" s="35" t="s">
        <v>7074</v>
      </c>
      <c r="C3167" s="35" t="s">
        <v>48</v>
      </c>
      <c r="D3167" s="35" t="s">
        <v>107</v>
      </c>
      <c r="E3167" s="35" t="s">
        <v>1184</v>
      </c>
      <c r="F3167" s="35"/>
      <c r="G3167" s="35" t="s">
        <v>328</v>
      </c>
      <c r="H3167" s="35" t="s">
        <v>61</v>
      </c>
      <c r="I3167" s="4"/>
    </row>
    <row r="3168" customFormat="false" ht="15" hidden="false" customHeight="false" outlineLevel="0" collapsed="false">
      <c r="A3168" s="35" t="s">
        <v>7075</v>
      </c>
      <c r="B3168" s="35" t="s">
        <v>7076</v>
      </c>
      <c r="C3168" s="35" t="s">
        <v>48</v>
      </c>
      <c r="D3168" s="35" t="s">
        <v>114</v>
      </c>
      <c r="E3168" s="35"/>
      <c r="F3168" s="35" t="s">
        <v>2928</v>
      </c>
      <c r="G3168" s="35" t="s">
        <v>328</v>
      </c>
      <c r="H3168" s="35" t="s">
        <v>61</v>
      </c>
      <c r="I3168" s="4"/>
    </row>
    <row r="3169" customFormat="false" ht="15" hidden="false" customHeight="false" outlineLevel="0" collapsed="false">
      <c r="A3169" s="35" t="s">
        <v>1866</v>
      </c>
      <c r="B3169" s="35" t="s">
        <v>7077</v>
      </c>
      <c r="C3169" s="35" t="s">
        <v>48</v>
      </c>
      <c r="D3169" s="35" t="s">
        <v>107</v>
      </c>
      <c r="E3169" s="35" t="s">
        <v>1866</v>
      </c>
      <c r="F3169" s="35" t="s">
        <v>7078</v>
      </c>
      <c r="G3169" s="35" t="s">
        <v>328</v>
      </c>
      <c r="H3169" s="35" t="s">
        <v>61</v>
      </c>
      <c r="I3169" s="4"/>
    </row>
    <row r="3170" customFormat="false" ht="15" hidden="false" customHeight="false" outlineLevel="0" collapsed="false">
      <c r="A3170" s="35" t="s">
        <v>7079</v>
      </c>
      <c r="B3170" s="35" t="s">
        <v>7080</v>
      </c>
      <c r="C3170" s="35" t="s">
        <v>48</v>
      </c>
      <c r="D3170" s="35" t="s">
        <v>107</v>
      </c>
      <c r="E3170" s="35" t="s">
        <v>798</v>
      </c>
      <c r="F3170" s="35" t="s">
        <v>2147</v>
      </c>
      <c r="G3170" s="35" t="s">
        <v>328</v>
      </c>
      <c r="H3170" s="35" t="s">
        <v>61</v>
      </c>
      <c r="I3170" s="4"/>
    </row>
    <row r="3171" customFormat="false" ht="15" hidden="false" customHeight="false" outlineLevel="0" collapsed="false">
      <c r="A3171" s="35" t="s">
        <v>1804</v>
      </c>
      <c r="B3171" s="35" t="s">
        <v>7081</v>
      </c>
      <c r="C3171" s="35" t="s">
        <v>48</v>
      </c>
      <c r="D3171" s="35" t="s">
        <v>107</v>
      </c>
      <c r="E3171" s="35" t="s">
        <v>1803</v>
      </c>
      <c r="F3171" s="35" t="s">
        <v>2147</v>
      </c>
      <c r="G3171" s="35" t="s">
        <v>524</v>
      </c>
      <c r="H3171" s="35" t="s">
        <v>61</v>
      </c>
      <c r="I3171" s="4"/>
    </row>
    <row r="3172" customFormat="false" ht="15" hidden="false" customHeight="false" outlineLevel="0" collapsed="false">
      <c r="A3172" s="35" t="s">
        <v>1806</v>
      </c>
      <c r="B3172" s="35" t="s">
        <v>7082</v>
      </c>
      <c r="C3172" s="35" t="s">
        <v>48</v>
      </c>
      <c r="D3172" s="35" t="s">
        <v>107</v>
      </c>
      <c r="E3172" s="35" t="s">
        <v>1805</v>
      </c>
      <c r="F3172" s="35" t="s">
        <v>2147</v>
      </c>
      <c r="G3172" s="35" t="s">
        <v>328</v>
      </c>
      <c r="H3172" s="35" t="s">
        <v>61</v>
      </c>
      <c r="I3172" s="4"/>
    </row>
    <row r="3173" customFormat="false" ht="15" hidden="false" customHeight="false" outlineLevel="0" collapsed="false">
      <c r="A3173" s="35" t="s">
        <v>1808</v>
      </c>
      <c r="B3173" s="35" t="s">
        <v>7083</v>
      </c>
      <c r="C3173" s="35" t="s">
        <v>48</v>
      </c>
      <c r="D3173" s="35" t="s">
        <v>107</v>
      </c>
      <c r="E3173" s="35" t="s">
        <v>1807</v>
      </c>
      <c r="F3173" s="35" t="s">
        <v>2147</v>
      </c>
      <c r="G3173" s="35" t="s">
        <v>328</v>
      </c>
      <c r="H3173" s="35" t="s">
        <v>61</v>
      </c>
      <c r="I3173" s="4"/>
    </row>
    <row r="3174" customFormat="false" ht="15" hidden="false" customHeight="false" outlineLevel="0" collapsed="false">
      <c r="A3174" s="35" t="s">
        <v>1811</v>
      </c>
      <c r="B3174" s="35" t="s">
        <v>7084</v>
      </c>
      <c r="C3174" s="35" t="s">
        <v>48</v>
      </c>
      <c r="D3174" s="35" t="s">
        <v>107</v>
      </c>
      <c r="E3174" s="35" t="s">
        <v>1810</v>
      </c>
      <c r="F3174" s="35"/>
      <c r="G3174" s="35" t="s">
        <v>697</v>
      </c>
      <c r="H3174" s="35" t="s">
        <v>61</v>
      </c>
      <c r="I3174" s="4"/>
    </row>
    <row r="3175" customFormat="false" ht="15" hidden="false" customHeight="false" outlineLevel="0" collapsed="false">
      <c r="A3175" s="35" t="s">
        <v>1815</v>
      </c>
      <c r="B3175" s="35" t="s">
        <v>7085</v>
      </c>
      <c r="C3175" s="35" t="s">
        <v>48</v>
      </c>
      <c r="D3175" s="35" t="s">
        <v>107</v>
      </c>
      <c r="E3175" s="35" t="s">
        <v>1814</v>
      </c>
      <c r="F3175" s="35"/>
      <c r="G3175" s="35" t="s">
        <v>697</v>
      </c>
      <c r="H3175" s="35" t="s">
        <v>61</v>
      </c>
      <c r="I3175" s="4"/>
    </row>
    <row r="3176" customFormat="false" ht="15" hidden="false" customHeight="false" outlineLevel="0" collapsed="false">
      <c r="A3176" s="35" t="s">
        <v>7086</v>
      </c>
      <c r="B3176" s="35" t="s">
        <v>7087</v>
      </c>
      <c r="C3176" s="35" t="s">
        <v>48</v>
      </c>
      <c r="D3176" s="35" t="s">
        <v>57</v>
      </c>
      <c r="E3176" s="35" t="s">
        <v>1050</v>
      </c>
      <c r="F3176" s="35"/>
      <c r="G3176" s="35" t="s">
        <v>697</v>
      </c>
      <c r="H3176" s="35" t="s">
        <v>61</v>
      </c>
      <c r="I3176" s="4"/>
    </row>
    <row r="3177" customFormat="false" ht="15" hidden="false" customHeight="false" outlineLevel="0" collapsed="false">
      <c r="A3177" s="35" t="s">
        <v>7088</v>
      </c>
      <c r="B3177" s="35" t="s">
        <v>7089</v>
      </c>
      <c r="C3177" s="35" t="s">
        <v>48</v>
      </c>
      <c r="D3177" s="35" t="s">
        <v>107</v>
      </c>
      <c r="E3177" s="35" t="s">
        <v>1050</v>
      </c>
      <c r="F3177" s="35"/>
      <c r="G3177" s="35" t="s">
        <v>697</v>
      </c>
      <c r="H3177" s="35" t="s">
        <v>61</v>
      </c>
      <c r="I3177" s="4"/>
    </row>
    <row r="3178" customFormat="false" ht="15" hidden="false" customHeight="false" outlineLevel="0" collapsed="false">
      <c r="A3178" s="35" t="s">
        <v>7090</v>
      </c>
      <c r="B3178" s="35" t="s">
        <v>7091</v>
      </c>
      <c r="C3178" s="35" t="s">
        <v>48</v>
      </c>
      <c r="D3178" s="35" t="s">
        <v>57</v>
      </c>
      <c r="E3178" s="35" t="s">
        <v>1008</v>
      </c>
      <c r="F3178" s="35"/>
      <c r="G3178" s="35" t="s">
        <v>697</v>
      </c>
      <c r="H3178" s="35" t="s">
        <v>61</v>
      </c>
      <c r="I3178" s="4"/>
    </row>
    <row r="3179" customFormat="false" ht="15" hidden="false" customHeight="false" outlineLevel="0" collapsed="false">
      <c r="A3179" s="35" t="s">
        <v>7092</v>
      </c>
      <c r="B3179" s="35" t="s">
        <v>7093</v>
      </c>
      <c r="C3179" s="35" t="s">
        <v>48</v>
      </c>
      <c r="D3179" s="35" t="s">
        <v>107</v>
      </c>
      <c r="E3179" s="35" t="s">
        <v>1008</v>
      </c>
      <c r="F3179" s="35"/>
      <c r="G3179" s="35" t="s">
        <v>697</v>
      </c>
      <c r="H3179" s="35" t="s">
        <v>61</v>
      </c>
      <c r="I3179" s="4"/>
    </row>
    <row r="3180" customFormat="false" ht="15" hidden="false" customHeight="false" outlineLevel="0" collapsed="false">
      <c r="A3180" s="35" t="s">
        <v>102</v>
      </c>
      <c r="B3180" s="35" t="s">
        <v>103</v>
      </c>
      <c r="C3180" s="35" t="s">
        <v>48</v>
      </c>
      <c r="D3180" s="35" t="s">
        <v>57</v>
      </c>
      <c r="E3180" s="35" t="s">
        <v>102</v>
      </c>
      <c r="F3180" s="35"/>
      <c r="G3180" s="35" t="s">
        <v>104</v>
      </c>
      <c r="H3180" s="35" t="s">
        <v>50</v>
      </c>
      <c r="I3180" s="4" t="s">
        <v>2025</v>
      </c>
    </row>
    <row r="3181" customFormat="false" ht="15" hidden="false" customHeight="false" outlineLevel="0" collapsed="false">
      <c r="A3181" s="35" t="s">
        <v>7094</v>
      </c>
      <c r="B3181" s="35" t="s">
        <v>7095</v>
      </c>
      <c r="C3181" s="35" t="s">
        <v>48</v>
      </c>
      <c r="D3181" s="35" t="s">
        <v>53</v>
      </c>
      <c r="E3181" s="35"/>
      <c r="F3181" s="35"/>
      <c r="G3181" s="35" t="s">
        <v>104</v>
      </c>
      <c r="H3181" s="35" t="s">
        <v>61</v>
      </c>
      <c r="I3181" s="4"/>
    </row>
    <row r="3182" customFormat="false" ht="15" hidden="false" customHeight="false" outlineLevel="0" collapsed="false">
      <c r="A3182" s="35" t="s">
        <v>7096</v>
      </c>
      <c r="B3182" s="35" t="s">
        <v>7097</v>
      </c>
      <c r="C3182" s="35" t="s">
        <v>48</v>
      </c>
      <c r="D3182" s="35" t="s">
        <v>57</v>
      </c>
      <c r="E3182" s="35" t="s">
        <v>102</v>
      </c>
      <c r="F3182" s="35"/>
      <c r="G3182" s="35" t="s">
        <v>545</v>
      </c>
      <c r="H3182" s="35" t="s">
        <v>369</v>
      </c>
      <c r="I3182" s="4"/>
    </row>
    <row r="3183" customFormat="false" ht="15" hidden="false" customHeight="false" outlineLevel="0" collapsed="false">
      <c r="A3183" s="35" t="s">
        <v>7098</v>
      </c>
      <c r="B3183" s="35" t="s">
        <v>7099</v>
      </c>
      <c r="C3183" s="35" t="s">
        <v>48</v>
      </c>
      <c r="D3183" s="35" t="s">
        <v>57</v>
      </c>
      <c r="E3183" s="35" t="s">
        <v>102</v>
      </c>
      <c r="F3183" s="35"/>
      <c r="G3183" s="35" t="s">
        <v>545</v>
      </c>
      <c r="H3183" s="35" t="s">
        <v>369</v>
      </c>
      <c r="I3183" s="4"/>
    </row>
    <row r="3184" customFormat="false" ht="15" hidden="false" customHeight="false" outlineLevel="0" collapsed="false">
      <c r="A3184" s="35" t="s">
        <v>7100</v>
      </c>
      <c r="B3184" s="35" t="s">
        <v>7101</v>
      </c>
      <c r="C3184" s="35" t="s">
        <v>48</v>
      </c>
      <c r="D3184" s="35" t="s">
        <v>57</v>
      </c>
      <c r="E3184" s="35" t="s">
        <v>1004</v>
      </c>
      <c r="F3184" s="35"/>
      <c r="G3184" s="35" t="s">
        <v>766</v>
      </c>
      <c r="H3184" s="35" t="s">
        <v>61</v>
      </c>
      <c r="I3184" s="4"/>
    </row>
    <row r="3185" customFormat="false" ht="15" hidden="false" customHeight="false" outlineLevel="0" collapsed="false">
      <c r="A3185" s="35" t="s">
        <v>7102</v>
      </c>
      <c r="B3185" s="35" t="s">
        <v>7103</v>
      </c>
      <c r="C3185" s="35" t="s">
        <v>48</v>
      </c>
      <c r="D3185" s="35" t="s">
        <v>107</v>
      </c>
      <c r="E3185" s="35" t="s">
        <v>1004</v>
      </c>
      <c r="F3185" s="35"/>
      <c r="G3185" s="35" t="s">
        <v>328</v>
      </c>
      <c r="H3185" s="35" t="s">
        <v>61</v>
      </c>
      <c r="I3185" s="4"/>
    </row>
    <row r="3186" customFormat="false" ht="15" hidden="false" customHeight="false" outlineLevel="0" collapsed="false">
      <c r="A3186" s="35" t="s">
        <v>7104</v>
      </c>
      <c r="B3186" s="35" t="s">
        <v>7105</v>
      </c>
      <c r="C3186" s="35" t="s">
        <v>48</v>
      </c>
      <c r="D3186" s="35" t="s">
        <v>114</v>
      </c>
      <c r="E3186" s="35"/>
      <c r="F3186" s="35"/>
      <c r="G3186" s="35" t="s">
        <v>328</v>
      </c>
      <c r="H3186" s="35" t="s">
        <v>61</v>
      </c>
      <c r="I3186" s="4"/>
    </row>
    <row r="3187" customFormat="false" ht="15" hidden="false" customHeight="false" outlineLevel="0" collapsed="false">
      <c r="A3187" s="35" t="s">
        <v>7106</v>
      </c>
      <c r="B3187" s="35" t="s">
        <v>7107</v>
      </c>
      <c r="C3187" s="35" t="s">
        <v>48</v>
      </c>
      <c r="D3187" s="35" t="s">
        <v>146</v>
      </c>
      <c r="E3187" s="35"/>
      <c r="F3187" s="35" t="s">
        <v>2383</v>
      </c>
      <c r="G3187" s="35" t="s">
        <v>712</v>
      </c>
      <c r="H3187" s="35" t="s">
        <v>61</v>
      </c>
      <c r="I3187" s="4"/>
    </row>
    <row r="3188" customFormat="false" ht="15" hidden="false" customHeight="false" outlineLevel="0" collapsed="false">
      <c r="A3188" s="35" t="s">
        <v>7108</v>
      </c>
      <c r="B3188" s="35" t="s">
        <v>7109</v>
      </c>
      <c r="C3188" s="35" t="s">
        <v>48</v>
      </c>
      <c r="D3188" s="35" t="s">
        <v>53</v>
      </c>
      <c r="E3188" s="35"/>
      <c r="F3188" s="35" t="s">
        <v>174</v>
      </c>
      <c r="G3188" s="35" t="s">
        <v>328</v>
      </c>
      <c r="H3188" s="35" t="s">
        <v>61</v>
      </c>
      <c r="I3188" s="4"/>
    </row>
    <row r="3189" customFormat="false" ht="15" hidden="false" customHeight="false" outlineLevel="0" collapsed="false">
      <c r="A3189" s="35" t="s">
        <v>7110</v>
      </c>
      <c r="B3189" s="35" t="s">
        <v>7111</v>
      </c>
      <c r="C3189" s="35" t="s">
        <v>48</v>
      </c>
      <c r="D3189" s="35" t="s">
        <v>57</v>
      </c>
      <c r="E3189" s="35" t="s">
        <v>1056</v>
      </c>
      <c r="F3189" s="35"/>
      <c r="G3189" s="35" t="s">
        <v>706</v>
      </c>
      <c r="H3189" s="35" t="s">
        <v>61</v>
      </c>
      <c r="I3189" s="4"/>
    </row>
    <row r="3190" customFormat="false" ht="15" hidden="false" customHeight="false" outlineLevel="0" collapsed="false">
      <c r="A3190" s="35" t="s">
        <v>7112</v>
      </c>
      <c r="B3190" s="35" t="s">
        <v>6863</v>
      </c>
      <c r="C3190" s="35" t="s">
        <v>48</v>
      </c>
      <c r="D3190" s="35" t="s">
        <v>57</v>
      </c>
      <c r="E3190" s="35" t="s">
        <v>83</v>
      </c>
      <c r="F3190" s="35"/>
      <c r="G3190" s="35" t="s">
        <v>83</v>
      </c>
      <c r="H3190" s="35" t="s">
        <v>61</v>
      </c>
      <c r="I3190" s="4"/>
    </row>
    <row r="3191" customFormat="false" ht="15" hidden="false" customHeight="false" outlineLevel="0" collapsed="false">
      <c r="A3191" s="35" t="s">
        <v>7113</v>
      </c>
      <c r="B3191" s="35" t="s">
        <v>7114</v>
      </c>
      <c r="C3191" s="35" t="s">
        <v>48</v>
      </c>
      <c r="D3191" s="35" t="s">
        <v>107</v>
      </c>
      <c r="E3191" s="35" t="s">
        <v>798</v>
      </c>
      <c r="F3191" s="35" t="s">
        <v>2147</v>
      </c>
      <c r="G3191" s="35" t="s">
        <v>328</v>
      </c>
      <c r="H3191" s="35" t="s">
        <v>61</v>
      </c>
      <c r="I3191" s="4"/>
    </row>
    <row r="3192" customFormat="false" ht="15" hidden="false" customHeight="false" outlineLevel="0" collapsed="false">
      <c r="A3192" s="35" t="s">
        <v>7115</v>
      </c>
      <c r="B3192" s="35" t="s">
        <v>7116</v>
      </c>
      <c r="C3192" s="35" t="s">
        <v>48</v>
      </c>
      <c r="D3192" s="35" t="s">
        <v>146</v>
      </c>
      <c r="E3192" s="35"/>
      <c r="F3192" s="35" t="s">
        <v>885</v>
      </c>
      <c r="G3192" s="35" t="s">
        <v>545</v>
      </c>
      <c r="H3192" s="35" t="s">
        <v>369</v>
      </c>
      <c r="I3192" s="4"/>
    </row>
    <row r="3193" customFormat="false" ht="15" hidden="false" customHeight="false" outlineLevel="0" collapsed="false">
      <c r="A3193" s="35" t="s">
        <v>7117</v>
      </c>
      <c r="B3193" s="35" t="s">
        <v>7118</v>
      </c>
      <c r="C3193" s="35" t="s">
        <v>48</v>
      </c>
      <c r="D3193" s="35" t="s">
        <v>146</v>
      </c>
      <c r="E3193" s="35"/>
      <c r="F3193" s="35" t="s">
        <v>885</v>
      </c>
      <c r="G3193" s="35" t="s">
        <v>545</v>
      </c>
      <c r="H3193" s="35" t="s">
        <v>369</v>
      </c>
      <c r="I3193" s="4"/>
    </row>
    <row r="3194" customFormat="false" ht="15" hidden="false" customHeight="false" outlineLevel="0" collapsed="false">
      <c r="A3194" s="35" t="s">
        <v>1345</v>
      </c>
      <c r="B3194" s="35" t="s">
        <v>7119</v>
      </c>
      <c r="C3194" s="35" t="s">
        <v>48</v>
      </c>
      <c r="D3194" s="35" t="s">
        <v>107</v>
      </c>
      <c r="E3194" s="35" t="s">
        <v>1344</v>
      </c>
      <c r="F3194" s="35" t="s">
        <v>2147</v>
      </c>
      <c r="G3194" s="35" t="s">
        <v>681</v>
      </c>
      <c r="H3194" s="35" t="s">
        <v>61</v>
      </c>
      <c r="I3194" s="4"/>
    </row>
    <row r="3195" customFormat="false" ht="15" hidden="false" customHeight="false" outlineLevel="0" collapsed="false">
      <c r="A3195" s="35" t="s">
        <v>7120</v>
      </c>
      <c r="B3195" s="35" t="s">
        <v>7121</v>
      </c>
      <c r="C3195" s="35" t="s">
        <v>48</v>
      </c>
      <c r="D3195" s="35" t="s">
        <v>107</v>
      </c>
      <c r="E3195" s="35" t="s">
        <v>693</v>
      </c>
      <c r="F3195" s="35"/>
      <c r="G3195" s="35" t="s">
        <v>693</v>
      </c>
      <c r="H3195" s="35" t="s">
        <v>49</v>
      </c>
      <c r="I3195" s="4"/>
    </row>
    <row r="3196" customFormat="false" ht="15" hidden="false" customHeight="false" outlineLevel="0" collapsed="false">
      <c r="A3196" s="35" t="s">
        <v>1372</v>
      </c>
      <c r="B3196" s="35" t="s">
        <v>7122</v>
      </c>
      <c r="C3196" s="35" t="s">
        <v>48</v>
      </c>
      <c r="D3196" s="35" t="s">
        <v>57</v>
      </c>
      <c r="E3196" s="35" t="s">
        <v>1371</v>
      </c>
      <c r="F3196" s="35"/>
      <c r="G3196" s="35" t="s">
        <v>693</v>
      </c>
      <c r="H3196" s="35" t="s">
        <v>49</v>
      </c>
      <c r="I3196" s="4"/>
    </row>
    <row r="3197" customFormat="false" ht="15" hidden="false" customHeight="false" outlineLevel="0" collapsed="false">
      <c r="A3197" s="35" t="s">
        <v>1399</v>
      </c>
      <c r="B3197" s="35" t="s">
        <v>7123</v>
      </c>
      <c r="C3197" s="35" t="s">
        <v>48</v>
      </c>
      <c r="D3197" s="35" t="s">
        <v>57</v>
      </c>
      <c r="E3197" s="35" t="s">
        <v>1398</v>
      </c>
      <c r="F3197" s="35"/>
      <c r="G3197" s="35" t="s">
        <v>49</v>
      </c>
      <c r="H3197" s="35" t="s">
        <v>49</v>
      </c>
      <c r="I3197" s="4"/>
    </row>
    <row r="3198" customFormat="false" ht="15" hidden="false" customHeight="false" outlineLevel="0" collapsed="false">
      <c r="A3198" s="35" t="s">
        <v>1711</v>
      </c>
      <c r="B3198" s="35" t="s">
        <v>7124</v>
      </c>
      <c r="C3198" s="35" t="s">
        <v>48</v>
      </c>
      <c r="D3198" s="35" t="s">
        <v>57</v>
      </c>
      <c r="E3198" s="35" t="s">
        <v>1710</v>
      </c>
      <c r="F3198" s="35"/>
      <c r="G3198" s="35" t="s">
        <v>49</v>
      </c>
      <c r="H3198" s="35" t="s">
        <v>49</v>
      </c>
      <c r="I3198" s="4"/>
    </row>
    <row r="3199" customFormat="false" ht="15" hidden="false" customHeight="false" outlineLevel="0" collapsed="false">
      <c r="A3199" s="35" t="s">
        <v>7125</v>
      </c>
      <c r="B3199" s="35" t="s">
        <v>7126</v>
      </c>
      <c r="C3199" s="35" t="s">
        <v>48</v>
      </c>
      <c r="D3199" s="35" t="s">
        <v>57</v>
      </c>
      <c r="E3199" s="35" t="s">
        <v>861</v>
      </c>
      <c r="F3199" s="35"/>
      <c r="G3199" s="35" t="s">
        <v>681</v>
      </c>
      <c r="H3199" s="35" t="s">
        <v>49</v>
      </c>
      <c r="I3199" s="4"/>
    </row>
    <row r="3200" customFormat="false" ht="15" hidden="false" customHeight="false" outlineLevel="0" collapsed="false">
      <c r="A3200" s="35" t="s">
        <v>7127</v>
      </c>
      <c r="B3200" s="35" t="s">
        <v>7128</v>
      </c>
      <c r="C3200" s="35" t="s">
        <v>48</v>
      </c>
      <c r="D3200" s="35" t="s">
        <v>57</v>
      </c>
      <c r="E3200" s="35" t="s">
        <v>1127</v>
      </c>
      <c r="F3200" s="35"/>
      <c r="G3200" s="35" t="s">
        <v>49</v>
      </c>
      <c r="H3200" s="35" t="s">
        <v>49</v>
      </c>
      <c r="I3200" s="4"/>
    </row>
    <row r="3201" customFormat="false" ht="15" hidden="false" customHeight="false" outlineLevel="0" collapsed="false">
      <c r="A3201" s="35" t="s">
        <v>7129</v>
      </c>
      <c r="B3201" s="35" t="s">
        <v>7130</v>
      </c>
      <c r="C3201" s="35" t="s">
        <v>48</v>
      </c>
      <c r="D3201" s="35" t="s">
        <v>53</v>
      </c>
      <c r="E3201" s="35"/>
      <c r="F3201" s="35"/>
      <c r="G3201" s="35" t="s">
        <v>49</v>
      </c>
      <c r="H3201" s="35" t="s">
        <v>49</v>
      </c>
      <c r="I3201" s="4"/>
    </row>
    <row r="3202" customFormat="false" ht="15" hidden="false" customHeight="false" outlineLevel="0" collapsed="false">
      <c r="A3202" s="35" t="s">
        <v>7131</v>
      </c>
      <c r="B3202" s="35" t="s">
        <v>7132</v>
      </c>
      <c r="C3202" s="35" t="s">
        <v>48</v>
      </c>
      <c r="D3202" s="35" t="s">
        <v>114</v>
      </c>
      <c r="E3202" s="35"/>
      <c r="F3202" s="35"/>
      <c r="G3202" s="35" t="s">
        <v>313</v>
      </c>
      <c r="H3202" s="35" t="s">
        <v>49</v>
      </c>
      <c r="I3202" s="4"/>
    </row>
    <row r="3203" customFormat="false" ht="15" hidden="false" customHeight="false" outlineLevel="0" collapsed="false">
      <c r="A3203" s="35" t="s">
        <v>269</v>
      </c>
      <c r="B3203" s="35" t="s">
        <v>270</v>
      </c>
      <c r="C3203" s="35" t="s">
        <v>48</v>
      </c>
      <c r="D3203" s="35" t="s">
        <v>107</v>
      </c>
      <c r="E3203" s="35" t="s">
        <v>45</v>
      </c>
      <c r="F3203" s="35"/>
      <c r="G3203" s="35" t="s">
        <v>104</v>
      </c>
      <c r="H3203" s="35" t="s">
        <v>61</v>
      </c>
      <c r="I3203" s="4" t="s">
        <v>2025</v>
      </c>
    </row>
    <row r="3204" customFormat="false" ht="15" hidden="false" customHeight="false" outlineLevel="0" collapsed="false">
      <c r="A3204" s="35" t="s">
        <v>7133</v>
      </c>
      <c r="B3204" s="35" t="s">
        <v>7134</v>
      </c>
      <c r="C3204" s="35" t="s">
        <v>48</v>
      </c>
      <c r="D3204" s="35" t="s">
        <v>107</v>
      </c>
      <c r="E3204" s="35" t="s">
        <v>45</v>
      </c>
      <c r="F3204" s="35"/>
      <c r="G3204" s="35" t="s">
        <v>104</v>
      </c>
      <c r="H3204" s="35" t="s">
        <v>61</v>
      </c>
      <c r="I3204" s="4"/>
    </row>
    <row r="3205" customFormat="false" ht="15" hidden="false" customHeight="false" outlineLevel="0" collapsed="false">
      <c r="A3205" s="35" t="s">
        <v>7135</v>
      </c>
      <c r="B3205" s="35" t="s">
        <v>7136</v>
      </c>
      <c r="C3205" s="35" t="s">
        <v>48</v>
      </c>
      <c r="D3205" s="35" t="s">
        <v>107</v>
      </c>
      <c r="E3205" s="35" t="s">
        <v>45</v>
      </c>
      <c r="F3205" s="35"/>
      <c r="G3205" s="35" t="s">
        <v>262</v>
      </c>
      <c r="H3205" s="35" t="s">
        <v>61</v>
      </c>
      <c r="I3205" s="4"/>
    </row>
    <row r="3206" customFormat="false" ht="15" hidden="false" customHeight="false" outlineLevel="0" collapsed="false">
      <c r="A3206" s="35" t="s">
        <v>7137</v>
      </c>
      <c r="B3206" s="35" t="s">
        <v>7138</v>
      </c>
      <c r="C3206" s="35" t="s">
        <v>48</v>
      </c>
      <c r="D3206" s="35" t="s">
        <v>146</v>
      </c>
      <c r="E3206" s="35"/>
      <c r="F3206" s="35"/>
      <c r="G3206" s="35" t="s">
        <v>571</v>
      </c>
      <c r="H3206" s="35" t="s">
        <v>61</v>
      </c>
      <c r="I3206" s="4"/>
    </row>
    <row r="3207" customFormat="false" ht="15" hidden="false" customHeight="false" outlineLevel="0" collapsed="false">
      <c r="A3207" s="35" t="s">
        <v>7139</v>
      </c>
      <c r="B3207" s="35" t="s">
        <v>7140</v>
      </c>
      <c r="C3207" s="35" t="s">
        <v>48</v>
      </c>
      <c r="D3207" s="35" t="s">
        <v>146</v>
      </c>
      <c r="E3207" s="35"/>
      <c r="F3207" s="35"/>
      <c r="G3207" s="35" t="s">
        <v>571</v>
      </c>
      <c r="H3207" s="35" t="s">
        <v>61</v>
      </c>
      <c r="I3207" s="4"/>
    </row>
    <row r="3208" customFormat="false" ht="15" hidden="false" customHeight="false" outlineLevel="0" collapsed="false">
      <c r="A3208" s="35" t="s">
        <v>7141</v>
      </c>
      <c r="B3208" s="35" t="s">
        <v>7142</v>
      </c>
      <c r="C3208" s="35" t="s">
        <v>48</v>
      </c>
      <c r="D3208" s="35" t="s">
        <v>107</v>
      </c>
      <c r="E3208" s="35" t="s">
        <v>1048</v>
      </c>
      <c r="F3208" s="35" t="s">
        <v>736</v>
      </c>
      <c r="G3208" s="35" t="s">
        <v>736</v>
      </c>
      <c r="H3208" s="35" t="s">
        <v>61</v>
      </c>
      <c r="I3208" s="4"/>
    </row>
    <row r="3209" customFormat="false" ht="15" hidden="false" customHeight="false" outlineLevel="0" collapsed="false">
      <c r="A3209" s="35" t="s">
        <v>7143</v>
      </c>
      <c r="B3209" s="35" t="s">
        <v>7144</v>
      </c>
      <c r="C3209" s="35" t="s">
        <v>48</v>
      </c>
      <c r="D3209" s="35" t="s">
        <v>114</v>
      </c>
      <c r="E3209" s="35"/>
      <c r="F3209" s="35"/>
      <c r="G3209" s="35" t="s">
        <v>682</v>
      </c>
      <c r="H3209" s="35" t="s">
        <v>49</v>
      </c>
      <c r="I3209" s="4"/>
    </row>
    <row r="3210" customFormat="false" ht="15" hidden="false" customHeight="false" outlineLevel="0" collapsed="false">
      <c r="A3210" s="35" t="s">
        <v>1331</v>
      </c>
      <c r="B3210" s="35" t="s">
        <v>7145</v>
      </c>
      <c r="C3210" s="35" t="s">
        <v>48</v>
      </c>
      <c r="D3210" s="35" t="s">
        <v>57</v>
      </c>
      <c r="E3210" s="35" t="s">
        <v>1330</v>
      </c>
      <c r="F3210" s="35"/>
      <c r="G3210" s="35" t="s">
        <v>49</v>
      </c>
      <c r="H3210" s="35" t="s">
        <v>49</v>
      </c>
      <c r="I3210" s="4"/>
    </row>
    <row r="3211" customFormat="false" ht="15" hidden="false" customHeight="false" outlineLevel="0" collapsed="false">
      <c r="A3211" s="35" t="s">
        <v>1835</v>
      </c>
      <c r="B3211" s="35" t="s">
        <v>7146</v>
      </c>
      <c r="C3211" s="35" t="s">
        <v>48</v>
      </c>
      <c r="D3211" s="35" t="s">
        <v>57</v>
      </c>
      <c r="E3211" s="35" t="s">
        <v>1834</v>
      </c>
      <c r="F3211" s="35"/>
      <c r="G3211" s="35" t="s">
        <v>49</v>
      </c>
      <c r="H3211" s="35" t="s">
        <v>49</v>
      </c>
      <c r="I3211" s="4"/>
    </row>
    <row r="3212" customFormat="false" ht="15" hidden="false" customHeight="false" outlineLevel="0" collapsed="false">
      <c r="A3212" s="35" t="s">
        <v>7147</v>
      </c>
      <c r="B3212" s="35" t="s">
        <v>7148</v>
      </c>
      <c r="C3212" s="35" t="s">
        <v>48</v>
      </c>
      <c r="D3212" s="35" t="s">
        <v>53</v>
      </c>
      <c r="E3212" s="35"/>
      <c r="F3212" s="35"/>
      <c r="G3212" s="35" t="s">
        <v>571</v>
      </c>
      <c r="H3212" s="35" t="s">
        <v>61</v>
      </c>
      <c r="I3212" s="4"/>
    </row>
    <row r="3213" customFormat="false" ht="15" hidden="false" customHeight="false" outlineLevel="0" collapsed="false">
      <c r="A3213" s="35" t="s">
        <v>7149</v>
      </c>
      <c r="B3213" s="35" t="s">
        <v>7150</v>
      </c>
      <c r="C3213" s="35" t="s">
        <v>48</v>
      </c>
      <c r="D3213" s="35" t="s">
        <v>107</v>
      </c>
      <c r="E3213" s="35" t="s">
        <v>1048</v>
      </c>
      <c r="F3213" s="35" t="s">
        <v>736</v>
      </c>
      <c r="G3213" s="35" t="s">
        <v>736</v>
      </c>
      <c r="H3213" s="35" t="s">
        <v>61</v>
      </c>
      <c r="I3213" s="4"/>
    </row>
    <row r="3214" customFormat="false" ht="15" hidden="false" customHeight="false" outlineLevel="0" collapsed="false">
      <c r="A3214" s="35" t="s">
        <v>7151</v>
      </c>
      <c r="B3214" s="35" t="s">
        <v>7152</v>
      </c>
      <c r="C3214" s="35" t="s">
        <v>48</v>
      </c>
      <c r="D3214" s="35" t="s">
        <v>107</v>
      </c>
      <c r="E3214" s="35" t="s">
        <v>1244</v>
      </c>
      <c r="F3214" s="35" t="s">
        <v>736</v>
      </c>
      <c r="G3214" s="35" t="s">
        <v>748</v>
      </c>
      <c r="H3214" s="35" t="s">
        <v>61</v>
      </c>
      <c r="I3214" s="4"/>
    </row>
    <row r="3215" customFormat="false" ht="15" hidden="false" customHeight="false" outlineLevel="0" collapsed="false">
      <c r="A3215" s="35" t="s">
        <v>7153</v>
      </c>
      <c r="B3215" s="35" t="s">
        <v>7154</v>
      </c>
      <c r="C3215" s="35" t="s">
        <v>48</v>
      </c>
      <c r="D3215" s="35" t="s">
        <v>107</v>
      </c>
      <c r="E3215" s="35" t="s">
        <v>980</v>
      </c>
      <c r="F3215" s="35"/>
      <c r="G3215" s="35" t="s">
        <v>49</v>
      </c>
      <c r="H3215" s="35" t="s">
        <v>49</v>
      </c>
      <c r="I3215" s="4"/>
    </row>
    <row r="3216" customFormat="false" ht="15" hidden="false" customHeight="false" outlineLevel="0" collapsed="false">
      <c r="A3216" s="35" t="s">
        <v>1868</v>
      </c>
      <c r="B3216" s="35" t="s">
        <v>7155</v>
      </c>
      <c r="C3216" s="35" t="s">
        <v>48</v>
      </c>
      <c r="D3216" s="35" t="s">
        <v>57</v>
      </c>
      <c r="E3216" s="35" t="s">
        <v>1867</v>
      </c>
      <c r="F3216" s="35"/>
      <c r="G3216" s="35" t="s">
        <v>49</v>
      </c>
      <c r="H3216" s="35" t="s">
        <v>49</v>
      </c>
      <c r="I3216" s="4"/>
    </row>
    <row r="3217" customFormat="false" ht="15" hidden="false" customHeight="false" outlineLevel="0" collapsed="false">
      <c r="A3217" s="35" t="s">
        <v>7156</v>
      </c>
      <c r="B3217" s="35" t="s">
        <v>7157</v>
      </c>
      <c r="C3217" s="35" t="s">
        <v>48</v>
      </c>
      <c r="D3217" s="35" t="s">
        <v>146</v>
      </c>
      <c r="E3217" s="35"/>
      <c r="F3217" s="35"/>
      <c r="G3217" s="35" t="s">
        <v>49</v>
      </c>
      <c r="H3217" s="35" t="s">
        <v>49</v>
      </c>
      <c r="I3217" s="4"/>
    </row>
    <row r="3218" customFormat="false" ht="15" hidden="false" customHeight="false" outlineLevel="0" collapsed="false">
      <c r="A3218" s="35" t="s">
        <v>7158</v>
      </c>
      <c r="B3218" s="35" t="s">
        <v>7159</v>
      </c>
      <c r="C3218" s="35" t="s">
        <v>48</v>
      </c>
      <c r="D3218" s="35" t="s">
        <v>53</v>
      </c>
      <c r="E3218" s="35"/>
      <c r="F3218" s="35"/>
      <c r="G3218" s="35" t="s">
        <v>421</v>
      </c>
      <c r="H3218" s="35" t="s">
        <v>3340</v>
      </c>
      <c r="I3218" s="4"/>
    </row>
    <row r="3219" customFormat="false" ht="15" hidden="false" customHeight="false" outlineLevel="0" collapsed="false">
      <c r="A3219" s="35" t="s">
        <v>7160</v>
      </c>
      <c r="B3219" s="35" t="s">
        <v>7161</v>
      </c>
      <c r="C3219" s="35" t="s">
        <v>48</v>
      </c>
      <c r="D3219" s="35" t="s">
        <v>53</v>
      </c>
      <c r="E3219" s="35"/>
      <c r="F3219" s="35"/>
      <c r="G3219" s="35" t="s">
        <v>421</v>
      </c>
      <c r="H3219" s="35" t="s">
        <v>3340</v>
      </c>
      <c r="I3219" s="4"/>
    </row>
    <row r="3220" customFormat="false" ht="15" hidden="false" customHeight="false" outlineLevel="0" collapsed="false">
      <c r="A3220" s="35" t="s">
        <v>7162</v>
      </c>
      <c r="B3220" s="35" t="s">
        <v>7163</v>
      </c>
      <c r="C3220" s="35" t="s">
        <v>48</v>
      </c>
      <c r="D3220" s="35" t="s">
        <v>107</v>
      </c>
      <c r="E3220" s="35" t="s">
        <v>45</v>
      </c>
      <c r="F3220" s="35"/>
      <c r="G3220" s="35" t="s">
        <v>60</v>
      </c>
      <c r="H3220" s="35" t="s">
        <v>61</v>
      </c>
      <c r="I3220" s="4"/>
    </row>
    <row r="3221" customFormat="false" ht="15" hidden="false" customHeight="false" outlineLevel="0" collapsed="false">
      <c r="A3221" s="35" t="s">
        <v>7164</v>
      </c>
      <c r="B3221" s="35" t="s">
        <v>7165</v>
      </c>
      <c r="C3221" s="35" t="s">
        <v>48</v>
      </c>
      <c r="D3221" s="35" t="s">
        <v>107</v>
      </c>
      <c r="E3221" s="35" t="s">
        <v>45</v>
      </c>
      <c r="F3221" s="35"/>
      <c r="G3221" s="35" t="s">
        <v>104</v>
      </c>
      <c r="H3221" s="35" t="s">
        <v>61</v>
      </c>
      <c r="I3221" s="4"/>
    </row>
    <row r="3222" customFormat="false" ht="15" hidden="false" customHeight="false" outlineLevel="0" collapsed="false">
      <c r="A3222" s="35" t="s">
        <v>7166</v>
      </c>
      <c r="B3222" s="35" t="s">
        <v>7167</v>
      </c>
      <c r="C3222" s="35" t="s">
        <v>48</v>
      </c>
      <c r="D3222" s="35" t="s">
        <v>114</v>
      </c>
      <c r="E3222" s="35"/>
      <c r="F3222" s="35" t="s">
        <v>7168</v>
      </c>
      <c r="G3222" s="35" t="s">
        <v>571</v>
      </c>
      <c r="H3222" s="35" t="s">
        <v>258</v>
      </c>
      <c r="I3222" s="4"/>
    </row>
    <row r="3223" customFormat="false" ht="15" hidden="false" customHeight="false" outlineLevel="0" collapsed="false">
      <c r="A3223" s="35" t="s">
        <v>7169</v>
      </c>
      <c r="B3223" s="35" t="s">
        <v>7170</v>
      </c>
      <c r="C3223" s="35" t="s">
        <v>48</v>
      </c>
      <c r="D3223" s="35" t="s">
        <v>107</v>
      </c>
      <c r="E3223" s="35" t="s">
        <v>45</v>
      </c>
      <c r="F3223" s="35"/>
      <c r="G3223" s="35" t="s">
        <v>45</v>
      </c>
      <c r="H3223" s="35" t="s">
        <v>2233</v>
      </c>
      <c r="I3223" s="4"/>
    </row>
    <row r="3224" customFormat="false" ht="15" hidden="false" customHeight="false" outlineLevel="0" collapsed="false">
      <c r="A3224" s="35" t="s">
        <v>7171</v>
      </c>
      <c r="B3224" s="35" t="s">
        <v>7172</v>
      </c>
      <c r="C3224" s="35" t="s">
        <v>48</v>
      </c>
      <c r="D3224" s="35" t="s">
        <v>46</v>
      </c>
      <c r="E3224" s="35" t="s">
        <v>45</v>
      </c>
      <c r="F3224" s="35"/>
      <c r="G3224" s="35" t="s">
        <v>571</v>
      </c>
      <c r="H3224" s="35" t="s">
        <v>61</v>
      </c>
      <c r="I3224" s="4"/>
    </row>
    <row r="3225" customFormat="false" ht="15" hidden="false" customHeight="false" outlineLevel="0" collapsed="false">
      <c r="A3225" s="35" t="s">
        <v>7173</v>
      </c>
      <c r="B3225" s="35" t="s">
        <v>7174</v>
      </c>
      <c r="C3225" s="35" t="s">
        <v>48</v>
      </c>
      <c r="D3225" s="35" t="s">
        <v>107</v>
      </c>
      <c r="E3225" s="35" t="s">
        <v>45</v>
      </c>
      <c r="F3225" s="35"/>
      <c r="G3225" s="35" t="s">
        <v>685</v>
      </c>
      <c r="H3225" s="35" t="s">
        <v>61</v>
      </c>
      <c r="I3225" s="4"/>
    </row>
    <row r="3226" customFormat="false" ht="15" hidden="false" customHeight="false" outlineLevel="0" collapsed="false">
      <c r="A3226" s="35" t="s">
        <v>7175</v>
      </c>
      <c r="B3226" s="35" t="s">
        <v>7176</v>
      </c>
      <c r="C3226" s="35" t="s">
        <v>48</v>
      </c>
      <c r="D3226" s="35" t="s">
        <v>107</v>
      </c>
      <c r="E3226" s="35" t="s">
        <v>45</v>
      </c>
      <c r="F3226" s="35"/>
      <c r="G3226" s="35" t="s">
        <v>433</v>
      </c>
      <c r="H3226" s="35" t="s">
        <v>61</v>
      </c>
      <c r="I3226" s="4"/>
    </row>
    <row r="3227" customFormat="false" ht="15" hidden="false" customHeight="false" outlineLevel="0" collapsed="false">
      <c r="A3227" s="35" t="s">
        <v>1058</v>
      </c>
      <c r="B3227" s="35" t="s">
        <v>7177</v>
      </c>
      <c r="C3227" s="35" t="s">
        <v>48</v>
      </c>
      <c r="D3227" s="35" t="s">
        <v>107</v>
      </c>
      <c r="E3227" s="35" t="s">
        <v>1058</v>
      </c>
      <c r="F3227" s="35"/>
      <c r="G3227" s="35" t="s">
        <v>119</v>
      </c>
      <c r="H3227" s="35" t="s">
        <v>61</v>
      </c>
      <c r="I3227" s="4"/>
    </row>
    <row r="3228" customFormat="false" ht="15" hidden="false" customHeight="false" outlineLevel="0" collapsed="false">
      <c r="A3228" s="35" t="s">
        <v>7178</v>
      </c>
      <c r="B3228" s="35" t="s">
        <v>7179</v>
      </c>
      <c r="C3228" s="35" t="s">
        <v>48</v>
      </c>
      <c r="D3228" s="35" t="s">
        <v>107</v>
      </c>
      <c r="E3228" s="35" t="s">
        <v>1058</v>
      </c>
      <c r="F3228" s="35"/>
      <c r="G3228" s="35" t="s">
        <v>119</v>
      </c>
      <c r="H3228" s="35" t="s">
        <v>61</v>
      </c>
      <c r="I3228" s="4"/>
    </row>
    <row r="3229" customFormat="false" ht="15" hidden="false" customHeight="false" outlineLevel="0" collapsed="false">
      <c r="A3229" s="35" t="s">
        <v>7180</v>
      </c>
      <c r="B3229" s="35" t="s">
        <v>7177</v>
      </c>
      <c r="C3229" s="35" t="s">
        <v>48</v>
      </c>
      <c r="D3229" s="35" t="s">
        <v>107</v>
      </c>
      <c r="E3229" s="35" t="s">
        <v>1058</v>
      </c>
      <c r="F3229" s="35"/>
      <c r="G3229" s="35" t="s">
        <v>119</v>
      </c>
      <c r="H3229" s="35" t="s">
        <v>61</v>
      </c>
      <c r="I3229" s="4"/>
    </row>
    <row r="3230" customFormat="false" ht="15" hidden="false" customHeight="false" outlineLevel="0" collapsed="false">
      <c r="A3230" s="35" t="s">
        <v>7181</v>
      </c>
      <c r="B3230" s="35" t="s">
        <v>7182</v>
      </c>
      <c r="C3230" s="35" t="s">
        <v>48</v>
      </c>
      <c r="D3230" s="35" t="s">
        <v>146</v>
      </c>
      <c r="E3230" s="35"/>
      <c r="F3230" s="35"/>
      <c r="G3230" s="35" t="s">
        <v>49</v>
      </c>
      <c r="H3230" s="35" t="s">
        <v>49</v>
      </c>
      <c r="I3230" s="4"/>
    </row>
    <row r="3231" customFormat="false" ht="15" hidden="false" customHeight="false" outlineLevel="0" collapsed="false">
      <c r="A3231" s="35" t="s">
        <v>7183</v>
      </c>
      <c r="B3231" s="35" t="s">
        <v>7184</v>
      </c>
      <c r="C3231" s="35" t="s">
        <v>48</v>
      </c>
      <c r="D3231" s="35" t="s">
        <v>146</v>
      </c>
      <c r="E3231" s="35"/>
      <c r="F3231" s="35"/>
      <c r="G3231" s="35" t="s">
        <v>119</v>
      </c>
      <c r="H3231" s="35" t="s">
        <v>61</v>
      </c>
      <c r="I3231" s="4"/>
    </row>
    <row r="3232" customFormat="false" ht="15" hidden="false" customHeight="false" outlineLevel="0" collapsed="false">
      <c r="A3232" s="35" t="s">
        <v>7185</v>
      </c>
      <c r="B3232" s="35" t="s">
        <v>7186</v>
      </c>
      <c r="C3232" s="35" t="s">
        <v>48</v>
      </c>
      <c r="D3232" s="35" t="s">
        <v>114</v>
      </c>
      <c r="E3232" s="35"/>
      <c r="F3232" s="35"/>
      <c r="G3232" s="35" t="s">
        <v>49</v>
      </c>
      <c r="H3232" s="35" t="s">
        <v>49</v>
      </c>
      <c r="I3232" s="4"/>
    </row>
    <row r="3233" customFormat="false" ht="15" hidden="false" customHeight="false" outlineLevel="0" collapsed="false">
      <c r="A3233" s="35" t="s">
        <v>7187</v>
      </c>
      <c r="B3233" s="35" t="s">
        <v>7188</v>
      </c>
      <c r="C3233" s="35" t="s">
        <v>48</v>
      </c>
      <c r="D3233" s="35" t="s">
        <v>107</v>
      </c>
      <c r="E3233" s="35" t="s">
        <v>1272</v>
      </c>
      <c r="F3233" s="35"/>
      <c r="G3233" s="35" t="s">
        <v>684</v>
      </c>
      <c r="H3233" s="35" t="s">
        <v>61</v>
      </c>
      <c r="I3233" s="4"/>
    </row>
    <row r="3234" customFormat="false" ht="15" hidden="false" customHeight="false" outlineLevel="0" collapsed="false">
      <c r="A3234" s="35" t="s">
        <v>7189</v>
      </c>
      <c r="B3234" s="35" t="s">
        <v>7190</v>
      </c>
      <c r="C3234" s="35" t="s">
        <v>48</v>
      </c>
      <c r="D3234" s="35" t="s">
        <v>114</v>
      </c>
      <c r="E3234" s="35"/>
      <c r="F3234" s="35"/>
      <c r="G3234" s="35" t="s">
        <v>87</v>
      </c>
      <c r="H3234" s="35" t="s">
        <v>61</v>
      </c>
      <c r="I3234" s="4"/>
    </row>
    <row r="3235" customFormat="false" ht="15" hidden="false" customHeight="false" outlineLevel="0" collapsed="false">
      <c r="A3235" s="35" t="s">
        <v>7191</v>
      </c>
      <c r="B3235" s="35" t="s">
        <v>7192</v>
      </c>
      <c r="C3235" s="35" t="s">
        <v>48</v>
      </c>
      <c r="D3235" s="35" t="s">
        <v>107</v>
      </c>
      <c r="E3235" s="35" t="s">
        <v>351</v>
      </c>
      <c r="F3235" s="35"/>
      <c r="G3235" s="35" t="s">
        <v>87</v>
      </c>
      <c r="H3235" s="35" t="s">
        <v>61</v>
      </c>
      <c r="I3235" s="4"/>
    </row>
    <row r="3236" customFormat="false" ht="15" hidden="false" customHeight="false" outlineLevel="0" collapsed="false">
      <c r="A3236" s="35" t="s">
        <v>1301</v>
      </c>
      <c r="B3236" s="35" t="s">
        <v>7193</v>
      </c>
      <c r="C3236" s="35" t="s">
        <v>48</v>
      </c>
      <c r="D3236" s="35" t="s">
        <v>57</v>
      </c>
      <c r="E3236" s="35" t="s">
        <v>1300</v>
      </c>
      <c r="F3236" s="35"/>
      <c r="G3236" s="35" t="s">
        <v>683</v>
      </c>
      <c r="H3236" s="35" t="s">
        <v>61</v>
      </c>
      <c r="I3236" s="4"/>
    </row>
    <row r="3237" customFormat="false" ht="15" hidden="false" customHeight="false" outlineLevel="0" collapsed="false">
      <c r="A3237" s="35" t="s">
        <v>7194</v>
      </c>
      <c r="B3237" s="35" t="s">
        <v>7195</v>
      </c>
      <c r="C3237" s="35" t="s">
        <v>48</v>
      </c>
      <c r="D3237" s="35" t="s">
        <v>157</v>
      </c>
      <c r="E3237" s="35"/>
      <c r="F3237" s="35" t="s">
        <v>7196</v>
      </c>
      <c r="G3237" s="35" t="s">
        <v>262</v>
      </c>
      <c r="H3237" s="35" t="s">
        <v>61</v>
      </c>
      <c r="I3237" s="4"/>
    </row>
    <row r="3238" customFormat="false" ht="15" hidden="false" customHeight="false" outlineLevel="0" collapsed="false">
      <c r="A3238" s="35" t="s">
        <v>1870</v>
      </c>
      <c r="B3238" s="35" t="s">
        <v>7197</v>
      </c>
      <c r="C3238" s="35" t="s">
        <v>48</v>
      </c>
      <c r="D3238" s="35" t="s">
        <v>107</v>
      </c>
      <c r="E3238" s="35" t="s">
        <v>1869</v>
      </c>
      <c r="F3238" s="35" t="s">
        <v>7198</v>
      </c>
      <c r="G3238" s="35" t="s">
        <v>262</v>
      </c>
      <c r="H3238" s="35" t="s">
        <v>61</v>
      </c>
      <c r="I3238" s="4"/>
    </row>
    <row r="3239" customFormat="false" ht="15" hidden="false" customHeight="false" outlineLevel="0" collapsed="false">
      <c r="A3239" s="35" t="s">
        <v>7199</v>
      </c>
      <c r="B3239" s="35" t="s">
        <v>7200</v>
      </c>
      <c r="C3239" s="35" t="s">
        <v>48</v>
      </c>
      <c r="D3239" s="35" t="s">
        <v>53</v>
      </c>
      <c r="E3239" s="35"/>
      <c r="F3239" s="35"/>
      <c r="G3239" s="35" t="s">
        <v>680</v>
      </c>
      <c r="H3239" s="35" t="s">
        <v>61</v>
      </c>
      <c r="I3239" s="4"/>
    </row>
    <row r="3240" customFormat="false" ht="15" hidden="false" customHeight="false" outlineLevel="0" collapsed="false">
      <c r="A3240" s="35" t="s">
        <v>7201</v>
      </c>
      <c r="B3240" s="35" t="s">
        <v>7202</v>
      </c>
      <c r="C3240" s="35" t="s">
        <v>48</v>
      </c>
      <c r="D3240" s="35" t="s">
        <v>53</v>
      </c>
      <c r="E3240" s="35"/>
      <c r="F3240" s="35"/>
      <c r="G3240" s="35" t="s">
        <v>680</v>
      </c>
      <c r="H3240" s="35" t="s">
        <v>61</v>
      </c>
      <c r="I3240" s="4"/>
    </row>
    <row r="3241" customFormat="false" ht="15" hidden="false" customHeight="false" outlineLevel="0" collapsed="false">
      <c r="A3241" s="35" t="s">
        <v>7203</v>
      </c>
      <c r="B3241" s="35" t="s">
        <v>7204</v>
      </c>
      <c r="C3241" s="35" t="s">
        <v>48</v>
      </c>
      <c r="D3241" s="35" t="s">
        <v>53</v>
      </c>
      <c r="E3241" s="35"/>
      <c r="F3241" s="35"/>
      <c r="G3241" s="35" t="s">
        <v>680</v>
      </c>
      <c r="H3241" s="35" t="s">
        <v>61</v>
      </c>
      <c r="I3241" s="4"/>
    </row>
    <row r="3242" customFormat="false" ht="15" hidden="false" customHeight="false" outlineLevel="0" collapsed="false">
      <c r="A3242" s="35" t="s">
        <v>7205</v>
      </c>
      <c r="B3242" s="35" t="s">
        <v>7206</v>
      </c>
      <c r="C3242" s="35" t="s">
        <v>48</v>
      </c>
      <c r="D3242" s="35" t="s">
        <v>157</v>
      </c>
      <c r="E3242" s="35"/>
      <c r="F3242" s="35"/>
      <c r="G3242" s="35" t="s">
        <v>417</v>
      </c>
      <c r="H3242" s="35" t="s">
        <v>61</v>
      </c>
      <c r="I3242" s="4"/>
    </row>
    <row r="3243" customFormat="false" ht="15" hidden="false" customHeight="false" outlineLevel="0" collapsed="false">
      <c r="A3243" s="35" t="s">
        <v>202</v>
      </c>
      <c r="B3243" s="35" t="s">
        <v>203</v>
      </c>
      <c r="C3243" s="35" t="s">
        <v>48</v>
      </c>
      <c r="D3243" s="35" t="s">
        <v>146</v>
      </c>
      <c r="E3243" s="35"/>
      <c r="F3243" s="35"/>
      <c r="G3243" s="35" t="s">
        <v>204</v>
      </c>
      <c r="H3243" s="35" t="s">
        <v>61</v>
      </c>
      <c r="I3243" s="4" t="s">
        <v>2025</v>
      </c>
    </row>
    <row r="3244" customFormat="false" ht="15" hidden="false" customHeight="false" outlineLevel="0" collapsed="false">
      <c r="A3244" s="35" t="s">
        <v>7207</v>
      </c>
      <c r="B3244" s="35" t="s">
        <v>7208</v>
      </c>
      <c r="C3244" s="35" t="s">
        <v>48</v>
      </c>
      <c r="D3244" s="35" t="s">
        <v>53</v>
      </c>
      <c r="E3244" s="35"/>
      <c r="F3244" s="35"/>
      <c r="G3244" s="35" t="s">
        <v>204</v>
      </c>
      <c r="H3244" s="35" t="s">
        <v>61</v>
      </c>
      <c r="I3244" s="4"/>
    </row>
    <row r="3245" customFormat="false" ht="15" hidden="false" customHeight="false" outlineLevel="0" collapsed="false">
      <c r="A3245" s="35" t="s">
        <v>206</v>
      </c>
      <c r="B3245" s="35" t="s">
        <v>207</v>
      </c>
      <c r="C3245" s="35" t="s">
        <v>48</v>
      </c>
      <c r="D3245" s="35" t="s">
        <v>146</v>
      </c>
      <c r="E3245" s="35"/>
      <c r="F3245" s="35"/>
      <c r="G3245" s="35" t="s">
        <v>119</v>
      </c>
      <c r="H3245" s="35" t="s">
        <v>208</v>
      </c>
      <c r="I3245" s="4" t="s">
        <v>2025</v>
      </c>
    </row>
    <row r="3246" customFormat="false" ht="15" hidden="false" customHeight="false" outlineLevel="0" collapsed="false">
      <c r="A3246" s="35" t="s">
        <v>7209</v>
      </c>
      <c r="B3246" s="35" t="s">
        <v>7210</v>
      </c>
      <c r="C3246" s="35" t="s">
        <v>48</v>
      </c>
      <c r="D3246" s="35" t="s">
        <v>146</v>
      </c>
      <c r="E3246" s="35"/>
      <c r="F3246" s="35"/>
      <c r="G3246" s="35" t="s">
        <v>119</v>
      </c>
      <c r="H3246" s="35" t="s">
        <v>208</v>
      </c>
      <c r="I3246" s="4"/>
    </row>
    <row r="3247" customFormat="false" ht="15" hidden="false" customHeight="false" outlineLevel="0" collapsed="false">
      <c r="A3247" s="35" t="s">
        <v>199</v>
      </c>
      <c r="B3247" s="35" t="s">
        <v>200</v>
      </c>
      <c r="C3247" s="35" t="s">
        <v>48</v>
      </c>
      <c r="D3247" s="35" t="s">
        <v>146</v>
      </c>
      <c r="E3247" s="35"/>
      <c r="F3247" s="35"/>
      <c r="G3247" s="35" t="s">
        <v>104</v>
      </c>
      <c r="H3247" s="35" t="s">
        <v>61</v>
      </c>
      <c r="I3247" s="4" t="s">
        <v>2025</v>
      </c>
    </row>
    <row r="3248" customFormat="false" ht="15" hidden="false" customHeight="false" outlineLevel="0" collapsed="false">
      <c r="A3248" s="35" t="s">
        <v>7211</v>
      </c>
      <c r="B3248" s="35" t="s">
        <v>7212</v>
      </c>
      <c r="C3248" s="35" t="s">
        <v>48</v>
      </c>
      <c r="D3248" s="35" t="s">
        <v>146</v>
      </c>
      <c r="E3248" s="35"/>
      <c r="F3248" s="35"/>
      <c r="G3248" s="35" t="s">
        <v>417</v>
      </c>
      <c r="H3248" s="35" t="s">
        <v>61</v>
      </c>
      <c r="I3248" s="4"/>
    </row>
    <row r="3249" customFormat="false" ht="15" hidden="false" customHeight="false" outlineLevel="0" collapsed="false">
      <c r="A3249" s="35" t="s">
        <v>7213</v>
      </c>
      <c r="B3249" s="35"/>
      <c r="C3249" s="35" t="s">
        <v>632</v>
      </c>
      <c r="D3249" s="35" t="s">
        <v>107</v>
      </c>
      <c r="E3249" s="35" t="s">
        <v>1188</v>
      </c>
      <c r="F3249" s="35"/>
      <c r="G3249" s="35" t="s">
        <v>421</v>
      </c>
      <c r="H3249" s="35" t="s">
        <v>61</v>
      </c>
      <c r="I3249" s="4"/>
    </row>
    <row r="3250" customFormat="false" ht="15" hidden="false" customHeight="false" outlineLevel="0" collapsed="false">
      <c r="A3250" s="35" t="s">
        <v>7214</v>
      </c>
      <c r="B3250" s="35"/>
      <c r="C3250" s="35" t="s">
        <v>632</v>
      </c>
      <c r="D3250" s="35" t="s">
        <v>107</v>
      </c>
      <c r="E3250" s="35" t="s">
        <v>1071</v>
      </c>
      <c r="F3250" s="35"/>
      <c r="G3250" s="35" t="s">
        <v>421</v>
      </c>
      <c r="H3250" s="35" t="s">
        <v>7215</v>
      </c>
      <c r="I3250" s="4"/>
    </row>
    <row r="3251" customFormat="false" ht="15" hidden="false" customHeight="false" outlineLevel="0" collapsed="false">
      <c r="A3251" s="35" t="s">
        <v>7216</v>
      </c>
      <c r="B3251" s="35"/>
      <c r="C3251" s="35" t="s">
        <v>632</v>
      </c>
      <c r="D3251" s="35" t="s">
        <v>447</v>
      </c>
      <c r="E3251" s="35"/>
      <c r="F3251" s="35"/>
      <c r="G3251" s="35" t="s">
        <v>421</v>
      </c>
      <c r="H3251" s="35" t="s">
        <v>61</v>
      </c>
      <c r="I3251" s="4"/>
    </row>
    <row r="3252" customFormat="false" ht="15" hidden="false" customHeight="false" outlineLevel="0" collapsed="false">
      <c r="A3252" s="35" t="s">
        <v>7217</v>
      </c>
      <c r="B3252" s="35"/>
      <c r="C3252" s="35" t="s">
        <v>632</v>
      </c>
      <c r="D3252" s="35" t="s">
        <v>447</v>
      </c>
      <c r="E3252" s="35"/>
      <c r="F3252" s="35"/>
      <c r="G3252" s="35" t="s">
        <v>421</v>
      </c>
      <c r="H3252" s="35" t="s">
        <v>61</v>
      </c>
      <c r="I3252" s="4"/>
    </row>
    <row r="3253" customFormat="false" ht="15" hidden="false" customHeight="false" outlineLevel="0" collapsed="false">
      <c r="A3253" s="35" t="s">
        <v>7218</v>
      </c>
      <c r="B3253" s="35"/>
      <c r="C3253" s="35" t="s">
        <v>632</v>
      </c>
      <c r="D3253" s="35" t="s">
        <v>146</v>
      </c>
      <c r="E3253" s="35"/>
      <c r="F3253" s="35"/>
      <c r="G3253" s="35" t="s">
        <v>421</v>
      </c>
      <c r="H3253" s="35" t="s">
        <v>61</v>
      </c>
      <c r="I3253" s="4"/>
    </row>
    <row r="3254" customFormat="false" ht="15" hidden="false" customHeight="false" outlineLevel="0" collapsed="false">
      <c r="A3254" s="35" t="s">
        <v>7219</v>
      </c>
      <c r="B3254" s="35"/>
      <c r="C3254" s="35" t="s">
        <v>632</v>
      </c>
      <c r="D3254" s="35" t="s">
        <v>146</v>
      </c>
      <c r="E3254" s="35"/>
      <c r="F3254" s="35" t="s">
        <v>3604</v>
      </c>
      <c r="G3254" s="35" t="s">
        <v>421</v>
      </c>
      <c r="H3254" s="35" t="s">
        <v>61</v>
      </c>
      <c r="I3254" s="4"/>
    </row>
    <row r="3255" customFormat="false" ht="15" hidden="false" customHeight="false" outlineLevel="0" collapsed="false">
      <c r="A3255" s="35" t="s">
        <v>7220</v>
      </c>
      <c r="B3255" s="35"/>
      <c r="C3255" s="35" t="s">
        <v>632</v>
      </c>
      <c r="D3255" s="35" t="s">
        <v>447</v>
      </c>
      <c r="E3255" s="35"/>
      <c r="F3255" s="35"/>
      <c r="G3255" s="35" t="s">
        <v>421</v>
      </c>
      <c r="H3255" s="35" t="s">
        <v>61</v>
      </c>
      <c r="I3255" s="4"/>
    </row>
  </sheetData>
  <autoFilter ref="A1:I32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2026-10-14T13:25:51Z</dcterms:created>
  <dc:creator>openpyxl</dc:creator>
  <dc:description/>
  <dc:language>en-US</dc:language>
  <cp:lastModifiedBy/>
  <dcterms:modified xsi:type="dcterms:W3CDTF">2026-10-14T13:25:51Z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